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https://d.docs.live.net/9f427f3c69567346/Documents/Excel/"/>
    </mc:Choice>
  </mc:AlternateContent>
  <xr:revisionPtr revIDLastSave="11" documentId="8_{EFF5BD4E-F5FC-470B-A20C-3E379B8B91F2}" xr6:coauthVersionLast="47" xr6:coauthVersionMax="47" xr10:uidLastSave="{B7AB321A-169F-4543-8412-0360CA621D83}"/>
  <bookViews>
    <workbookView xWindow="-120" yWindow="-120" windowWidth="20730" windowHeight="11040" tabRatio="784" activeTab="1" xr2:uid="{737754C9-3FCA-4827-97BD-FD513499A12B}"/>
  </bookViews>
  <sheets>
    <sheet name="Subscription Cohort Data" sheetId="9" r:id="rId1"/>
    <sheet name="Pivot " sheetId="13" r:id="rId2"/>
    <sheet name="Data Description" sheetId="10" r:id="rId3"/>
    <sheet name="Requirements" sheetId="11" r:id="rId4"/>
    <sheet name="Dashboard" sheetId="14" r:id="rId5"/>
  </sheets>
  <definedNames>
    <definedName name="_xlnm._FilterDatabase" localSheetId="0" hidden="1">'Subscription Cohort Data'!$A$1:$J$3070</definedName>
    <definedName name="Slicer_Years__created_date">#N/A</definedName>
    <definedName name="Slicer_Years__created_date1">#N/A</definedName>
  </definedNames>
  <calcPr calcId="191029"/>
  <pivotCaches>
    <pivotCache cacheId="2" r:id="rId6"/>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847" i="9" l="1"/>
  <c r="L2414" i="9"/>
  <c r="AA3" i="9"/>
  <c r="Y3" i="9"/>
  <c r="AA2" i="9"/>
  <c r="Y2" i="9"/>
  <c r="AA1" i="9"/>
  <c r="Y1" i="9"/>
  <c r="C3041" i="9"/>
  <c r="G3041" i="9" s="1"/>
  <c r="L3041" i="9" s="1"/>
  <c r="C3042" i="9"/>
  <c r="G3042" i="9" s="1"/>
  <c r="L3042" i="9" s="1"/>
  <c r="C3043" i="9"/>
  <c r="G3043" i="9" s="1"/>
  <c r="L3043" i="9" s="1"/>
  <c r="C3044" i="9"/>
  <c r="G3044" i="9" s="1"/>
  <c r="L3044" i="9" s="1"/>
  <c r="C3045" i="9"/>
  <c r="G3045" i="9" s="1"/>
  <c r="L3045" i="9" s="1"/>
  <c r="C3046" i="9"/>
  <c r="G3046" i="9" s="1"/>
  <c r="L3046" i="9" s="1"/>
  <c r="C3047" i="9"/>
  <c r="G3047" i="9" s="1"/>
  <c r="L3047" i="9" s="1"/>
  <c r="C3048" i="9"/>
  <c r="G3048" i="9" s="1"/>
  <c r="L3048" i="9" s="1"/>
  <c r="C3049" i="9"/>
  <c r="G3049" i="9" s="1"/>
  <c r="L3049" i="9" s="1"/>
  <c r="C3050" i="9"/>
  <c r="G3050" i="9" s="1"/>
  <c r="L3050" i="9" s="1"/>
  <c r="C3051" i="9"/>
  <c r="G3051" i="9" s="1"/>
  <c r="L3051" i="9" s="1"/>
  <c r="C3052" i="9"/>
  <c r="G3052" i="9" s="1"/>
  <c r="L3052" i="9" s="1"/>
  <c r="C3053" i="9"/>
  <c r="G3053" i="9" s="1"/>
  <c r="L3053" i="9" s="1"/>
  <c r="C3054" i="9"/>
  <c r="G3054" i="9" s="1"/>
  <c r="L3054" i="9" s="1"/>
  <c r="C3055" i="9"/>
  <c r="G3055" i="9" s="1"/>
  <c r="L3055" i="9" s="1"/>
  <c r="C3056" i="9"/>
  <c r="G3056" i="9" s="1"/>
  <c r="L3056" i="9" s="1"/>
  <c r="C3057" i="9"/>
  <c r="G3057" i="9" s="1"/>
  <c r="L3057" i="9" s="1"/>
  <c r="C3058" i="9"/>
  <c r="G3058" i="9" s="1"/>
  <c r="L3058" i="9" s="1"/>
  <c r="C3059" i="9"/>
  <c r="G3059" i="9" s="1"/>
  <c r="L3059" i="9" s="1"/>
  <c r="C3060" i="9"/>
  <c r="G3060" i="9" s="1"/>
  <c r="L3060" i="9" s="1"/>
  <c r="C3061" i="9"/>
  <c r="G3061" i="9" s="1"/>
  <c r="L3061" i="9" s="1"/>
  <c r="C3062" i="9"/>
  <c r="G3062" i="9" s="1"/>
  <c r="L3062" i="9" s="1"/>
  <c r="C3063" i="9"/>
  <c r="G3063" i="9" s="1"/>
  <c r="L3063" i="9" s="1"/>
  <c r="C3064" i="9"/>
  <c r="G3064" i="9" s="1"/>
  <c r="L3064" i="9" s="1"/>
  <c r="C3065" i="9"/>
  <c r="G3065" i="9" s="1"/>
  <c r="L3065" i="9" s="1"/>
  <c r="C3066" i="9"/>
  <c r="G3066" i="9" s="1"/>
  <c r="L3066" i="9" s="1"/>
  <c r="C3067" i="9"/>
  <c r="G3067" i="9" s="1"/>
  <c r="L3067" i="9" s="1"/>
  <c r="C3068" i="9"/>
  <c r="G3068" i="9" s="1"/>
  <c r="L3068" i="9" s="1"/>
  <c r="C3069" i="9"/>
  <c r="G3069" i="9" s="1"/>
  <c r="L3069" i="9" s="1"/>
  <c r="C3070" i="9"/>
  <c r="G3070" i="9" s="1"/>
  <c r="L3070" i="9" s="1"/>
  <c r="C3040" i="9"/>
  <c r="G3040" i="9" s="1"/>
  <c r="L3040" i="9" s="1"/>
  <c r="C3039" i="9"/>
  <c r="G3039" i="9" s="1"/>
  <c r="L3039" i="9" s="1"/>
  <c r="C3038" i="9"/>
  <c r="G3038" i="9" s="1"/>
  <c r="L3038" i="9" s="1"/>
  <c r="C3037" i="9"/>
  <c r="G3037" i="9" s="1"/>
  <c r="L3037" i="9" s="1"/>
  <c r="C3036" i="9"/>
  <c r="G3036" i="9" s="1"/>
  <c r="L3036" i="9" s="1"/>
  <c r="C3035" i="9"/>
  <c r="G3035" i="9" s="1"/>
  <c r="L3035" i="9" s="1"/>
  <c r="C3034" i="9"/>
  <c r="G3034" i="9" s="1"/>
  <c r="L3034" i="9" s="1"/>
  <c r="C3033" i="9"/>
  <c r="G3033" i="9" s="1"/>
  <c r="L3033" i="9" s="1"/>
  <c r="C3032" i="9"/>
  <c r="G3032" i="9" s="1"/>
  <c r="L3032" i="9" s="1"/>
  <c r="C3031" i="9"/>
  <c r="G3031" i="9" s="1"/>
  <c r="L3031" i="9" s="1"/>
  <c r="C3030" i="9"/>
  <c r="G3030" i="9" s="1"/>
  <c r="L3030" i="9" s="1"/>
  <c r="C3029" i="9"/>
  <c r="G3029" i="9" s="1"/>
  <c r="L3029" i="9" s="1"/>
  <c r="C3028" i="9"/>
  <c r="G3028" i="9" s="1"/>
  <c r="L3028" i="9" s="1"/>
  <c r="C3027" i="9"/>
  <c r="G3027" i="9" s="1"/>
  <c r="L3027" i="9" s="1"/>
  <c r="C3026" i="9"/>
  <c r="G3026" i="9" s="1"/>
  <c r="L3026" i="9" s="1"/>
  <c r="C3025" i="9"/>
  <c r="G3025" i="9" s="1"/>
  <c r="L3025" i="9" s="1"/>
  <c r="C3022" i="9"/>
  <c r="G3022" i="9" s="1"/>
  <c r="L3022" i="9" s="1"/>
  <c r="C3021" i="9"/>
  <c r="G3021" i="9" s="1"/>
  <c r="L3021" i="9" s="1"/>
  <c r="C3020" i="9"/>
  <c r="G3020" i="9" s="1"/>
  <c r="L3020" i="9" s="1"/>
  <c r="C3019" i="9"/>
  <c r="G3019" i="9" s="1"/>
  <c r="L3019" i="9" s="1"/>
  <c r="C3018" i="9"/>
  <c r="G3018" i="9" s="1"/>
  <c r="L3018" i="9" s="1"/>
  <c r="C3017" i="9"/>
  <c r="G3017" i="9" s="1"/>
  <c r="L3017" i="9" s="1"/>
  <c r="C3016" i="9"/>
  <c r="G3016" i="9" s="1"/>
  <c r="L3016" i="9" s="1"/>
  <c r="C3015" i="9"/>
  <c r="G3015" i="9" s="1"/>
  <c r="L3015" i="9" s="1"/>
  <c r="C3014" i="9"/>
  <c r="G3014" i="9" s="1"/>
  <c r="L3014" i="9" s="1"/>
  <c r="C3013" i="9"/>
  <c r="G3013" i="9" s="1"/>
  <c r="L3013" i="9" s="1"/>
  <c r="C3012" i="9"/>
  <c r="G3012" i="9" s="1"/>
  <c r="L3012" i="9" s="1"/>
  <c r="C3011" i="9"/>
  <c r="G3011" i="9" s="1"/>
  <c r="L3011" i="9" s="1"/>
  <c r="C3010" i="9"/>
  <c r="G3010" i="9" s="1"/>
  <c r="L3010" i="9" s="1"/>
  <c r="C3009" i="9"/>
  <c r="G3009" i="9" s="1"/>
  <c r="L3009" i="9" s="1"/>
  <c r="C3008" i="9"/>
  <c r="G3008" i="9" s="1"/>
  <c r="L3008" i="9" s="1"/>
  <c r="C3007" i="9"/>
  <c r="G3007" i="9" s="1"/>
  <c r="L3007" i="9" s="1"/>
  <c r="C3006" i="9"/>
  <c r="G3006" i="9" s="1"/>
  <c r="L3006" i="9" s="1"/>
  <c r="C3005" i="9"/>
  <c r="G3005" i="9" s="1"/>
  <c r="L3005" i="9" s="1"/>
  <c r="C3004" i="9"/>
  <c r="G3004" i="9" s="1"/>
  <c r="L3004" i="9" s="1"/>
  <c r="C3003" i="9"/>
  <c r="G3003" i="9" s="1"/>
  <c r="L3003" i="9" s="1"/>
  <c r="C3002" i="9"/>
  <c r="G3002" i="9" s="1"/>
  <c r="L3002" i="9" s="1"/>
  <c r="C3001" i="9"/>
  <c r="G3001" i="9" s="1"/>
  <c r="L3001" i="9" s="1"/>
  <c r="C3000" i="9"/>
  <c r="G3000" i="9" s="1"/>
  <c r="L3000" i="9" s="1"/>
  <c r="C2999" i="9"/>
  <c r="G2999" i="9" s="1"/>
  <c r="L2999" i="9" s="1"/>
  <c r="C2998" i="9"/>
  <c r="G2998" i="9" s="1"/>
  <c r="L2998" i="9" s="1"/>
  <c r="C2996" i="9"/>
  <c r="G2996" i="9" s="1"/>
  <c r="L2996" i="9" s="1"/>
  <c r="C2995" i="9"/>
  <c r="G2995" i="9" s="1"/>
  <c r="L2995" i="9" s="1"/>
  <c r="C2994" i="9"/>
  <c r="G2994" i="9" s="1"/>
  <c r="L2994" i="9" s="1"/>
  <c r="C2993" i="9"/>
  <c r="G2993" i="9" s="1"/>
  <c r="L2993" i="9" s="1"/>
  <c r="C2992" i="9"/>
  <c r="G2992" i="9" s="1"/>
  <c r="L2992" i="9" s="1"/>
  <c r="C2991" i="9"/>
  <c r="G2991" i="9" s="1"/>
  <c r="L2991" i="9" s="1"/>
  <c r="C2990" i="9"/>
  <c r="G2990" i="9" s="1"/>
  <c r="L2990" i="9" s="1"/>
  <c r="C2989" i="9"/>
  <c r="G2989" i="9" s="1"/>
  <c r="L2989" i="9" s="1"/>
  <c r="C2988" i="9"/>
  <c r="G2988" i="9" s="1"/>
  <c r="L2988" i="9" s="1"/>
  <c r="C2987" i="9"/>
  <c r="G2987" i="9" s="1"/>
  <c r="L2987" i="9" s="1"/>
  <c r="C2986" i="9"/>
  <c r="G2986" i="9" s="1"/>
  <c r="L2986" i="9" s="1"/>
  <c r="C2985" i="9"/>
  <c r="G2985" i="9" s="1"/>
  <c r="L2985" i="9" s="1"/>
  <c r="C2984" i="9"/>
  <c r="G2984" i="9" s="1"/>
  <c r="L2984" i="9" s="1"/>
  <c r="C2983" i="9"/>
  <c r="G2983" i="9" s="1"/>
  <c r="L2983" i="9" s="1"/>
  <c r="C2982" i="9"/>
  <c r="G2982" i="9" s="1"/>
  <c r="L2982" i="9" s="1"/>
  <c r="C2981" i="9"/>
  <c r="G2981" i="9" s="1"/>
  <c r="L2981" i="9" s="1"/>
  <c r="C2979" i="9"/>
  <c r="G2979" i="9" s="1"/>
  <c r="L2979" i="9" s="1"/>
  <c r="C2978" i="9"/>
  <c r="G2978" i="9" s="1"/>
  <c r="L2978" i="9" s="1"/>
  <c r="C2977" i="9"/>
  <c r="G2977" i="9" s="1"/>
  <c r="L2977" i="9" s="1"/>
  <c r="C2976" i="9"/>
  <c r="G2976" i="9" s="1"/>
  <c r="L2976" i="9" s="1"/>
  <c r="C2975" i="9"/>
  <c r="G2975" i="9" s="1"/>
  <c r="L2975" i="9" s="1"/>
  <c r="C2974" i="9"/>
  <c r="G2974" i="9" s="1"/>
  <c r="L2974" i="9" s="1"/>
  <c r="C2973" i="9"/>
  <c r="G2973" i="9" s="1"/>
  <c r="L2973" i="9" s="1"/>
  <c r="C2972" i="9"/>
  <c r="G2972" i="9" s="1"/>
  <c r="L2972" i="9" s="1"/>
  <c r="C2969" i="9"/>
  <c r="G2969" i="9" s="1"/>
  <c r="L2969" i="9" s="1"/>
  <c r="C2968" i="9"/>
  <c r="G2968" i="9" s="1"/>
  <c r="L2968" i="9" s="1"/>
  <c r="C2967" i="9"/>
  <c r="G2967" i="9" s="1"/>
  <c r="L2967" i="9" s="1"/>
  <c r="C2966" i="9"/>
  <c r="G2966" i="9" s="1"/>
  <c r="L2966" i="9" s="1"/>
  <c r="C2964" i="9"/>
  <c r="G2964" i="9" s="1"/>
  <c r="L2964" i="9" s="1"/>
  <c r="C2963" i="9"/>
  <c r="G2963" i="9" s="1"/>
  <c r="L2963" i="9" s="1"/>
  <c r="C2962" i="9"/>
  <c r="G2962" i="9" s="1"/>
  <c r="L2962" i="9" s="1"/>
  <c r="C2961" i="9"/>
  <c r="G2961" i="9" s="1"/>
  <c r="L2961" i="9" s="1"/>
  <c r="C2960" i="9"/>
  <c r="G2960" i="9" s="1"/>
  <c r="L2960" i="9" s="1"/>
  <c r="C2959" i="9"/>
  <c r="G2959" i="9" s="1"/>
  <c r="L2959" i="9" s="1"/>
  <c r="C2958" i="9"/>
  <c r="G2958" i="9" s="1"/>
  <c r="L2958" i="9" s="1"/>
  <c r="C2957" i="9"/>
  <c r="G2957" i="9" s="1"/>
  <c r="L2957" i="9" s="1"/>
  <c r="C2954" i="9"/>
  <c r="G2954" i="9" s="1"/>
  <c r="L2954" i="9" s="1"/>
  <c r="C2953" i="9"/>
  <c r="G2953" i="9" s="1"/>
  <c r="L2953" i="9" s="1"/>
  <c r="C2952" i="9"/>
  <c r="G2952" i="9" s="1"/>
  <c r="L2952" i="9" s="1"/>
  <c r="C2951" i="9"/>
  <c r="G2951" i="9" s="1"/>
  <c r="L2951" i="9" s="1"/>
  <c r="C2950" i="9"/>
  <c r="G2950" i="9" s="1"/>
  <c r="L2950" i="9" s="1"/>
  <c r="C2949" i="9"/>
  <c r="G2949" i="9" s="1"/>
  <c r="L2949" i="9" s="1"/>
  <c r="C2948" i="9"/>
  <c r="G2948" i="9" s="1"/>
  <c r="L2948" i="9" s="1"/>
  <c r="C2947" i="9"/>
  <c r="G2947" i="9" s="1"/>
  <c r="L2947" i="9" s="1"/>
  <c r="C2946" i="9"/>
  <c r="G2946" i="9" s="1"/>
  <c r="L2946" i="9" s="1"/>
  <c r="C2945" i="9"/>
  <c r="G2945" i="9" s="1"/>
  <c r="L2945" i="9" s="1"/>
  <c r="C2944" i="9"/>
  <c r="G2944" i="9" s="1"/>
  <c r="L2944" i="9" s="1"/>
  <c r="C2943" i="9"/>
  <c r="G2943" i="9" s="1"/>
  <c r="L2943" i="9" s="1"/>
  <c r="C2942" i="9"/>
  <c r="G2942" i="9" s="1"/>
  <c r="L2942" i="9" s="1"/>
  <c r="C2941" i="9"/>
  <c r="G2941" i="9" s="1"/>
  <c r="L2941" i="9" s="1"/>
  <c r="C2939" i="9"/>
  <c r="G2939" i="9" s="1"/>
  <c r="L2939" i="9" s="1"/>
  <c r="C2938" i="9"/>
  <c r="G2938" i="9" s="1"/>
  <c r="L2938" i="9" s="1"/>
  <c r="C2937" i="9"/>
  <c r="G2937" i="9" s="1"/>
  <c r="L2937" i="9" s="1"/>
  <c r="C2936" i="9"/>
  <c r="G2936" i="9" s="1"/>
  <c r="L2936" i="9" s="1"/>
  <c r="C2935" i="9"/>
  <c r="G2935" i="9" s="1"/>
  <c r="L2935" i="9" s="1"/>
  <c r="C2934" i="9"/>
  <c r="G2934" i="9" s="1"/>
  <c r="L2934" i="9" s="1"/>
  <c r="C2933" i="9"/>
  <c r="G2933" i="9" s="1"/>
  <c r="L2933" i="9" s="1"/>
  <c r="C2932" i="9"/>
  <c r="G2932" i="9" s="1"/>
  <c r="L2932" i="9" s="1"/>
  <c r="C2931" i="9"/>
  <c r="G2931" i="9" s="1"/>
  <c r="L2931" i="9" s="1"/>
  <c r="C2930" i="9"/>
  <c r="G2930" i="9" s="1"/>
  <c r="L2930" i="9" s="1"/>
  <c r="C2926" i="9"/>
  <c r="G2926" i="9" s="1"/>
  <c r="L2926" i="9" s="1"/>
  <c r="C2925" i="9"/>
  <c r="G2925" i="9" s="1"/>
  <c r="L2925" i="9" s="1"/>
  <c r="C2924" i="9"/>
  <c r="G2924" i="9" s="1"/>
  <c r="L2924" i="9" s="1"/>
  <c r="C2923" i="9"/>
  <c r="G2923" i="9" s="1"/>
  <c r="L2923" i="9" s="1"/>
  <c r="C2922" i="9"/>
  <c r="G2922" i="9" s="1"/>
  <c r="L2922" i="9" s="1"/>
  <c r="C2921" i="9"/>
  <c r="G2921" i="9" s="1"/>
  <c r="L2921" i="9" s="1"/>
  <c r="C2920" i="9"/>
  <c r="G2920" i="9" s="1"/>
  <c r="L2920" i="9" s="1"/>
  <c r="C2919" i="9"/>
  <c r="G2919" i="9" s="1"/>
  <c r="L2919" i="9" s="1"/>
  <c r="C2918" i="9"/>
  <c r="G2918" i="9" s="1"/>
  <c r="L2918" i="9" s="1"/>
  <c r="C2917" i="9"/>
  <c r="G2917" i="9" s="1"/>
  <c r="L2917" i="9" s="1"/>
  <c r="C2915" i="9"/>
  <c r="G2915" i="9" s="1"/>
  <c r="L2915" i="9" s="1"/>
  <c r="C2914" i="9"/>
  <c r="G2914" i="9" s="1"/>
  <c r="L2914" i="9" s="1"/>
  <c r="C2913" i="9"/>
  <c r="G2913" i="9" s="1"/>
  <c r="L2913" i="9" s="1"/>
  <c r="C2912" i="9"/>
  <c r="G2912" i="9" s="1"/>
  <c r="L2912" i="9" s="1"/>
  <c r="C2911" i="9"/>
  <c r="G2911" i="9" s="1"/>
  <c r="L2911" i="9" s="1"/>
  <c r="C2909" i="9"/>
  <c r="G2909" i="9" s="1"/>
  <c r="L2909" i="9" s="1"/>
  <c r="C2908" i="9"/>
  <c r="G2908" i="9" s="1"/>
  <c r="L2908" i="9" s="1"/>
  <c r="C2907" i="9"/>
  <c r="G2907" i="9" s="1"/>
  <c r="L2907" i="9" s="1"/>
  <c r="C2906" i="9"/>
  <c r="G2906" i="9" s="1"/>
  <c r="L2906" i="9" s="1"/>
  <c r="C2905" i="9"/>
  <c r="G2905" i="9" s="1"/>
  <c r="L2905" i="9" s="1"/>
  <c r="C2904" i="9"/>
  <c r="G2904" i="9" s="1"/>
  <c r="L2904" i="9" s="1"/>
  <c r="C2903" i="9"/>
  <c r="G2903" i="9" s="1"/>
  <c r="L2903" i="9" s="1"/>
  <c r="C2902" i="9"/>
  <c r="G2902" i="9" s="1"/>
  <c r="L2902" i="9" s="1"/>
  <c r="C2898" i="9"/>
  <c r="G2898" i="9" s="1"/>
  <c r="L2898" i="9" s="1"/>
  <c r="C2897" i="9"/>
  <c r="G2897" i="9" s="1"/>
  <c r="L2897" i="9" s="1"/>
  <c r="C2896" i="9"/>
  <c r="G2896" i="9" s="1"/>
  <c r="L2896" i="9" s="1"/>
  <c r="C2895" i="9"/>
  <c r="G2895" i="9" s="1"/>
  <c r="L2895" i="9" s="1"/>
  <c r="C2894" i="9"/>
  <c r="G2894" i="9" s="1"/>
  <c r="L2894" i="9" s="1"/>
  <c r="C2893" i="9"/>
  <c r="G2893" i="9" s="1"/>
  <c r="L2893" i="9" s="1"/>
  <c r="C2892" i="9"/>
  <c r="G2892" i="9" s="1"/>
  <c r="L2892" i="9" s="1"/>
  <c r="C2889" i="9"/>
  <c r="G2889" i="9" s="1"/>
  <c r="L2889" i="9" s="1"/>
  <c r="C2888" i="9"/>
  <c r="G2888" i="9" s="1"/>
  <c r="L2888" i="9" s="1"/>
  <c r="C2887" i="9"/>
  <c r="G2887" i="9" s="1"/>
  <c r="L2887" i="9" s="1"/>
  <c r="C2886" i="9"/>
  <c r="G2886" i="9" s="1"/>
  <c r="L2886" i="9" s="1"/>
  <c r="C2885" i="9"/>
  <c r="G2885" i="9" s="1"/>
  <c r="L2885" i="9" s="1"/>
  <c r="C2884" i="9"/>
  <c r="G2884" i="9" s="1"/>
  <c r="L2884" i="9" s="1"/>
  <c r="C2883" i="9"/>
  <c r="G2883" i="9" s="1"/>
  <c r="L2883" i="9" s="1"/>
  <c r="C2882" i="9"/>
  <c r="G2882" i="9" s="1"/>
  <c r="L2882" i="9" s="1"/>
  <c r="C2881" i="9"/>
  <c r="G2881" i="9" s="1"/>
  <c r="L2881" i="9" s="1"/>
  <c r="C2880" i="9"/>
  <c r="G2880" i="9" s="1"/>
  <c r="L2880" i="9" s="1"/>
  <c r="C2879" i="9"/>
  <c r="G2879" i="9" s="1"/>
  <c r="L2879" i="9" s="1"/>
  <c r="C2878" i="9"/>
  <c r="G2878" i="9" s="1"/>
  <c r="L2878" i="9" s="1"/>
  <c r="C2877" i="9"/>
  <c r="G2877" i="9" s="1"/>
  <c r="L2877" i="9" s="1"/>
  <c r="C2876" i="9"/>
  <c r="G2876" i="9" s="1"/>
  <c r="L2876" i="9" s="1"/>
  <c r="C2875" i="9"/>
  <c r="G2875" i="9" s="1"/>
  <c r="L2875" i="9" s="1"/>
  <c r="C2874" i="9"/>
  <c r="G2874" i="9" s="1"/>
  <c r="L2874" i="9" s="1"/>
  <c r="C2873" i="9"/>
  <c r="G2873" i="9" s="1"/>
  <c r="L2873" i="9" s="1"/>
  <c r="C2872" i="9"/>
  <c r="G2872" i="9" s="1"/>
  <c r="L2872" i="9" s="1"/>
  <c r="C2871" i="9"/>
  <c r="G2871" i="9" s="1"/>
  <c r="L2871" i="9" s="1"/>
  <c r="C2870" i="9"/>
  <c r="G2870" i="9" s="1"/>
  <c r="L2870" i="9" s="1"/>
  <c r="C2869" i="9"/>
  <c r="G2869" i="9" s="1"/>
  <c r="L2869" i="9" s="1"/>
  <c r="C2868" i="9"/>
  <c r="G2868" i="9" s="1"/>
  <c r="L2868" i="9" s="1"/>
  <c r="C2867" i="9"/>
  <c r="G2867" i="9" s="1"/>
  <c r="L2867" i="9" s="1"/>
  <c r="C2866" i="9"/>
  <c r="G2866" i="9" s="1"/>
  <c r="L2866" i="9" s="1"/>
  <c r="C2864" i="9"/>
  <c r="G2864" i="9" s="1"/>
  <c r="L2864" i="9" s="1"/>
  <c r="C2863" i="9"/>
  <c r="G2863" i="9" s="1"/>
  <c r="L2863" i="9" s="1"/>
  <c r="C2862" i="9"/>
  <c r="G2862" i="9" s="1"/>
  <c r="L2862" i="9" s="1"/>
  <c r="C2860" i="9"/>
  <c r="G2860" i="9" s="1"/>
  <c r="L2860" i="9" s="1"/>
  <c r="C2859" i="9"/>
  <c r="G2859" i="9" s="1"/>
  <c r="L2859" i="9" s="1"/>
  <c r="C2858" i="9"/>
  <c r="G2858" i="9" s="1"/>
  <c r="L2858" i="9" s="1"/>
  <c r="C2857" i="9"/>
  <c r="G2857" i="9" s="1"/>
  <c r="L2857" i="9" s="1"/>
  <c r="C2856" i="9"/>
  <c r="G2856" i="9" s="1"/>
  <c r="L2856" i="9" s="1"/>
  <c r="C2855" i="9"/>
  <c r="G2855" i="9" s="1"/>
  <c r="L2855" i="9" s="1"/>
  <c r="C2854" i="9"/>
  <c r="G2854" i="9" s="1"/>
  <c r="L2854" i="9" s="1"/>
  <c r="C2853" i="9"/>
  <c r="G2853" i="9" s="1"/>
  <c r="L2853" i="9" s="1"/>
  <c r="C2852" i="9"/>
  <c r="G2852" i="9" s="1"/>
  <c r="L2852" i="9" s="1"/>
  <c r="C2851" i="9"/>
  <c r="G2851" i="9" s="1"/>
  <c r="L2851" i="9" s="1"/>
  <c r="C2850" i="9"/>
  <c r="G2850" i="9" s="1"/>
  <c r="L2850" i="9" s="1"/>
  <c r="C2848" i="9"/>
  <c r="G2848" i="9" s="1"/>
  <c r="L2848" i="9" s="1"/>
  <c r="C2847" i="9"/>
  <c r="G2847" i="9" s="1"/>
  <c r="L2847" i="9" s="1"/>
  <c r="C2846" i="9"/>
  <c r="G2846" i="9" s="1"/>
  <c r="L2846" i="9" s="1"/>
  <c r="C2845" i="9"/>
  <c r="G2845" i="9" s="1"/>
  <c r="L2845" i="9" s="1"/>
  <c r="C2844" i="9"/>
  <c r="G2844" i="9" s="1"/>
  <c r="L2844" i="9" s="1"/>
  <c r="C2843" i="9"/>
  <c r="G2843" i="9" s="1"/>
  <c r="L2843" i="9" s="1"/>
  <c r="C2842" i="9"/>
  <c r="G2842" i="9" s="1"/>
  <c r="L2842" i="9" s="1"/>
  <c r="C2839" i="9"/>
  <c r="G2839" i="9" s="1"/>
  <c r="L2839" i="9" s="1"/>
  <c r="C2833" i="9"/>
  <c r="G2833" i="9" s="1"/>
  <c r="L2833" i="9" s="1"/>
  <c r="C2832" i="9"/>
  <c r="G2832" i="9" s="1"/>
  <c r="L2832" i="9" s="1"/>
  <c r="C2831" i="9"/>
  <c r="G2831" i="9" s="1"/>
  <c r="L2831" i="9" s="1"/>
  <c r="C2830" i="9"/>
  <c r="G2830" i="9" s="1"/>
  <c r="L2830" i="9" s="1"/>
  <c r="C2828" i="9"/>
  <c r="G2828" i="9" s="1"/>
  <c r="L2828" i="9" s="1"/>
  <c r="C2827" i="9"/>
  <c r="G2827" i="9" s="1"/>
  <c r="L2827" i="9" s="1"/>
  <c r="C2826" i="9"/>
  <c r="G2826" i="9" s="1"/>
  <c r="L2826" i="9" s="1"/>
  <c r="C2825" i="9"/>
  <c r="G2825" i="9" s="1"/>
  <c r="L2825" i="9" s="1"/>
  <c r="C2821" i="9"/>
  <c r="G2821" i="9" s="1"/>
  <c r="L2821" i="9" s="1"/>
  <c r="C2820" i="9"/>
  <c r="G2820" i="9" s="1"/>
  <c r="L2820" i="9" s="1"/>
  <c r="C2819" i="9"/>
  <c r="G2819" i="9" s="1"/>
  <c r="L2819" i="9" s="1"/>
  <c r="C2818" i="9"/>
  <c r="G2818" i="9" s="1"/>
  <c r="L2818" i="9" s="1"/>
  <c r="C2817" i="9"/>
  <c r="G2817" i="9" s="1"/>
  <c r="L2817" i="9" s="1"/>
  <c r="C2816" i="9"/>
  <c r="G2816" i="9" s="1"/>
  <c r="L2816" i="9" s="1"/>
  <c r="C2815" i="9"/>
  <c r="G2815" i="9" s="1"/>
  <c r="L2815" i="9" s="1"/>
  <c r="C2814" i="9"/>
  <c r="G2814" i="9" s="1"/>
  <c r="L2814" i="9" s="1"/>
  <c r="C2811" i="9"/>
  <c r="G2811" i="9" s="1"/>
  <c r="L2811" i="9" s="1"/>
  <c r="C2810" i="9"/>
  <c r="G2810" i="9" s="1"/>
  <c r="L2810" i="9" s="1"/>
  <c r="C2809" i="9"/>
  <c r="G2809" i="9" s="1"/>
  <c r="L2809" i="9" s="1"/>
  <c r="C2808" i="9"/>
  <c r="G2808" i="9" s="1"/>
  <c r="L2808" i="9" s="1"/>
  <c r="C2807" i="9"/>
  <c r="G2807" i="9" s="1"/>
  <c r="L2807" i="9" s="1"/>
  <c r="C2806" i="9"/>
  <c r="G2806" i="9" s="1"/>
  <c r="L2806" i="9" s="1"/>
  <c r="C2805" i="9"/>
  <c r="G2805" i="9" s="1"/>
  <c r="L2805" i="9" s="1"/>
  <c r="C2804" i="9"/>
  <c r="G2804" i="9" s="1"/>
  <c r="L2804" i="9" s="1"/>
  <c r="C2803" i="9"/>
  <c r="G2803" i="9" s="1"/>
  <c r="L2803" i="9" s="1"/>
  <c r="C2802" i="9"/>
  <c r="G2802" i="9" s="1"/>
  <c r="L2802" i="9" s="1"/>
  <c r="C2799" i="9"/>
  <c r="C2798" i="9"/>
  <c r="G2798" i="9" s="1"/>
  <c r="L2798" i="9" s="1"/>
  <c r="C2797" i="9"/>
  <c r="G2797" i="9" s="1"/>
  <c r="L2797" i="9" s="1"/>
  <c r="C2795" i="9"/>
  <c r="G2795" i="9" s="1"/>
  <c r="L2795" i="9" s="1"/>
  <c r="C2794" i="9"/>
  <c r="G2794" i="9" s="1"/>
  <c r="L2794" i="9" s="1"/>
  <c r="C2793" i="9"/>
  <c r="G2793" i="9" s="1"/>
  <c r="L2793" i="9" s="1"/>
  <c r="C2792" i="9"/>
  <c r="G2792" i="9" s="1"/>
  <c r="L2792" i="9" s="1"/>
  <c r="C2791" i="9"/>
  <c r="G2791" i="9" s="1"/>
  <c r="L2791" i="9" s="1"/>
  <c r="C2790" i="9"/>
  <c r="G2790" i="9" s="1"/>
  <c r="L2790" i="9" s="1"/>
  <c r="C2789" i="9"/>
  <c r="G2789" i="9" s="1"/>
  <c r="L2789" i="9" s="1"/>
  <c r="C2788" i="9"/>
  <c r="G2788" i="9" s="1"/>
  <c r="L2788" i="9" s="1"/>
  <c r="C2786" i="9"/>
  <c r="G2786" i="9" s="1"/>
  <c r="L2786" i="9" s="1"/>
  <c r="C2785" i="9"/>
  <c r="G2785" i="9" s="1"/>
  <c r="L2785" i="9" s="1"/>
  <c r="C2784" i="9"/>
  <c r="G2784" i="9" s="1"/>
  <c r="L2784" i="9" s="1"/>
  <c r="C2783" i="9"/>
  <c r="G2783" i="9" s="1"/>
  <c r="L2783" i="9" s="1"/>
  <c r="C2782" i="9"/>
  <c r="G2782" i="9" s="1"/>
  <c r="L2782" i="9" s="1"/>
  <c r="C2781" i="9"/>
  <c r="G2781" i="9" s="1"/>
  <c r="L2781" i="9" s="1"/>
  <c r="C2780" i="9"/>
  <c r="G2780" i="9" s="1"/>
  <c r="L2780" i="9" s="1"/>
  <c r="C2779" i="9"/>
  <c r="G2779" i="9" s="1"/>
  <c r="L2779" i="9" s="1"/>
  <c r="C2778" i="9"/>
  <c r="G2778" i="9" s="1"/>
  <c r="L2778" i="9" s="1"/>
  <c r="C2773" i="9"/>
  <c r="G2773" i="9" s="1"/>
  <c r="L2773" i="9" s="1"/>
  <c r="C2772" i="9"/>
  <c r="G2772" i="9" s="1"/>
  <c r="L2772" i="9" s="1"/>
  <c r="C2771" i="9"/>
  <c r="G2771" i="9" s="1"/>
  <c r="L2771" i="9" s="1"/>
  <c r="C2770" i="9"/>
  <c r="G2770" i="9" s="1"/>
  <c r="L2770" i="9" s="1"/>
  <c r="C2769" i="9"/>
  <c r="G2769" i="9" s="1"/>
  <c r="L2769" i="9" s="1"/>
  <c r="C2768" i="9"/>
  <c r="G2768" i="9" s="1"/>
  <c r="L2768" i="9" s="1"/>
  <c r="C2767" i="9"/>
  <c r="G2767" i="9" s="1"/>
  <c r="L2767" i="9" s="1"/>
  <c r="C2766" i="9"/>
  <c r="G2766" i="9" s="1"/>
  <c r="L2766" i="9" s="1"/>
  <c r="C2765" i="9"/>
  <c r="G2765" i="9" s="1"/>
  <c r="L2765" i="9" s="1"/>
  <c r="C2764" i="9"/>
  <c r="G2764" i="9" s="1"/>
  <c r="L2764" i="9" s="1"/>
  <c r="C2763" i="9"/>
  <c r="G2763" i="9" s="1"/>
  <c r="L2763" i="9" s="1"/>
  <c r="C2762" i="9"/>
  <c r="G2762" i="9" s="1"/>
  <c r="L2762" i="9" s="1"/>
  <c r="C2755" i="9"/>
  <c r="G2755" i="9" s="1"/>
  <c r="L2755" i="9" s="1"/>
  <c r="C2754" i="9"/>
  <c r="G2754" i="9" s="1"/>
  <c r="L2754" i="9" s="1"/>
  <c r="C2753" i="9"/>
  <c r="G2753" i="9" s="1"/>
  <c r="L2753" i="9" s="1"/>
  <c r="C2752" i="9"/>
  <c r="G2752" i="9" s="1"/>
  <c r="L2752" i="9" s="1"/>
  <c r="C2751" i="9"/>
  <c r="G2751" i="9" s="1"/>
  <c r="L2751" i="9" s="1"/>
  <c r="C2750" i="9"/>
  <c r="G2750" i="9" s="1"/>
  <c r="L2750" i="9" s="1"/>
  <c r="C2749" i="9"/>
  <c r="G2749" i="9" s="1"/>
  <c r="L2749" i="9" s="1"/>
  <c r="C2748" i="9"/>
  <c r="G2748" i="9" s="1"/>
  <c r="L2748" i="9" s="1"/>
  <c r="C2747" i="9"/>
  <c r="G2747" i="9" s="1"/>
  <c r="L2747" i="9" s="1"/>
  <c r="C2742" i="9"/>
  <c r="G2742" i="9" s="1"/>
  <c r="L2742" i="9" s="1"/>
  <c r="C2741" i="9"/>
  <c r="G2741" i="9" s="1"/>
  <c r="L2741" i="9" s="1"/>
  <c r="C2740" i="9"/>
  <c r="G2740" i="9" s="1"/>
  <c r="L2740" i="9" s="1"/>
  <c r="C2739" i="9"/>
  <c r="G2739" i="9" s="1"/>
  <c r="L2739" i="9" s="1"/>
  <c r="C2738" i="9"/>
  <c r="G2738" i="9" s="1"/>
  <c r="L2738" i="9" s="1"/>
  <c r="C2737" i="9"/>
  <c r="G2737" i="9" s="1"/>
  <c r="L2737" i="9" s="1"/>
  <c r="C2734" i="9"/>
  <c r="G2734" i="9" s="1"/>
  <c r="L2734" i="9" s="1"/>
  <c r="C2733" i="9"/>
  <c r="G2733" i="9" s="1"/>
  <c r="L2733" i="9" s="1"/>
  <c r="C2732" i="9"/>
  <c r="G2732" i="9" s="1"/>
  <c r="L2732" i="9" s="1"/>
  <c r="C2731" i="9"/>
  <c r="G2731" i="9" s="1"/>
  <c r="L2731" i="9" s="1"/>
  <c r="C2730" i="9"/>
  <c r="G2730" i="9" s="1"/>
  <c r="L2730" i="9" s="1"/>
  <c r="C2729" i="9"/>
  <c r="G2729" i="9" s="1"/>
  <c r="L2729" i="9" s="1"/>
  <c r="C2728" i="9"/>
  <c r="G2728" i="9" s="1"/>
  <c r="L2728" i="9" s="1"/>
  <c r="C2723" i="9"/>
  <c r="G2723" i="9" s="1"/>
  <c r="L2723" i="9" s="1"/>
  <c r="C2722" i="9"/>
  <c r="G2722" i="9" s="1"/>
  <c r="L2722" i="9" s="1"/>
  <c r="C2717" i="9"/>
  <c r="G2717" i="9" s="1"/>
  <c r="L2717" i="9" s="1"/>
  <c r="C2714" i="9"/>
  <c r="G2714" i="9" s="1"/>
  <c r="L2714" i="9" s="1"/>
  <c r="C2713" i="9"/>
  <c r="G2713" i="9" s="1"/>
  <c r="L2713" i="9" s="1"/>
  <c r="C2712" i="9"/>
  <c r="G2712" i="9" s="1"/>
  <c r="L2712" i="9" s="1"/>
  <c r="C2711" i="9"/>
  <c r="G2711" i="9" s="1"/>
  <c r="L2711" i="9" s="1"/>
  <c r="C2710" i="9"/>
  <c r="G2710" i="9" s="1"/>
  <c r="L2710" i="9" s="1"/>
  <c r="C2709" i="9"/>
  <c r="G2709" i="9" s="1"/>
  <c r="L2709" i="9" s="1"/>
  <c r="C2708" i="9"/>
  <c r="G2708" i="9" s="1"/>
  <c r="L2708" i="9" s="1"/>
  <c r="C2707" i="9"/>
  <c r="G2707" i="9" s="1"/>
  <c r="L2707" i="9" s="1"/>
  <c r="C2706" i="9"/>
  <c r="G2706" i="9" s="1"/>
  <c r="L2706" i="9" s="1"/>
  <c r="C2705" i="9"/>
  <c r="G2705" i="9" s="1"/>
  <c r="L2705" i="9" s="1"/>
  <c r="C2704" i="9"/>
  <c r="G2704" i="9" s="1"/>
  <c r="L2704" i="9" s="1"/>
  <c r="C2703" i="9"/>
  <c r="G2703" i="9" s="1"/>
  <c r="L2703" i="9" s="1"/>
  <c r="C2701" i="9"/>
  <c r="G2701" i="9" s="1"/>
  <c r="L2701" i="9" s="1"/>
  <c r="C2700" i="9"/>
  <c r="G2700" i="9" s="1"/>
  <c r="L2700" i="9" s="1"/>
  <c r="C2699" i="9"/>
  <c r="G2699" i="9" s="1"/>
  <c r="L2699" i="9" s="1"/>
  <c r="C2698" i="9"/>
  <c r="G2698" i="9" s="1"/>
  <c r="L2698" i="9" s="1"/>
  <c r="C2697" i="9"/>
  <c r="G2697" i="9" s="1"/>
  <c r="L2697" i="9" s="1"/>
  <c r="C2696" i="9"/>
  <c r="G2696" i="9" s="1"/>
  <c r="L2696" i="9" s="1"/>
  <c r="C2695" i="9"/>
  <c r="G2695" i="9" s="1"/>
  <c r="L2695" i="9" s="1"/>
  <c r="C2694" i="9"/>
  <c r="G2694" i="9" s="1"/>
  <c r="L2694" i="9" s="1"/>
  <c r="C2690" i="9"/>
  <c r="G2690" i="9" s="1"/>
  <c r="L2690" i="9" s="1"/>
  <c r="C2689" i="9"/>
  <c r="G2689" i="9" s="1"/>
  <c r="L2689" i="9" s="1"/>
  <c r="C2688" i="9"/>
  <c r="G2688" i="9" s="1"/>
  <c r="L2688" i="9" s="1"/>
  <c r="C2687" i="9"/>
  <c r="G2687" i="9" s="1"/>
  <c r="L2687" i="9" s="1"/>
  <c r="C2686" i="9"/>
  <c r="G2686" i="9" s="1"/>
  <c r="L2686" i="9" s="1"/>
  <c r="C2677" i="9"/>
  <c r="G2677" i="9" s="1"/>
  <c r="L2677" i="9" s="1"/>
  <c r="C2676" i="9"/>
  <c r="G2676" i="9" s="1"/>
  <c r="L2676" i="9" s="1"/>
  <c r="C2675" i="9"/>
  <c r="G2675" i="9" s="1"/>
  <c r="L2675" i="9" s="1"/>
  <c r="C2674" i="9"/>
  <c r="G2674" i="9" s="1"/>
  <c r="L2674" i="9" s="1"/>
  <c r="C2673" i="9"/>
  <c r="G2673" i="9" s="1"/>
  <c r="L2673" i="9" s="1"/>
  <c r="C2672" i="9"/>
  <c r="G2672" i="9" s="1"/>
  <c r="L2672" i="9" s="1"/>
  <c r="C2671" i="9"/>
  <c r="G2671" i="9" s="1"/>
  <c r="L2671" i="9" s="1"/>
  <c r="C2670" i="9"/>
  <c r="G2670" i="9" s="1"/>
  <c r="L2670" i="9" s="1"/>
  <c r="C2669" i="9"/>
  <c r="G2669" i="9" s="1"/>
  <c r="L2669" i="9" s="1"/>
  <c r="C2668" i="9"/>
  <c r="G2668" i="9" s="1"/>
  <c r="L2668" i="9" s="1"/>
  <c r="C2664" i="9"/>
  <c r="G2664" i="9" s="1"/>
  <c r="L2664" i="9" s="1"/>
  <c r="C2663" i="9"/>
  <c r="G2663" i="9" s="1"/>
  <c r="L2663" i="9" s="1"/>
  <c r="C2662" i="9"/>
  <c r="G2662" i="9" s="1"/>
  <c r="L2662" i="9" s="1"/>
  <c r="C2661" i="9"/>
  <c r="G2661" i="9" s="1"/>
  <c r="L2661" i="9" s="1"/>
  <c r="C2660" i="9"/>
  <c r="G2660" i="9" s="1"/>
  <c r="L2660" i="9" s="1"/>
  <c r="C2659" i="9"/>
  <c r="G2659" i="9" s="1"/>
  <c r="L2659" i="9" s="1"/>
  <c r="C2658" i="9"/>
  <c r="G2658" i="9" s="1"/>
  <c r="L2658" i="9" s="1"/>
  <c r="C2654" i="9"/>
  <c r="G2654" i="9" s="1"/>
  <c r="L2654" i="9" s="1"/>
  <c r="C2653" i="9"/>
  <c r="G2653" i="9" s="1"/>
  <c r="L2653" i="9" s="1"/>
  <c r="C2647" i="9"/>
  <c r="G2647" i="9" s="1"/>
  <c r="L2647" i="9" s="1"/>
  <c r="C2646" i="9"/>
  <c r="G2646" i="9" s="1"/>
  <c r="L2646" i="9" s="1"/>
  <c r="C2643" i="9"/>
  <c r="G2643" i="9" s="1"/>
  <c r="L2643" i="9" s="1"/>
  <c r="C2642" i="9"/>
  <c r="G2642" i="9" s="1"/>
  <c r="L2642" i="9" s="1"/>
  <c r="C2641" i="9"/>
  <c r="G2641" i="9" s="1"/>
  <c r="L2641" i="9" s="1"/>
  <c r="C2640" i="9"/>
  <c r="G2640" i="9" s="1"/>
  <c r="L2640" i="9" s="1"/>
  <c r="C2639" i="9"/>
  <c r="G2639" i="9" s="1"/>
  <c r="L2639" i="9" s="1"/>
  <c r="C2634" i="9"/>
  <c r="G2634" i="9" s="1"/>
  <c r="L2634" i="9" s="1"/>
  <c r="C2633" i="9"/>
  <c r="G2633" i="9" s="1"/>
  <c r="L2633" i="9" s="1"/>
  <c r="C2632" i="9"/>
  <c r="G2632" i="9" s="1"/>
  <c r="L2632" i="9" s="1"/>
  <c r="C2631" i="9"/>
  <c r="G2631" i="9" s="1"/>
  <c r="L2631" i="9" s="1"/>
  <c r="C2630" i="9"/>
  <c r="G2630" i="9" s="1"/>
  <c r="L2630" i="9" s="1"/>
  <c r="C2625" i="9"/>
  <c r="G2625" i="9" s="1"/>
  <c r="L2625" i="9" s="1"/>
  <c r="C2624" i="9"/>
  <c r="G2624" i="9" s="1"/>
  <c r="L2624" i="9" s="1"/>
  <c r="C2623" i="9"/>
  <c r="G2623" i="9" s="1"/>
  <c r="L2623" i="9" s="1"/>
  <c r="C2622" i="9"/>
  <c r="G2622" i="9" s="1"/>
  <c r="L2622" i="9" s="1"/>
  <c r="C2621" i="9"/>
  <c r="G2621" i="9" s="1"/>
  <c r="L2621" i="9" s="1"/>
  <c r="C2620" i="9"/>
  <c r="G2620" i="9" s="1"/>
  <c r="L2620" i="9" s="1"/>
  <c r="C2619" i="9"/>
  <c r="G2619" i="9" s="1"/>
  <c r="L2619" i="9" s="1"/>
  <c r="C2618" i="9"/>
  <c r="G2618" i="9" s="1"/>
  <c r="L2618" i="9" s="1"/>
  <c r="C2617" i="9"/>
  <c r="G2617" i="9" s="1"/>
  <c r="L2617" i="9" s="1"/>
  <c r="C2616" i="9"/>
  <c r="G2616" i="9" s="1"/>
  <c r="L2616" i="9" s="1"/>
  <c r="C2607" i="9"/>
  <c r="G2607" i="9" s="1"/>
  <c r="L2607" i="9" s="1"/>
  <c r="C2606" i="9"/>
  <c r="G2606" i="9" s="1"/>
  <c r="L2606" i="9" s="1"/>
  <c r="C2605" i="9"/>
  <c r="G2605" i="9" s="1"/>
  <c r="L2605" i="9" s="1"/>
  <c r="C2604" i="9"/>
  <c r="G2604" i="9" s="1"/>
  <c r="L2604" i="9" s="1"/>
  <c r="C2603" i="9"/>
  <c r="G2603" i="9" s="1"/>
  <c r="L2603" i="9" s="1"/>
  <c r="C2602" i="9"/>
  <c r="G2602" i="9" s="1"/>
  <c r="L2602" i="9" s="1"/>
  <c r="C2594" i="9"/>
  <c r="G2594" i="9" s="1"/>
  <c r="L2594" i="9" s="1"/>
  <c r="C2593" i="9"/>
  <c r="G2593" i="9" s="1"/>
  <c r="L2593" i="9" s="1"/>
  <c r="C2592" i="9"/>
  <c r="G2592" i="9" s="1"/>
  <c r="L2592" i="9" s="1"/>
  <c r="C2591" i="9"/>
  <c r="G2591" i="9" s="1"/>
  <c r="L2591" i="9" s="1"/>
  <c r="C2590" i="9"/>
  <c r="G2590" i="9" s="1"/>
  <c r="L2590" i="9" s="1"/>
  <c r="C2589" i="9"/>
  <c r="G2589" i="9" s="1"/>
  <c r="L2589" i="9" s="1"/>
  <c r="C2588" i="9"/>
  <c r="G2588" i="9" s="1"/>
  <c r="L2588" i="9" s="1"/>
  <c r="C2584" i="9"/>
  <c r="G2584" i="9" s="1"/>
  <c r="L2584" i="9" s="1"/>
  <c r="C2583" i="9"/>
  <c r="G2583" i="9" s="1"/>
  <c r="L2583" i="9" s="1"/>
  <c r="C2582" i="9"/>
  <c r="G2582" i="9" s="1"/>
  <c r="L2582" i="9" s="1"/>
  <c r="C2581" i="9"/>
  <c r="G2581" i="9" s="1"/>
  <c r="L2581" i="9" s="1"/>
  <c r="C2580" i="9"/>
  <c r="G2580" i="9" s="1"/>
  <c r="L2580" i="9" s="1"/>
  <c r="C2576" i="9"/>
  <c r="G2576" i="9" s="1"/>
  <c r="L2576" i="9" s="1"/>
  <c r="C2575" i="9"/>
  <c r="G2575" i="9" s="1"/>
  <c r="L2575" i="9" s="1"/>
  <c r="C2574" i="9"/>
  <c r="G2574" i="9" s="1"/>
  <c r="L2574" i="9" s="1"/>
  <c r="C2573" i="9"/>
  <c r="G2573" i="9" s="1"/>
  <c r="L2573" i="9" s="1"/>
  <c r="C2572" i="9"/>
  <c r="G2572" i="9" s="1"/>
  <c r="L2572" i="9" s="1"/>
  <c r="C2566" i="9"/>
  <c r="G2566" i="9" s="1"/>
  <c r="L2566" i="9" s="1"/>
  <c r="C2565" i="9"/>
  <c r="G2565" i="9" s="1"/>
  <c r="L2565" i="9" s="1"/>
  <c r="C2559" i="9"/>
  <c r="G2559" i="9" s="1"/>
  <c r="L2559" i="9" s="1"/>
  <c r="C2558" i="9"/>
  <c r="G2558" i="9" s="1"/>
  <c r="L2558" i="9" s="1"/>
  <c r="C2557" i="9"/>
  <c r="G2557" i="9" s="1"/>
  <c r="L2557" i="9" s="1"/>
  <c r="C2556" i="9"/>
  <c r="G2556" i="9" s="1"/>
  <c r="L2556" i="9" s="1"/>
  <c r="C2555" i="9"/>
  <c r="G2555" i="9" s="1"/>
  <c r="L2555" i="9" s="1"/>
  <c r="C2551" i="9"/>
  <c r="G2551" i="9" s="1"/>
  <c r="L2551" i="9" s="1"/>
  <c r="C2550" i="9"/>
  <c r="G2550" i="9" s="1"/>
  <c r="L2550" i="9" s="1"/>
  <c r="C2549" i="9"/>
  <c r="G2549" i="9" s="1"/>
  <c r="L2549" i="9" s="1"/>
  <c r="C2548" i="9"/>
  <c r="G2548" i="9" s="1"/>
  <c r="L2548" i="9" s="1"/>
  <c r="C2547" i="9"/>
  <c r="G2547" i="9" s="1"/>
  <c r="L2547" i="9" s="1"/>
  <c r="C2546" i="9"/>
  <c r="G2546" i="9" s="1"/>
  <c r="L2546" i="9" s="1"/>
  <c r="C2537" i="9"/>
  <c r="G2537" i="9" s="1"/>
  <c r="L2537" i="9" s="1"/>
  <c r="C2536" i="9"/>
  <c r="G2536" i="9" s="1"/>
  <c r="L2536" i="9" s="1"/>
  <c r="C2535" i="9"/>
  <c r="G2535" i="9" s="1"/>
  <c r="L2535" i="9" s="1"/>
  <c r="C2534" i="9"/>
  <c r="G2534" i="9" s="1"/>
  <c r="L2534" i="9" s="1"/>
  <c r="C2533" i="9"/>
  <c r="G2533" i="9" s="1"/>
  <c r="L2533" i="9" s="1"/>
  <c r="C2532" i="9"/>
  <c r="G2532" i="9" s="1"/>
  <c r="L2532" i="9" s="1"/>
  <c r="C2531" i="9"/>
  <c r="G2531" i="9" s="1"/>
  <c r="L2531" i="9" s="1"/>
  <c r="C2530" i="9"/>
  <c r="G2530" i="9" s="1"/>
  <c r="L2530" i="9" s="1"/>
  <c r="C2517" i="9"/>
  <c r="G2517" i="9" s="1"/>
  <c r="L2517" i="9" s="1"/>
  <c r="C2516" i="9"/>
  <c r="G2516" i="9" s="1"/>
  <c r="L2516" i="9" s="1"/>
  <c r="C2515" i="9"/>
  <c r="G2515" i="9" s="1"/>
  <c r="L2515" i="9" s="1"/>
  <c r="C2514" i="9"/>
  <c r="G2514" i="9" s="1"/>
  <c r="L2514" i="9" s="1"/>
  <c r="C2510" i="9"/>
  <c r="G2510" i="9" s="1"/>
  <c r="L2510" i="9" s="1"/>
  <c r="C2509" i="9"/>
  <c r="G2509" i="9" s="1"/>
  <c r="L2509" i="9" s="1"/>
  <c r="C2508" i="9"/>
  <c r="G2508" i="9" s="1"/>
  <c r="L2508" i="9" s="1"/>
  <c r="C2507" i="9"/>
  <c r="G2507" i="9" s="1"/>
  <c r="L2507" i="9" s="1"/>
  <c r="C2504" i="9"/>
  <c r="G2504" i="9" s="1"/>
  <c r="L2504" i="9" s="1"/>
  <c r="C2503" i="9"/>
  <c r="G2503" i="9" s="1"/>
  <c r="L2503" i="9" s="1"/>
  <c r="C2502" i="9"/>
  <c r="G2502" i="9" s="1"/>
  <c r="L2502" i="9" s="1"/>
  <c r="C2501" i="9"/>
  <c r="G2501" i="9" s="1"/>
  <c r="L2501" i="9" s="1"/>
  <c r="C2500" i="9"/>
  <c r="G2500" i="9" s="1"/>
  <c r="L2500" i="9" s="1"/>
  <c r="C2499" i="9"/>
  <c r="G2499" i="9" s="1"/>
  <c r="L2499" i="9" s="1"/>
  <c r="C2498" i="9"/>
  <c r="G2498" i="9" s="1"/>
  <c r="L2498" i="9" s="1"/>
  <c r="C2495" i="9"/>
  <c r="G2495" i="9" s="1"/>
  <c r="L2495" i="9" s="1"/>
  <c r="C2494" i="9"/>
  <c r="G2494" i="9" s="1"/>
  <c r="L2494" i="9" s="1"/>
  <c r="C2493" i="9"/>
  <c r="G2493" i="9" s="1"/>
  <c r="L2493" i="9" s="1"/>
  <c r="C2492" i="9"/>
  <c r="G2492" i="9" s="1"/>
  <c r="L2492" i="9" s="1"/>
  <c r="C2491" i="9"/>
  <c r="G2491" i="9" s="1"/>
  <c r="L2491" i="9" s="1"/>
  <c r="C2487" i="9"/>
  <c r="G2487" i="9" s="1"/>
  <c r="L2487" i="9" s="1"/>
  <c r="C2486" i="9"/>
  <c r="G2486" i="9" s="1"/>
  <c r="L2486" i="9" s="1"/>
  <c r="C2485" i="9"/>
  <c r="G2485" i="9" s="1"/>
  <c r="L2485" i="9" s="1"/>
  <c r="C2484" i="9"/>
  <c r="G2484" i="9" s="1"/>
  <c r="L2484" i="9" s="1"/>
  <c r="C2483" i="9"/>
  <c r="G2483" i="9" s="1"/>
  <c r="L2483" i="9" s="1"/>
  <c r="C2482" i="9"/>
  <c r="G2482" i="9" s="1"/>
  <c r="L2482" i="9" s="1"/>
  <c r="C2474" i="9"/>
  <c r="G2474" i="9" s="1"/>
  <c r="L2474" i="9" s="1"/>
  <c r="C2473" i="9"/>
  <c r="G2473" i="9" s="1"/>
  <c r="L2473" i="9" s="1"/>
  <c r="C2472" i="9"/>
  <c r="G2472" i="9" s="1"/>
  <c r="L2472" i="9" s="1"/>
  <c r="C2471" i="9"/>
  <c r="G2471" i="9" s="1"/>
  <c r="L2471" i="9" s="1"/>
  <c r="C2470" i="9"/>
  <c r="G2470" i="9" s="1"/>
  <c r="L2470" i="9" s="1"/>
  <c r="C2469" i="9"/>
  <c r="G2469" i="9" s="1"/>
  <c r="L2469" i="9" s="1"/>
  <c r="C2463" i="9"/>
  <c r="G2463" i="9" s="1"/>
  <c r="L2463" i="9" s="1"/>
  <c r="C2462" i="9"/>
  <c r="G2462" i="9" s="1"/>
  <c r="L2462" i="9" s="1"/>
  <c r="C2461" i="9"/>
  <c r="G2461" i="9" s="1"/>
  <c r="L2461" i="9" s="1"/>
  <c r="C2460" i="9"/>
  <c r="G2460" i="9" s="1"/>
  <c r="L2460" i="9" s="1"/>
  <c r="C2459" i="9"/>
  <c r="G2459" i="9" s="1"/>
  <c r="L2459" i="9" s="1"/>
  <c r="C2458" i="9"/>
  <c r="G2458" i="9" s="1"/>
  <c r="L2458" i="9" s="1"/>
  <c r="C2452" i="9"/>
  <c r="G2452" i="9" s="1"/>
  <c r="L2452" i="9" s="1"/>
  <c r="C2451" i="9"/>
  <c r="G2451" i="9" s="1"/>
  <c r="L2451" i="9" s="1"/>
  <c r="C2450" i="9"/>
  <c r="G2450" i="9" s="1"/>
  <c r="L2450" i="9" s="1"/>
  <c r="C2449" i="9"/>
  <c r="G2449" i="9" s="1"/>
  <c r="L2449" i="9" s="1"/>
  <c r="C2448" i="9"/>
  <c r="G2448" i="9" s="1"/>
  <c r="L2448" i="9" s="1"/>
  <c r="C2447" i="9"/>
  <c r="G2447" i="9" s="1"/>
  <c r="L2447" i="9" s="1"/>
  <c r="C2443" i="9"/>
  <c r="G2443" i="9" s="1"/>
  <c r="L2443" i="9" s="1"/>
  <c r="C2442" i="9"/>
  <c r="G2442" i="9" s="1"/>
  <c r="L2442" i="9" s="1"/>
  <c r="C2441" i="9"/>
  <c r="G2441" i="9" s="1"/>
  <c r="L2441" i="9" s="1"/>
  <c r="C2440" i="9"/>
  <c r="G2440" i="9" s="1"/>
  <c r="L2440" i="9" s="1"/>
  <c r="C2436" i="9"/>
  <c r="G2436" i="9" s="1"/>
  <c r="L2436" i="9" s="1"/>
  <c r="C2435" i="9"/>
  <c r="G2435" i="9" s="1"/>
  <c r="L2435" i="9" s="1"/>
  <c r="C2434" i="9"/>
  <c r="G2434" i="9" s="1"/>
  <c r="L2434" i="9" s="1"/>
  <c r="C2433" i="9"/>
  <c r="G2433" i="9" s="1"/>
  <c r="L2433" i="9" s="1"/>
  <c r="C2432" i="9"/>
  <c r="G2432" i="9" s="1"/>
  <c r="L2432" i="9" s="1"/>
  <c r="C2431" i="9"/>
  <c r="G2431" i="9" s="1"/>
  <c r="L2431" i="9" s="1"/>
  <c r="C2425" i="9"/>
  <c r="G2425" i="9" s="1"/>
  <c r="L2425" i="9" s="1"/>
  <c r="C2424" i="9"/>
  <c r="G2424" i="9" s="1"/>
  <c r="L2424" i="9" s="1"/>
  <c r="C2423" i="9"/>
  <c r="G2423" i="9" s="1"/>
  <c r="L2423" i="9" s="1"/>
  <c r="C2422" i="9"/>
  <c r="G2422" i="9" s="1"/>
  <c r="L2422" i="9" s="1"/>
  <c r="C2421" i="9"/>
  <c r="G2421" i="9" s="1"/>
  <c r="L2421" i="9" s="1"/>
  <c r="C2420" i="9"/>
  <c r="G2420" i="9" s="1"/>
  <c r="L2420" i="9" s="1"/>
  <c r="C2419" i="9"/>
  <c r="G2419" i="9" s="1"/>
  <c r="L2419" i="9" s="1"/>
  <c r="C2418" i="9"/>
  <c r="G2418" i="9" s="1"/>
  <c r="L2418" i="9" s="1"/>
  <c r="C2417" i="9"/>
  <c r="G2417" i="9" s="1"/>
  <c r="L2417" i="9" s="1"/>
  <c r="C2413" i="9"/>
  <c r="G2413" i="9" s="1"/>
  <c r="L2413" i="9" s="1"/>
  <c r="C2412" i="9"/>
  <c r="G2412" i="9" s="1"/>
  <c r="L2412" i="9" s="1"/>
  <c r="C2411" i="9"/>
  <c r="G2411" i="9" s="1"/>
  <c r="L2411" i="9" s="1"/>
  <c r="C2410" i="9"/>
  <c r="G2410" i="9" s="1"/>
  <c r="L2410" i="9" s="1"/>
  <c r="C2405" i="9"/>
  <c r="G2405" i="9" s="1"/>
  <c r="L2405" i="9" s="1"/>
  <c r="C2404" i="9"/>
  <c r="G2404" i="9" s="1"/>
  <c r="L2404" i="9" s="1"/>
  <c r="C2403" i="9"/>
  <c r="G2403" i="9" s="1"/>
  <c r="L2403" i="9" s="1"/>
  <c r="C2402" i="9"/>
  <c r="G2402" i="9" s="1"/>
  <c r="L2402" i="9" s="1"/>
  <c r="C2394" i="9"/>
  <c r="G2394" i="9" s="1"/>
  <c r="L2394" i="9" s="1"/>
  <c r="C2393" i="9"/>
  <c r="G2393" i="9" s="1"/>
  <c r="L2393" i="9" s="1"/>
  <c r="C2392" i="9"/>
  <c r="G2392" i="9" s="1"/>
  <c r="L2392" i="9" s="1"/>
  <c r="C2391" i="9"/>
  <c r="G2391" i="9" s="1"/>
  <c r="L2391" i="9" s="1"/>
  <c r="C2390" i="9"/>
  <c r="G2390" i="9" s="1"/>
  <c r="L2390" i="9" s="1"/>
  <c r="C2386" i="9"/>
  <c r="G2386" i="9" s="1"/>
  <c r="L2386" i="9" s="1"/>
  <c r="C2385" i="9"/>
  <c r="G2385" i="9" s="1"/>
  <c r="L2385" i="9" s="1"/>
  <c r="C2384" i="9"/>
  <c r="G2384" i="9" s="1"/>
  <c r="L2384" i="9" s="1"/>
  <c r="C2383" i="9"/>
  <c r="G2383" i="9" s="1"/>
  <c r="L2383" i="9" s="1"/>
  <c r="C2382" i="9"/>
  <c r="G2382" i="9" s="1"/>
  <c r="L2382" i="9" s="1"/>
  <c r="C2381" i="9"/>
  <c r="G2381" i="9" s="1"/>
  <c r="L2381" i="9" s="1"/>
  <c r="C2380" i="9"/>
  <c r="G2380" i="9" s="1"/>
  <c r="L2380" i="9" s="1"/>
  <c r="C2379" i="9"/>
  <c r="G2379" i="9" s="1"/>
  <c r="L2379" i="9" s="1"/>
  <c r="C2378" i="9"/>
  <c r="G2378" i="9" s="1"/>
  <c r="L2378" i="9" s="1"/>
  <c r="C2377" i="9"/>
  <c r="G2377" i="9" s="1"/>
  <c r="L2377" i="9" s="1"/>
  <c r="C2376" i="9"/>
  <c r="G2376" i="9" s="1"/>
  <c r="L2376" i="9" s="1"/>
  <c r="C2375" i="9"/>
  <c r="G2375" i="9" s="1"/>
  <c r="L2375" i="9" s="1"/>
  <c r="C2374" i="9"/>
  <c r="G2374" i="9" s="1"/>
  <c r="L2374" i="9" s="1"/>
  <c r="C2371" i="9"/>
  <c r="G2371" i="9" s="1"/>
  <c r="L2371" i="9" s="1"/>
  <c r="C2370" i="9"/>
  <c r="G2370" i="9" s="1"/>
  <c r="L2370" i="9" s="1"/>
  <c r="C2369" i="9"/>
  <c r="G2369" i="9" s="1"/>
  <c r="L2369" i="9" s="1"/>
  <c r="C2366" i="9"/>
  <c r="G2366" i="9" s="1"/>
  <c r="L2366" i="9" s="1"/>
  <c r="C2362" i="9"/>
  <c r="G2362" i="9" s="1"/>
  <c r="L2362" i="9" s="1"/>
  <c r="C2361" i="9"/>
  <c r="G2361" i="9" s="1"/>
  <c r="L2361" i="9" s="1"/>
  <c r="C2360" i="9"/>
  <c r="G2360" i="9" s="1"/>
  <c r="L2360" i="9" s="1"/>
  <c r="C2359" i="9"/>
  <c r="G2359" i="9" s="1"/>
  <c r="L2359" i="9" s="1"/>
  <c r="C2358" i="9"/>
  <c r="G2358" i="9" s="1"/>
  <c r="L2358" i="9" s="1"/>
  <c r="C2357" i="9"/>
  <c r="G2357" i="9" s="1"/>
  <c r="L2357" i="9" s="1"/>
  <c r="C2348" i="9"/>
  <c r="G2348" i="9" s="1"/>
  <c r="L2348" i="9" s="1"/>
  <c r="C2347" i="9"/>
  <c r="G2347" i="9" s="1"/>
  <c r="L2347" i="9" s="1"/>
  <c r="C2346" i="9"/>
  <c r="G2346" i="9" s="1"/>
  <c r="L2346" i="9" s="1"/>
  <c r="C2345" i="9"/>
  <c r="G2345" i="9" s="1"/>
  <c r="L2345" i="9" s="1"/>
  <c r="C2344" i="9"/>
  <c r="G2344" i="9" s="1"/>
  <c r="L2344" i="9" s="1"/>
  <c r="C2343" i="9"/>
  <c r="G2343" i="9" s="1"/>
  <c r="L2343" i="9" s="1"/>
  <c r="C2342" i="9"/>
  <c r="G2342" i="9" s="1"/>
  <c r="L2342" i="9" s="1"/>
  <c r="C2333" i="9"/>
  <c r="G2333" i="9" s="1"/>
  <c r="L2333" i="9" s="1"/>
  <c r="C2332" i="9"/>
  <c r="G2332" i="9" s="1"/>
  <c r="L2332" i="9" s="1"/>
  <c r="C2331" i="9"/>
  <c r="G2331" i="9" s="1"/>
  <c r="L2331" i="9" s="1"/>
  <c r="C2330" i="9"/>
  <c r="G2330" i="9" s="1"/>
  <c r="L2330" i="9" s="1"/>
  <c r="C2329" i="9"/>
  <c r="G2329" i="9" s="1"/>
  <c r="L2329" i="9" s="1"/>
  <c r="C2328" i="9"/>
  <c r="G2328" i="9" s="1"/>
  <c r="L2328" i="9" s="1"/>
  <c r="C2327" i="9"/>
  <c r="G2327" i="9" s="1"/>
  <c r="L2327" i="9" s="1"/>
  <c r="C2326" i="9"/>
  <c r="G2326" i="9" s="1"/>
  <c r="L2326" i="9" s="1"/>
  <c r="C2319" i="9"/>
  <c r="G2319" i="9" s="1"/>
  <c r="L2319" i="9" s="1"/>
  <c r="C2318" i="9"/>
  <c r="G2318" i="9" s="1"/>
  <c r="L2318" i="9" s="1"/>
  <c r="C2317" i="9"/>
  <c r="G2317" i="9" s="1"/>
  <c r="L2317" i="9" s="1"/>
  <c r="C2316" i="9"/>
  <c r="G2316" i="9" s="1"/>
  <c r="L2316" i="9" s="1"/>
  <c r="C2315" i="9"/>
  <c r="G2315" i="9" s="1"/>
  <c r="L2315" i="9" s="1"/>
  <c r="C2314" i="9"/>
  <c r="G2314" i="9" s="1"/>
  <c r="L2314" i="9" s="1"/>
  <c r="C2313" i="9"/>
  <c r="G2313" i="9" s="1"/>
  <c r="L2313" i="9" s="1"/>
  <c r="C2312" i="9"/>
  <c r="C2311" i="9"/>
  <c r="G2311" i="9" s="1"/>
  <c r="L2311" i="9" s="1"/>
  <c r="C2305" i="9"/>
  <c r="G2305" i="9" s="1"/>
  <c r="L2305" i="9" s="1"/>
  <c r="C2304" i="9"/>
  <c r="G2304" i="9" s="1"/>
  <c r="L2304" i="9" s="1"/>
  <c r="C2303" i="9"/>
  <c r="G2303" i="9" s="1"/>
  <c r="L2303" i="9" s="1"/>
  <c r="C2302" i="9"/>
  <c r="G2302" i="9" s="1"/>
  <c r="L2302" i="9" s="1"/>
  <c r="C2301" i="9"/>
  <c r="G2301" i="9" s="1"/>
  <c r="L2301" i="9" s="1"/>
  <c r="C2298" i="9"/>
  <c r="G2298" i="9" s="1"/>
  <c r="L2298" i="9" s="1"/>
  <c r="C2297" i="9"/>
  <c r="C2296" i="9"/>
  <c r="G2296" i="9" s="1"/>
  <c r="L2296" i="9" s="1"/>
  <c r="C2295" i="9"/>
  <c r="G2295" i="9" s="1"/>
  <c r="L2295" i="9" s="1"/>
  <c r="C2294" i="9"/>
  <c r="G2294" i="9" s="1"/>
  <c r="L2294" i="9" s="1"/>
  <c r="C2293" i="9"/>
  <c r="G2293" i="9" s="1"/>
  <c r="L2293" i="9" s="1"/>
  <c r="C2285" i="9"/>
  <c r="G2285" i="9" s="1"/>
  <c r="L2285" i="9" s="1"/>
  <c r="C2277" i="9"/>
  <c r="G2277" i="9" s="1"/>
  <c r="L2277" i="9" s="1"/>
  <c r="C2276" i="9"/>
  <c r="G2276" i="9" s="1"/>
  <c r="L2276" i="9" s="1"/>
  <c r="C2275" i="9"/>
  <c r="G2275" i="9" s="1"/>
  <c r="L2275" i="9" s="1"/>
  <c r="C2274" i="9"/>
  <c r="G2274" i="9" s="1"/>
  <c r="L2274" i="9" s="1"/>
  <c r="C2268" i="9"/>
  <c r="G2268" i="9" s="1"/>
  <c r="L2268" i="9" s="1"/>
  <c r="C2267" i="9"/>
  <c r="G2267" i="9" s="1"/>
  <c r="L2267" i="9" s="1"/>
  <c r="C2266" i="9"/>
  <c r="G2266" i="9" s="1"/>
  <c r="L2266" i="9" s="1"/>
  <c r="C2265" i="9"/>
  <c r="G2265" i="9" s="1"/>
  <c r="L2265" i="9" s="1"/>
  <c r="C2264" i="9"/>
  <c r="G2264" i="9" s="1"/>
  <c r="L2264" i="9" s="1"/>
  <c r="C2263" i="9"/>
  <c r="G2263" i="9" s="1"/>
  <c r="L2263" i="9" s="1"/>
  <c r="C2262" i="9"/>
  <c r="G2262" i="9" s="1"/>
  <c r="L2262" i="9" s="1"/>
  <c r="C2256" i="9"/>
  <c r="G2256" i="9" s="1"/>
  <c r="L2256" i="9" s="1"/>
  <c r="C2255" i="9"/>
  <c r="G2255" i="9" s="1"/>
  <c r="L2255" i="9" s="1"/>
  <c r="C2250" i="9"/>
  <c r="G2250" i="9" s="1"/>
  <c r="L2250" i="9" s="1"/>
  <c r="C2249" i="9"/>
  <c r="G2249" i="9" s="1"/>
  <c r="L2249" i="9" s="1"/>
  <c r="C2248" i="9"/>
  <c r="G2248" i="9" s="1"/>
  <c r="L2248" i="9" s="1"/>
  <c r="C2247" i="9"/>
  <c r="G2247" i="9" s="1"/>
  <c r="L2247" i="9" s="1"/>
  <c r="C2246" i="9"/>
  <c r="G2246" i="9" s="1"/>
  <c r="L2246" i="9" s="1"/>
  <c r="C2238" i="9"/>
  <c r="G2238" i="9" s="1"/>
  <c r="L2238" i="9" s="1"/>
  <c r="C2237" i="9"/>
  <c r="G2237" i="9" s="1"/>
  <c r="L2237" i="9" s="1"/>
  <c r="C2236" i="9"/>
  <c r="G2236" i="9" s="1"/>
  <c r="L2236" i="9" s="1"/>
  <c r="C2235" i="9"/>
  <c r="G2235" i="9" s="1"/>
  <c r="L2235" i="9" s="1"/>
  <c r="C2234" i="9"/>
  <c r="G2234" i="9" s="1"/>
  <c r="L2234" i="9" s="1"/>
  <c r="C2230" i="9"/>
  <c r="G2230" i="9" s="1"/>
  <c r="L2230" i="9" s="1"/>
  <c r="C2219" i="9"/>
  <c r="G2219" i="9" s="1"/>
  <c r="L2219" i="9" s="1"/>
  <c r="C2218" i="9"/>
  <c r="G2218" i="9" s="1"/>
  <c r="L2218" i="9" s="1"/>
  <c r="C2217" i="9"/>
  <c r="G2217" i="9" s="1"/>
  <c r="L2217" i="9" s="1"/>
  <c r="C2216" i="9"/>
  <c r="G2216" i="9" s="1"/>
  <c r="L2216" i="9" s="1"/>
  <c r="C2210" i="9"/>
  <c r="G2210" i="9" s="1"/>
  <c r="L2210" i="9" s="1"/>
  <c r="C2209" i="9"/>
  <c r="G2209" i="9" s="1"/>
  <c r="L2209" i="9" s="1"/>
  <c r="C2208" i="9"/>
  <c r="G2208" i="9" s="1"/>
  <c r="L2208" i="9" s="1"/>
  <c r="C2203" i="9"/>
  <c r="G2203" i="9" s="1"/>
  <c r="L2203" i="9" s="1"/>
  <c r="C2202" i="9"/>
  <c r="G2202" i="9" s="1"/>
  <c r="L2202" i="9" s="1"/>
  <c r="C2201" i="9"/>
  <c r="G2201" i="9" s="1"/>
  <c r="L2201" i="9" s="1"/>
  <c r="C2200" i="9"/>
  <c r="G2200" i="9" s="1"/>
  <c r="L2200" i="9" s="1"/>
  <c r="C2199" i="9"/>
  <c r="G2199" i="9" s="1"/>
  <c r="L2199" i="9" s="1"/>
  <c r="C2198" i="9"/>
  <c r="G2198" i="9" s="1"/>
  <c r="L2198" i="9" s="1"/>
  <c r="C2197" i="9"/>
  <c r="G2197" i="9" s="1"/>
  <c r="L2197" i="9" s="1"/>
  <c r="C2193" i="9"/>
  <c r="G2193" i="9" s="1"/>
  <c r="L2193" i="9" s="1"/>
  <c r="C2192" i="9"/>
  <c r="G2192" i="9" s="1"/>
  <c r="L2192" i="9" s="1"/>
  <c r="C2191" i="9"/>
  <c r="G2191" i="9" s="1"/>
  <c r="L2191" i="9" s="1"/>
  <c r="C2190" i="9"/>
  <c r="G2190" i="9" s="1"/>
  <c r="L2190" i="9" s="1"/>
  <c r="C2186" i="9"/>
  <c r="G2186" i="9" s="1"/>
  <c r="L2186" i="9" s="1"/>
  <c r="C2185" i="9"/>
  <c r="G2185" i="9" s="1"/>
  <c r="L2185" i="9" s="1"/>
  <c r="C2184" i="9"/>
  <c r="G2184" i="9" s="1"/>
  <c r="L2184" i="9" s="1"/>
  <c r="C2181" i="9"/>
  <c r="G2181" i="9" s="1"/>
  <c r="L2181" i="9" s="1"/>
  <c r="C2176" i="9"/>
  <c r="G2176" i="9" s="1"/>
  <c r="L2176" i="9" s="1"/>
  <c r="C2175" i="9"/>
  <c r="G2175" i="9" s="1"/>
  <c r="L2175" i="9" s="1"/>
  <c r="C2174" i="9"/>
  <c r="G2174" i="9" s="1"/>
  <c r="L2174" i="9" s="1"/>
  <c r="C2168" i="9"/>
  <c r="G2168" i="9" s="1"/>
  <c r="L2168" i="9" s="1"/>
  <c r="C2167" i="9"/>
  <c r="G2167" i="9" s="1"/>
  <c r="L2167" i="9" s="1"/>
  <c r="C2159" i="9"/>
  <c r="G2159" i="9" s="1"/>
  <c r="L2159" i="9" s="1"/>
  <c r="C2158" i="9"/>
  <c r="G2158" i="9" s="1"/>
  <c r="L2158" i="9" s="1"/>
  <c r="C2157" i="9"/>
  <c r="G2157" i="9" s="1"/>
  <c r="L2157" i="9" s="1"/>
  <c r="C2156" i="9"/>
  <c r="G2156" i="9" s="1"/>
  <c r="L2156" i="9" s="1"/>
  <c r="C2147" i="9"/>
  <c r="G2147" i="9" s="1"/>
  <c r="L2147" i="9" s="1"/>
  <c r="C2146" i="9"/>
  <c r="G2146" i="9" s="1"/>
  <c r="L2146" i="9" s="1"/>
  <c r="C2145" i="9"/>
  <c r="G2145" i="9" s="1"/>
  <c r="L2145" i="9" s="1"/>
  <c r="C2144" i="9"/>
  <c r="G2144" i="9" s="1"/>
  <c r="L2144" i="9" s="1"/>
  <c r="C2143" i="9"/>
  <c r="G2143" i="9" s="1"/>
  <c r="L2143" i="9" s="1"/>
  <c r="C2142" i="9"/>
  <c r="G2142" i="9" s="1"/>
  <c r="L2142" i="9" s="1"/>
  <c r="C2141" i="9"/>
  <c r="G2141" i="9" s="1"/>
  <c r="L2141" i="9" s="1"/>
  <c r="C2140" i="9"/>
  <c r="G2140" i="9" s="1"/>
  <c r="L2140" i="9" s="1"/>
  <c r="C2128" i="9"/>
  <c r="G2128" i="9" s="1"/>
  <c r="L2128" i="9" s="1"/>
  <c r="C2127" i="9"/>
  <c r="G2127" i="9" s="1"/>
  <c r="L2127" i="9" s="1"/>
  <c r="C2126" i="9"/>
  <c r="G2126" i="9" s="1"/>
  <c r="L2126" i="9" s="1"/>
  <c r="C2125" i="9"/>
  <c r="G2125" i="9" s="1"/>
  <c r="L2125" i="9" s="1"/>
  <c r="C2124" i="9"/>
  <c r="G2124" i="9" s="1"/>
  <c r="L2124" i="9" s="1"/>
  <c r="C2121" i="9"/>
  <c r="G2121" i="9" s="1"/>
  <c r="L2121" i="9" s="1"/>
  <c r="C2120" i="9"/>
  <c r="G2120" i="9" s="1"/>
  <c r="L2120" i="9" s="1"/>
  <c r="C2119" i="9"/>
  <c r="G2119" i="9" s="1"/>
  <c r="L2119" i="9" s="1"/>
  <c r="C2118" i="9"/>
  <c r="G2118" i="9" s="1"/>
  <c r="L2118" i="9" s="1"/>
  <c r="C2117" i="9"/>
  <c r="G2117" i="9" s="1"/>
  <c r="L2117" i="9" s="1"/>
  <c r="C2116" i="9"/>
  <c r="G2116" i="9" s="1"/>
  <c r="L2116" i="9" s="1"/>
  <c r="C2108" i="9"/>
  <c r="G2108" i="9" s="1"/>
  <c r="L2108" i="9" s="1"/>
  <c r="C2107" i="9"/>
  <c r="G2107" i="9" s="1"/>
  <c r="L2107" i="9" s="1"/>
  <c r="C2106" i="9"/>
  <c r="G2106" i="9" s="1"/>
  <c r="L2106" i="9" s="1"/>
  <c r="C2093" i="9"/>
  <c r="G2093" i="9" s="1"/>
  <c r="L2093" i="9" s="1"/>
  <c r="C2092" i="9"/>
  <c r="G2092" i="9" s="1"/>
  <c r="L2092" i="9" s="1"/>
  <c r="C2091" i="9"/>
  <c r="G2091" i="9" s="1"/>
  <c r="L2091" i="9" s="1"/>
  <c r="C2082" i="9"/>
  <c r="G2082" i="9" s="1"/>
  <c r="L2082" i="9" s="1"/>
  <c r="C2081" i="9"/>
  <c r="G2081" i="9" s="1"/>
  <c r="L2081" i="9" s="1"/>
  <c r="C2080" i="9"/>
  <c r="G2080" i="9" s="1"/>
  <c r="L2080" i="9" s="1"/>
  <c r="C2079" i="9"/>
  <c r="G2079" i="9" s="1"/>
  <c r="L2079" i="9" s="1"/>
  <c r="C2075" i="9"/>
  <c r="G2075" i="9" s="1"/>
  <c r="L2075" i="9" s="1"/>
  <c r="C2068" i="9"/>
  <c r="G2068" i="9" s="1"/>
  <c r="L2068" i="9" s="1"/>
  <c r="C2065" i="9"/>
  <c r="G2065" i="9" s="1"/>
  <c r="L2065" i="9" s="1"/>
  <c r="C2064" i="9"/>
  <c r="G2064" i="9" s="1"/>
  <c r="L2064" i="9" s="1"/>
  <c r="C2063" i="9"/>
  <c r="G2063" i="9" s="1"/>
  <c r="L2063" i="9" s="1"/>
  <c r="C2062" i="9"/>
  <c r="G2062" i="9" s="1"/>
  <c r="L2062" i="9" s="1"/>
  <c r="C2061" i="9"/>
  <c r="G2061" i="9" s="1"/>
  <c r="L2061" i="9" s="1"/>
  <c r="C2054" i="9"/>
  <c r="G2054" i="9" s="1"/>
  <c r="L2054" i="9" s="1"/>
  <c r="C2053" i="9"/>
  <c r="G2053" i="9" s="1"/>
  <c r="L2053" i="9" s="1"/>
  <c r="C2050" i="9"/>
  <c r="G2050" i="9" s="1"/>
  <c r="L2050" i="9" s="1"/>
  <c r="C2040" i="9"/>
  <c r="G2040" i="9" s="1"/>
  <c r="L2040" i="9" s="1"/>
  <c r="C2032" i="9"/>
  <c r="G2032" i="9" s="1"/>
  <c r="L2032" i="9" s="1"/>
  <c r="C2031" i="9"/>
  <c r="G2031" i="9" s="1"/>
  <c r="L2031" i="9" s="1"/>
  <c r="C2030" i="9"/>
  <c r="G2030" i="9" s="1"/>
  <c r="L2030" i="9" s="1"/>
  <c r="C2029" i="9"/>
  <c r="G2029" i="9" s="1"/>
  <c r="L2029" i="9" s="1"/>
  <c r="C2024" i="9"/>
  <c r="G2024" i="9" s="1"/>
  <c r="L2024" i="9" s="1"/>
  <c r="C2023" i="9"/>
  <c r="G2023" i="9" s="1"/>
  <c r="L2023" i="9" s="1"/>
  <c r="C2022" i="9"/>
  <c r="G2022" i="9" s="1"/>
  <c r="L2022" i="9" s="1"/>
  <c r="C2021" i="9"/>
  <c r="G2021" i="9" s="1"/>
  <c r="L2021" i="9" s="1"/>
  <c r="C2020" i="9"/>
  <c r="G2020" i="9" s="1"/>
  <c r="L2020" i="9" s="1"/>
  <c r="C2011" i="9"/>
  <c r="G2011" i="9" s="1"/>
  <c r="L2011" i="9" s="1"/>
  <c r="C2010" i="9"/>
  <c r="G2010" i="9" s="1"/>
  <c r="L2010" i="9" s="1"/>
  <c r="C2009" i="9"/>
  <c r="G2009" i="9" s="1"/>
  <c r="L2009" i="9" s="1"/>
  <c r="C2008" i="9"/>
  <c r="G2008" i="9" s="1"/>
  <c r="L2008" i="9" s="1"/>
  <c r="C1997" i="9"/>
  <c r="G1997" i="9" s="1"/>
  <c r="L1997" i="9" s="1"/>
  <c r="C1996" i="9"/>
  <c r="G1996" i="9" s="1"/>
  <c r="L1996" i="9" s="1"/>
  <c r="C1995" i="9"/>
  <c r="G1995" i="9" s="1"/>
  <c r="L1995" i="9" s="1"/>
  <c r="C1994" i="9"/>
  <c r="G1994" i="9" s="1"/>
  <c r="L1994" i="9" s="1"/>
  <c r="C1993" i="9"/>
  <c r="G1993" i="9" s="1"/>
  <c r="L1993" i="9" s="1"/>
  <c r="C1986" i="9"/>
  <c r="G1986" i="9" s="1"/>
  <c r="L1986" i="9" s="1"/>
  <c r="C1985" i="9"/>
  <c r="G1985" i="9" s="1"/>
  <c r="L1985" i="9" s="1"/>
  <c r="C1984" i="9"/>
  <c r="G1984" i="9" s="1"/>
  <c r="L1984" i="9" s="1"/>
  <c r="C1983" i="9"/>
  <c r="G1983" i="9" s="1"/>
  <c r="L1983" i="9" s="1"/>
  <c r="C1982" i="9"/>
  <c r="G1982" i="9" s="1"/>
  <c r="L1982" i="9" s="1"/>
  <c r="C1981" i="9"/>
  <c r="G1981" i="9" s="1"/>
  <c r="L1981" i="9" s="1"/>
  <c r="C1974" i="9"/>
  <c r="G1974" i="9" s="1"/>
  <c r="L1974" i="9" s="1"/>
  <c r="C1973" i="9"/>
  <c r="G1973" i="9" s="1"/>
  <c r="L1973" i="9" s="1"/>
  <c r="C1972" i="9"/>
  <c r="G1972" i="9" s="1"/>
  <c r="L1972" i="9" s="1"/>
  <c r="C1971" i="9"/>
  <c r="G1971" i="9" s="1"/>
  <c r="L1971" i="9" s="1"/>
  <c r="C1966" i="9"/>
  <c r="G1966" i="9" s="1"/>
  <c r="L1966" i="9" s="1"/>
  <c r="C1965" i="9"/>
  <c r="G1965" i="9" s="1"/>
  <c r="L1965" i="9" s="1"/>
  <c r="C1964" i="9"/>
  <c r="G1964" i="9" s="1"/>
  <c r="L1964" i="9" s="1"/>
  <c r="C1953" i="9"/>
  <c r="G1953" i="9" s="1"/>
  <c r="L1953" i="9" s="1"/>
  <c r="C1952" i="9"/>
  <c r="G1952" i="9" s="1"/>
  <c r="L1952" i="9" s="1"/>
  <c r="C1951" i="9"/>
  <c r="G1951" i="9" s="1"/>
  <c r="L1951" i="9" s="1"/>
  <c r="C1950" i="9"/>
  <c r="G1950" i="9" s="1"/>
  <c r="L1950" i="9" s="1"/>
  <c r="C1937" i="9"/>
  <c r="G1937" i="9" s="1"/>
  <c r="L1937" i="9" s="1"/>
  <c r="C1936" i="9"/>
  <c r="G1936" i="9" s="1"/>
  <c r="L1936" i="9" s="1"/>
  <c r="C1935" i="9"/>
  <c r="G1935" i="9" s="1"/>
  <c r="L1935" i="9" s="1"/>
  <c r="C1934" i="9"/>
  <c r="G1934" i="9" s="1"/>
  <c r="L1934" i="9" s="1"/>
  <c r="C1933" i="9"/>
  <c r="G1933" i="9" s="1"/>
  <c r="L1933" i="9" s="1"/>
  <c r="C1932" i="9"/>
  <c r="G1932" i="9" s="1"/>
  <c r="L1932" i="9" s="1"/>
  <c r="C1931" i="9"/>
  <c r="G1931" i="9" s="1"/>
  <c r="L1931" i="9" s="1"/>
  <c r="C1930" i="9"/>
  <c r="G1930" i="9" s="1"/>
  <c r="L1930" i="9" s="1"/>
  <c r="C1921" i="9"/>
  <c r="G1921" i="9" s="1"/>
  <c r="L1921" i="9" s="1"/>
  <c r="C1920" i="9"/>
  <c r="G1920" i="9" s="1"/>
  <c r="L1920" i="9" s="1"/>
  <c r="C1919" i="9"/>
  <c r="G1919" i="9" s="1"/>
  <c r="L1919" i="9" s="1"/>
  <c r="C1917" i="9"/>
  <c r="G1917" i="9" s="1"/>
  <c r="L1917" i="9" s="1"/>
  <c r="C1916" i="9"/>
  <c r="G1916" i="9" s="1"/>
  <c r="L1916" i="9" s="1"/>
  <c r="C1909" i="9"/>
  <c r="G1909" i="9" s="1"/>
  <c r="L1909" i="9" s="1"/>
  <c r="C1908" i="9"/>
  <c r="G1908" i="9" s="1"/>
  <c r="L1908" i="9" s="1"/>
  <c r="C1907" i="9"/>
  <c r="G1907" i="9" s="1"/>
  <c r="L1907" i="9" s="1"/>
  <c r="C1906" i="9"/>
  <c r="G1906" i="9" s="1"/>
  <c r="L1906" i="9" s="1"/>
  <c r="C1905" i="9"/>
  <c r="G1905" i="9" s="1"/>
  <c r="L1905" i="9" s="1"/>
  <c r="C1899" i="9"/>
  <c r="G1899" i="9" s="1"/>
  <c r="L1899" i="9" s="1"/>
  <c r="C1898" i="9"/>
  <c r="G1898" i="9" s="1"/>
  <c r="L1898" i="9" s="1"/>
  <c r="C1890" i="9"/>
  <c r="G1890" i="9" s="1"/>
  <c r="L1890" i="9" s="1"/>
  <c r="C1889" i="9"/>
  <c r="G1889" i="9" s="1"/>
  <c r="L1889" i="9" s="1"/>
  <c r="C1881" i="9"/>
  <c r="G1881" i="9" s="1"/>
  <c r="L1881" i="9" s="1"/>
  <c r="C1880" i="9"/>
  <c r="G1880" i="9" s="1"/>
  <c r="L1880" i="9" s="1"/>
  <c r="C1879" i="9"/>
  <c r="G1879" i="9" s="1"/>
  <c r="L1879" i="9" s="1"/>
  <c r="C1878" i="9"/>
  <c r="G1878" i="9" s="1"/>
  <c r="L1878" i="9" s="1"/>
  <c r="C1873" i="9"/>
  <c r="G1873" i="9" s="1"/>
  <c r="L1873" i="9" s="1"/>
  <c r="C1872" i="9"/>
  <c r="G1872" i="9" s="1"/>
  <c r="L1872" i="9" s="1"/>
  <c r="C1871" i="9"/>
  <c r="G1871" i="9" s="1"/>
  <c r="L1871" i="9" s="1"/>
  <c r="C1864" i="9"/>
  <c r="G1864" i="9" s="1"/>
  <c r="L1864" i="9" s="1"/>
  <c r="C1862" i="9"/>
  <c r="G1862" i="9" s="1"/>
  <c r="L1862" i="9" s="1"/>
  <c r="C1853" i="9"/>
  <c r="G1853" i="9" s="1"/>
  <c r="L1853" i="9" s="1"/>
  <c r="C1852" i="9"/>
  <c r="G1852" i="9" s="1"/>
  <c r="L1852" i="9" s="1"/>
  <c r="C1851" i="9"/>
  <c r="G1851" i="9" s="1"/>
  <c r="L1851" i="9" s="1"/>
  <c r="C1843" i="9"/>
  <c r="G1843" i="9" s="1"/>
  <c r="L1843" i="9" s="1"/>
  <c r="C1842" i="9"/>
  <c r="G1842" i="9" s="1"/>
  <c r="L1842" i="9" s="1"/>
  <c r="C1836" i="9"/>
  <c r="G1836" i="9" s="1"/>
  <c r="L1836" i="9" s="1"/>
  <c r="C1835" i="9"/>
  <c r="G1835" i="9" s="1"/>
  <c r="L1835" i="9" s="1"/>
  <c r="C1823" i="9"/>
  <c r="G1823" i="9" s="1"/>
  <c r="L1823" i="9" s="1"/>
  <c r="C1822" i="9"/>
  <c r="G1822" i="9" s="1"/>
  <c r="L1822" i="9" s="1"/>
  <c r="C1821" i="9"/>
  <c r="G1821" i="9" s="1"/>
  <c r="L1821" i="9" s="1"/>
  <c r="C1820" i="9"/>
  <c r="G1820" i="9" s="1"/>
  <c r="L1820" i="9" s="1"/>
  <c r="C1819" i="9"/>
  <c r="G1819" i="9" s="1"/>
  <c r="L1819" i="9" s="1"/>
  <c r="C1818" i="9"/>
  <c r="G1818" i="9" s="1"/>
  <c r="L1818" i="9" s="1"/>
  <c r="C1817" i="9"/>
  <c r="G1817" i="9" s="1"/>
  <c r="L1817" i="9" s="1"/>
  <c r="C1815" i="9"/>
  <c r="G1815" i="9" s="1"/>
  <c r="L1815" i="9" s="1"/>
  <c r="C1814" i="9"/>
  <c r="G1814" i="9" s="1"/>
  <c r="L1814" i="9" s="1"/>
  <c r="C1813" i="9"/>
  <c r="G1813" i="9" s="1"/>
  <c r="L1813" i="9" s="1"/>
  <c r="C1808" i="9"/>
  <c r="G1808" i="9" s="1"/>
  <c r="L1808" i="9" s="1"/>
  <c r="C1800" i="9"/>
  <c r="G1800" i="9" s="1"/>
  <c r="L1800" i="9" s="1"/>
  <c r="C1799" i="9"/>
  <c r="G1799" i="9" s="1"/>
  <c r="L1799" i="9" s="1"/>
  <c r="C1792" i="9"/>
  <c r="G1792" i="9" s="1"/>
  <c r="L1792" i="9" s="1"/>
  <c r="C1791" i="9"/>
  <c r="G1791" i="9" s="1"/>
  <c r="L1791" i="9" s="1"/>
  <c r="C1790" i="9"/>
  <c r="G1790" i="9" s="1"/>
  <c r="L1790" i="9" s="1"/>
  <c r="C1783" i="9"/>
  <c r="G1783" i="9" s="1"/>
  <c r="L1783" i="9" s="1"/>
  <c r="C1777" i="9"/>
  <c r="G1777" i="9" s="1"/>
  <c r="L1777" i="9" s="1"/>
  <c r="C1776" i="9"/>
  <c r="G1776" i="9" s="1"/>
  <c r="L1776" i="9" s="1"/>
  <c r="C1775" i="9"/>
  <c r="G1775" i="9" s="1"/>
  <c r="L1775" i="9" s="1"/>
  <c r="C1774" i="9"/>
  <c r="G1774" i="9" s="1"/>
  <c r="L1774" i="9" s="1"/>
  <c r="C1773" i="9"/>
  <c r="G1773" i="9" s="1"/>
  <c r="L1773" i="9" s="1"/>
  <c r="C1763" i="9"/>
  <c r="G1763" i="9" s="1"/>
  <c r="L1763" i="9" s="1"/>
  <c r="C1762" i="9"/>
  <c r="G1762" i="9" s="1"/>
  <c r="L1762" i="9" s="1"/>
  <c r="C1761" i="9"/>
  <c r="G1761" i="9" s="1"/>
  <c r="L1761" i="9" s="1"/>
  <c r="C1755" i="9"/>
  <c r="G1755" i="9" s="1"/>
  <c r="L1755" i="9" s="1"/>
  <c r="C1752" i="9"/>
  <c r="G1752" i="9" s="1"/>
  <c r="L1752" i="9" s="1"/>
  <c r="C1751" i="9"/>
  <c r="G1751" i="9" s="1"/>
  <c r="L1751" i="9" s="1"/>
  <c r="C1750" i="9"/>
  <c r="G1750" i="9" s="1"/>
  <c r="L1750" i="9" s="1"/>
  <c r="C1749" i="9"/>
  <c r="G1749" i="9" s="1"/>
  <c r="L1749" i="9" s="1"/>
  <c r="C1741" i="9"/>
  <c r="G1741" i="9" s="1"/>
  <c r="L1741" i="9" s="1"/>
  <c r="C1740" i="9"/>
  <c r="G1740" i="9" s="1"/>
  <c r="L1740" i="9" s="1"/>
  <c r="C1733" i="9"/>
  <c r="G1733" i="9" s="1"/>
  <c r="L1733" i="9" s="1"/>
  <c r="C1732" i="9"/>
  <c r="G1732" i="9" s="1"/>
  <c r="L1732" i="9" s="1"/>
  <c r="C1731" i="9"/>
  <c r="G1731" i="9" s="1"/>
  <c r="L1731" i="9" s="1"/>
  <c r="C1723" i="9"/>
  <c r="G1723" i="9" s="1"/>
  <c r="L1723" i="9" s="1"/>
  <c r="C1722" i="9"/>
  <c r="G1722" i="9" s="1"/>
  <c r="L1722" i="9" s="1"/>
  <c r="C1721" i="9"/>
  <c r="G1721" i="9" s="1"/>
  <c r="L1721" i="9" s="1"/>
  <c r="C1720" i="9"/>
  <c r="G1720" i="9" s="1"/>
  <c r="L1720" i="9" s="1"/>
  <c r="C1718" i="9"/>
  <c r="G1718" i="9" s="1"/>
  <c r="L1718" i="9" s="1"/>
  <c r="C1717" i="9"/>
  <c r="G1717" i="9" s="1"/>
  <c r="L1717" i="9" s="1"/>
  <c r="C1716" i="9"/>
  <c r="G1716" i="9" s="1"/>
  <c r="L1716" i="9" s="1"/>
  <c r="C1715" i="9"/>
  <c r="G1715" i="9" s="1"/>
  <c r="L1715" i="9" s="1"/>
  <c r="C1714" i="9"/>
  <c r="G1714" i="9" s="1"/>
  <c r="L1714" i="9" s="1"/>
  <c r="C1713" i="9"/>
  <c r="G1713" i="9" s="1"/>
  <c r="L1713" i="9" s="1"/>
  <c r="C1712" i="9"/>
  <c r="G1712" i="9" s="1"/>
  <c r="L1712" i="9" s="1"/>
  <c r="C1711" i="9"/>
  <c r="G1711" i="9" s="1"/>
  <c r="L1711" i="9" s="1"/>
  <c r="C1707" i="9"/>
  <c r="G1707" i="9" s="1"/>
  <c r="L1707" i="9" s="1"/>
  <c r="C1706" i="9"/>
  <c r="G1706" i="9" s="1"/>
  <c r="L1706" i="9" s="1"/>
  <c r="C1705" i="9"/>
  <c r="G1705" i="9" s="1"/>
  <c r="L1705" i="9" s="1"/>
  <c r="C1701" i="9"/>
  <c r="G1701" i="9" s="1"/>
  <c r="L1701" i="9" s="1"/>
  <c r="C1700" i="9"/>
  <c r="G1700" i="9" s="1"/>
  <c r="L1700" i="9" s="1"/>
  <c r="C1699" i="9"/>
  <c r="G1699" i="9" s="1"/>
  <c r="L1699" i="9" s="1"/>
  <c r="C1698" i="9"/>
  <c r="G1698" i="9" s="1"/>
  <c r="L1698" i="9" s="1"/>
  <c r="C1694" i="9"/>
  <c r="G1694" i="9" s="1"/>
  <c r="L1694" i="9" s="1"/>
  <c r="C1693" i="9"/>
  <c r="G1693" i="9" s="1"/>
  <c r="L1693" i="9" s="1"/>
  <c r="C1686" i="9"/>
  <c r="G1686" i="9" s="1"/>
  <c r="L1686" i="9" s="1"/>
  <c r="C1680" i="9"/>
  <c r="G1680" i="9" s="1"/>
  <c r="L1680" i="9" s="1"/>
  <c r="C1679" i="9"/>
  <c r="G1679" i="9" s="1"/>
  <c r="L1679" i="9" s="1"/>
  <c r="C1669" i="9"/>
  <c r="G1669" i="9" s="1"/>
  <c r="L1669" i="9" s="1"/>
  <c r="C1663" i="9"/>
  <c r="G1663" i="9" s="1"/>
  <c r="L1663" i="9" s="1"/>
  <c r="C1662" i="9"/>
  <c r="G1662" i="9" s="1"/>
  <c r="L1662" i="9" s="1"/>
  <c r="C1661" i="9"/>
  <c r="G1661" i="9" s="1"/>
  <c r="L1661" i="9" s="1"/>
  <c r="C1660" i="9"/>
  <c r="G1660" i="9" s="1"/>
  <c r="L1660" i="9" s="1"/>
  <c r="C1654" i="9"/>
  <c r="G1654" i="9" s="1"/>
  <c r="L1654" i="9" s="1"/>
  <c r="C1650" i="9"/>
  <c r="G1650" i="9" s="1"/>
  <c r="L1650" i="9" s="1"/>
  <c r="C1649" i="9"/>
  <c r="G1649" i="9" s="1"/>
  <c r="L1649" i="9" s="1"/>
  <c r="C1648" i="9"/>
  <c r="G1648" i="9" s="1"/>
  <c r="L1648" i="9" s="1"/>
  <c r="C1642" i="9"/>
  <c r="G1642" i="9" s="1"/>
  <c r="L1642" i="9" s="1"/>
  <c r="C1634" i="9"/>
  <c r="G1634" i="9" s="1"/>
  <c r="L1634" i="9" s="1"/>
  <c r="C1633" i="9"/>
  <c r="G1633" i="9" s="1"/>
  <c r="L1633" i="9" s="1"/>
  <c r="C1632" i="9"/>
  <c r="G1632" i="9" s="1"/>
  <c r="L1632" i="9" s="1"/>
  <c r="C1624" i="9"/>
  <c r="G1624" i="9" s="1"/>
  <c r="L1624" i="9" s="1"/>
  <c r="C1623" i="9"/>
  <c r="G1623" i="9" s="1"/>
  <c r="L1623" i="9" s="1"/>
  <c r="C1622" i="9"/>
  <c r="G1622" i="9" s="1"/>
  <c r="L1622" i="9" s="1"/>
  <c r="C1621" i="9"/>
  <c r="G1621" i="9" s="1"/>
  <c r="L1621" i="9" s="1"/>
  <c r="C1612" i="9"/>
  <c r="G1612" i="9" s="1"/>
  <c r="L1612" i="9" s="1"/>
  <c r="C1611" i="9"/>
  <c r="G1611" i="9" s="1"/>
  <c r="L1611" i="9" s="1"/>
  <c r="C1610" i="9"/>
  <c r="G1610" i="9" s="1"/>
  <c r="L1610" i="9" s="1"/>
  <c r="C1609" i="9"/>
  <c r="G1609" i="9" s="1"/>
  <c r="L1609" i="9" s="1"/>
  <c r="C1601" i="9"/>
  <c r="G1601" i="9" s="1"/>
  <c r="L1601" i="9" s="1"/>
  <c r="C1600" i="9"/>
  <c r="G1600" i="9" s="1"/>
  <c r="L1600" i="9" s="1"/>
  <c r="C1599" i="9"/>
  <c r="G1599" i="9" s="1"/>
  <c r="L1599" i="9" s="1"/>
  <c r="C1598" i="9"/>
  <c r="G1598" i="9" s="1"/>
  <c r="L1598" i="9" s="1"/>
  <c r="C1590" i="9"/>
  <c r="G1590" i="9" s="1"/>
  <c r="L1590" i="9" s="1"/>
  <c r="C1585" i="9"/>
  <c r="G1585" i="9" s="1"/>
  <c r="L1585" i="9" s="1"/>
  <c r="C1584" i="9"/>
  <c r="G1584" i="9" s="1"/>
  <c r="L1584" i="9" s="1"/>
  <c r="C1583" i="9"/>
  <c r="G1583" i="9" s="1"/>
  <c r="L1583" i="9" s="1"/>
  <c r="C1576" i="9"/>
  <c r="G1576" i="9" s="1"/>
  <c r="L1576" i="9" s="1"/>
  <c r="C1575" i="9"/>
  <c r="G1575" i="9" s="1"/>
  <c r="L1575" i="9" s="1"/>
  <c r="C1574" i="9"/>
  <c r="G1574" i="9" s="1"/>
  <c r="L1574" i="9" s="1"/>
  <c r="C1573" i="9"/>
  <c r="G1573" i="9" s="1"/>
  <c r="L1573" i="9" s="1"/>
  <c r="C1572" i="9"/>
  <c r="G1572" i="9" s="1"/>
  <c r="L1572" i="9" s="1"/>
  <c r="C1561" i="9"/>
  <c r="G1561" i="9" s="1"/>
  <c r="L1561" i="9" s="1"/>
  <c r="C1560" i="9"/>
  <c r="G1560" i="9" s="1"/>
  <c r="L1560" i="9" s="1"/>
  <c r="C1553" i="9"/>
  <c r="G1553" i="9" s="1"/>
  <c r="L1553" i="9" s="1"/>
  <c r="C1552" i="9"/>
  <c r="G1552" i="9" s="1"/>
  <c r="L1552" i="9" s="1"/>
  <c r="C1551" i="9"/>
  <c r="G1551" i="9" s="1"/>
  <c r="L1551" i="9" s="1"/>
  <c r="C1546" i="9"/>
  <c r="G1546" i="9" s="1"/>
  <c r="L1546" i="9" s="1"/>
  <c r="C1545" i="9"/>
  <c r="G1545" i="9" s="1"/>
  <c r="L1545" i="9" s="1"/>
  <c r="C1539" i="9"/>
  <c r="G1539" i="9" s="1"/>
  <c r="L1539" i="9" s="1"/>
  <c r="C1538" i="9"/>
  <c r="G1538" i="9" s="1"/>
  <c r="L1538" i="9" s="1"/>
  <c r="C1537" i="9"/>
  <c r="G1537" i="9" s="1"/>
  <c r="L1537" i="9" s="1"/>
  <c r="C1530" i="9"/>
  <c r="G1530" i="9" s="1"/>
  <c r="L1530" i="9" s="1"/>
  <c r="C1523" i="9"/>
  <c r="G1523" i="9" s="1"/>
  <c r="L1523" i="9" s="1"/>
  <c r="C1522" i="9"/>
  <c r="G1522" i="9" s="1"/>
  <c r="L1522" i="9" s="1"/>
  <c r="C1516" i="9"/>
  <c r="G1516" i="9" s="1"/>
  <c r="L1516" i="9" s="1"/>
  <c r="C1515" i="9"/>
  <c r="G1515" i="9" s="1"/>
  <c r="L1515" i="9" s="1"/>
  <c r="C1514" i="9"/>
  <c r="G1514" i="9" s="1"/>
  <c r="L1514" i="9" s="1"/>
  <c r="C1513" i="9"/>
  <c r="G1513" i="9" s="1"/>
  <c r="L1513" i="9" s="1"/>
  <c r="C1512" i="9"/>
  <c r="G1512" i="9" s="1"/>
  <c r="L1512" i="9" s="1"/>
  <c r="C1510" i="9"/>
  <c r="G1510" i="9" s="1"/>
  <c r="L1510" i="9" s="1"/>
  <c r="C1500" i="9"/>
  <c r="G1500" i="9" s="1"/>
  <c r="L1500" i="9" s="1"/>
  <c r="C1499" i="9"/>
  <c r="G1499" i="9" s="1"/>
  <c r="L1499" i="9" s="1"/>
  <c r="C1498" i="9"/>
  <c r="G1498" i="9" s="1"/>
  <c r="L1498" i="9" s="1"/>
  <c r="C1492" i="9"/>
  <c r="G1492" i="9" s="1"/>
  <c r="L1492" i="9" s="1"/>
  <c r="C1491" i="9"/>
  <c r="G1491" i="9" s="1"/>
  <c r="L1491" i="9" s="1"/>
  <c r="C1490" i="9"/>
  <c r="G1490" i="9" s="1"/>
  <c r="L1490" i="9" s="1"/>
  <c r="C1489" i="9"/>
  <c r="G1489" i="9" s="1"/>
  <c r="L1489" i="9" s="1"/>
  <c r="C1469" i="9"/>
  <c r="G1469" i="9" s="1"/>
  <c r="L1469" i="9" s="1"/>
  <c r="C1463" i="9"/>
  <c r="G1463" i="9" s="1"/>
  <c r="L1463" i="9" s="1"/>
  <c r="C1462" i="9"/>
  <c r="G1462" i="9" s="1"/>
  <c r="L1462" i="9" s="1"/>
  <c r="C1450" i="9"/>
  <c r="G1450" i="9" s="1"/>
  <c r="L1450" i="9" s="1"/>
  <c r="C1445" i="9"/>
  <c r="G1445" i="9" s="1"/>
  <c r="L1445" i="9" s="1"/>
  <c r="C1434" i="9"/>
  <c r="G1434" i="9" s="1"/>
  <c r="L1434" i="9" s="1"/>
  <c r="C1433" i="9"/>
  <c r="G1433" i="9" s="1"/>
  <c r="L1433" i="9" s="1"/>
  <c r="C1432" i="9"/>
  <c r="G1432" i="9" s="1"/>
  <c r="L1432" i="9" s="1"/>
  <c r="C1431" i="9"/>
  <c r="G1431" i="9" s="1"/>
  <c r="L1431" i="9" s="1"/>
  <c r="C1430" i="9"/>
  <c r="G1430" i="9" s="1"/>
  <c r="L1430" i="9" s="1"/>
  <c r="C1420" i="9"/>
  <c r="G1420" i="9" s="1"/>
  <c r="L1420" i="9" s="1"/>
  <c r="C1410" i="9"/>
  <c r="G1410" i="9" s="1"/>
  <c r="L1410" i="9" s="1"/>
  <c r="C1409" i="9"/>
  <c r="G1409" i="9" s="1"/>
  <c r="L1409" i="9" s="1"/>
  <c r="C1395" i="9"/>
  <c r="G1395" i="9" s="1"/>
  <c r="L1395" i="9" s="1"/>
  <c r="C1383" i="9"/>
  <c r="G1383" i="9" s="1"/>
  <c r="L1383" i="9" s="1"/>
  <c r="C1382" i="9"/>
  <c r="G1382" i="9" s="1"/>
  <c r="L1382" i="9" s="1"/>
  <c r="C1375" i="9"/>
  <c r="G1375" i="9" s="1"/>
  <c r="L1375" i="9" s="1"/>
  <c r="C1374" i="9"/>
  <c r="G1374" i="9" s="1"/>
  <c r="L1374" i="9" s="1"/>
  <c r="C1373" i="9"/>
  <c r="G1373" i="9" s="1"/>
  <c r="L1373" i="9" s="1"/>
  <c r="C1372" i="9"/>
  <c r="G1372" i="9" s="1"/>
  <c r="L1372" i="9" s="1"/>
  <c r="C1360" i="9"/>
  <c r="G1360" i="9" s="1"/>
  <c r="L1360" i="9" s="1"/>
  <c r="C1352" i="9"/>
  <c r="G1352" i="9" s="1"/>
  <c r="L1352" i="9" s="1"/>
  <c r="C1351" i="9"/>
  <c r="G1351" i="9" s="1"/>
  <c r="L1351" i="9" s="1"/>
  <c r="C1331" i="9"/>
  <c r="G1331" i="9" s="1"/>
  <c r="L1331" i="9" s="1"/>
  <c r="C1330" i="9"/>
  <c r="G1330" i="9" s="1"/>
  <c r="L1330" i="9" s="1"/>
  <c r="C1318" i="9"/>
  <c r="G1318" i="9" s="1"/>
  <c r="L1318" i="9" s="1"/>
  <c r="C1317" i="9"/>
  <c r="G1317" i="9" s="1"/>
  <c r="L1317" i="9" s="1"/>
  <c r="C1307" i="9"/>
  <c r="G1307" i="9" s="1"/>
  <c r="L1307" i="9" s="1"/>
  <c r="C1294" i="9"/>
  <c r="G1294" i="9" s="1"/>
  <c r="L1294" i="9" s="1"/>
  <c r="C1293" i="9"/>
  <c r="G1293" i="9" s="1"/>
  <c r="L1293" i="9" s="1"/>
  <c r="C1292" i="9"/>
  <c r="G1292" i="9" s="1"/>
  <c r="L1292" i="9" s="1"/>
  <c r="C1280" i="9"/>
  <c r="G1280" i="9" s="1"/>
  <c r="L1280" i="9" s="1"/>
  <c r="C1279" i="9"/>
  <c r="G1279" i="9" s="1"/>
  <c r="L1279" i="9" s="1"/>
  <c r="C1272" i="9"/>
  <c r="G1272" i="9" s="1"/>
  <c r="L1272" i="9" s="1"/>
  <c r="C1271" i="9"/>
  <c r="G1271" i="9" s="1"/>
  <c r="L1271" i="9" s="1"/>
  <c r="C1252" i="9"/>
  <c r="G1252" i="9" s="1"/>
  <c r="L1252" i="9" s="1"/>
  <c r="C1247" i="9"/>
  <c r="G1247" i="9" s="1"/>
  <c r="L1247" i="9" s="1"/>
  <c r="C1238" i="9"/>
  <c r="G1238" i="9" s="1"/>
  <c r="L1238" i="9" s="1"/>
  <c r="C1237" i="9"/>
  <c r="G1237" i="9" s="1"/>
  <c r="L1237" i="9" s="1"/>
  <c r="C1236" i="9"/>
  <c r="G1236" i="9" s="1"/>
  <c r="L1236" i="9" s="1"/>
  <c r="C1229" i="9"/>
  <c r="G1229" i="9" s="1"/>
  <c r="L1229" i="9" s="1"/>
  <c r="C1224" i="9"/>
  <c r="G1224" i="9" s="1"/>
  <c r="L1224" i="9" s="1"/>
  <c r="C1212" i="9"/>
  <c r="G1212" i="9" s="1"/>
  <c r="L1212" i="9" s="1"/>
  <c r="C1211" i="9"/>
  <c r="G1211" i="9" s="1"/>
  <c r="L1211" i="9" s="1"/>
  <c r="C1210" i="9"/>
  <c r="G1210" i="9" s="1"/>
  <c r="L1210" i="9" s="1"/>
  <c r="C1209" i="9"/>
  <c r="G1209" i="9" s="1"/>
  <c r="L1209" i="9" s="1"/>
  <c r="C1208" i="9"/>
  <c r="G1208" i="9" s="1"/>
  <c r="L1208" i="9" s="1"/>
  <c r="C1207" i="9"/>
  <c r="G1207" i="9" s="1"/>
  <c r="L1207" i="9" s="1"/>
  <c r="C1206" i="9"/>
  <c r="G1206" i="9" s="1"/>
  <c r="L1206" i="9" s="1"/>
  <c r="C1193" i="9"/>
  <c r="G1193" i="9" s="1"/>
  <c r="L1193" i="9" s="1"/>
  <c r="C1187" i="9"/>
  <c r="G1187" i="9" s="1"/>
  <c r="L1187" i="9" s="1"/>
  <c r="C1186" i="9"/>
  <c r="G1186" i="9" s="1"/>
  <c r="L1186" i="9" s="1"/>
  <c r="C1185" i="9"/>
  <c r="G1185" i="9" s="1"/>
  <c r="L1185" i="9" s="1"/>
  <c r="C1184" i="9"/>
  <c r="G1184" i="9" s="1"/>
  <c r="L1184" i="9" s="1"/>
  <c r="C1170" i="9"/>
  <c r="G1170" i="9" s="1"/>
  <c r="L1170" i="9" s="1"/>
  <c r="C1169" i="9"/>
  <c r="G1169" i="9" s="1"/>
  <c r="L1169" i="9" s="1"/>
  <c r="C1168" i="9"/>
  <c r="G1168" i="9" s="1"/>
  <c r="L1168" i="9" s="1"/>
  <c r="C1167" i="9"/>
  <c r="G1167" i="9" s="1"/>
  <c r="L1167" i="9" s="1"/>
  <c r="C1166" i="9"/>
  <c r="G1166" i="9" s="1"/>
  <c r="L1166" i="9" s="1"/>
  <c r="C1165" i="9"/>
  <c r="G1165" i="9" s="1"/>
  <c r="L1165" i="9" s="1"/>
  <c r="C1160" i="9"/>
  <c r="G1160" i="9" s="1"/>
  <c r="L1160" i="9" s="1"/>
  <c r="C1159" i="9"/>
  <c r="G1159" i="9" s="1"/>
  <c r="L1159" i="9" s="1"/>
  <c r="C1158" i="9"/>
  <c r="G1158" i="9" s="1"/>
  <c r="L1158" i="9" s="1"/>
  <c r="C1157" i="9"/>
  <c r="G1157" i="9" s="1"/>
  <c r="L1157" i="9" s="1"/>
  <c r="C1156" i="9"/>
  <c r="G1156" i="9" s="1"/>
  <c r="L1156" i="9" s="1"/>
  <c r="C1150" i="9"/>
  <c r="G1150" i="9" s="1"/>
  <c r="L1150" i="9" s="1"/>
  <c r="C1128" i="9"/>
  <c r="G1128" i="9" s="1"/>
  <c r="L1128" i="9" s="1"/>
  <c r="C1127" i="9"/>
  <c r="G1127" i="9" s="1"/>
  <c r="L1127" i="9" s="1"/>
  <c r="C1126" i="9"/>
  <c r="G1126" i="9" s="1"/>
  <c r="L1126" i="9" s="1"/>
  <c r="C1111" i="9"/>
  <c r="G1111" i="9" s="1"/>
  <c r="L1111" i="9" s="1"/>
  <c r="C1110" i="9"/>
  <c r="G1110" i="9" s="1"/>
  <c r="L1110" i="9" s="1"/>
  <c r="C1109" i="9"/>
  <c r="G1109" i="9" s="1"/>
  <c r="L1109" i="9" s="1"/>
  <c r="C1108" i="9"/>
  <c r="G1108" i="9" s="1"/>
  <c r="L1108" i="9" s="1"/>
  <c r="C1107" i="9"/>
  <c r="G1107" i="9" s="1"/>
  <c r="L1107" i="9" s="1"/>
  <c r="C1099" i="9"/>
  <c r="G1099" i="9" s="1"/>
  <c r="L1099" i="9" s="1"/>
  <c r="C1098" i="9"/>
  <c r="G1098" i="9" s="1"/>
  <c r="L1098" i="9" s="1"/>
  <c r="C1097" i="9"/>
  <c r="G1097" i="9" s="1"/>
  <c r="L1097" i="9" s="1"/>
  <c r="C1087" i="9"/>
  <c r="G1087" i="9" s="1"/>
  <c r="L1087" i="9" s="1"/>
  <c r="C1081" i="9"/>
  <c r="G1081" i="9" s="1"/>
  <c r="L1081" i="9" s="1"/>
  <c r="C1076" i="9"/>
  <c r="G1076" i="9" s="1"/>
  <c r="L1076" i="9" s="1"/>
  <c r="C1065" i="9"/>
  <c r="G1065" i="9" s="1"/>
  <c r="L1065" i="9" s="1"/>
  <c r="C1064" i="9"/>
  <c r="G1064" i="9" s="1"/>
  <c r="L1064" i="9" s="1"/>
  <c r="C1063" i="9"/>
  <c r="G1063" i="9" s="1"/>
  <c r="L1063" i="9" s="1"/>
  <c r="C1062" i="9"/>
  <c r="G1062" i="9" s="1"/>
  <c r="L1062" i="9" s="1"/>
  <c r="C1061" i="9"/>
  <c r="G1061" i="9" s="1"/>
  <c r="L1061" i="9" s="1"/>
  <c r="C1050" i="9"/>
  <c r="G1050" i="9" s="1"/>
  <c r="L1050" i="9" s="1"/>
  <c r="C1049" i="9"/>
  <c r="G1049" i="9" s="1"/>
  <c r="L1049" i="9" s="1"/>
  <c r="C1048" i="9"/>
  <c r="G1048" i="9" s="1"/>
  <c r="L1048" i="9" s="1"/>
  <c r="C1047" i="9"/>
  <c r="G1047" i="9" s="1"/>
  <c r="L1047" i="9" s="1"/>
  <c r="C1046" i="9"/>
  <c r="G1046" i="9" s="1"/>
  <c r="L1046" i="9" s="1"/>
  <c r="C1045" i="9"/>
  <c r="G1045" i="9" s="1"/>
  <c r="L1045" i="9" s="1"/>
  <c r="C1034" i="9"/>
  <c r="G1034" i="9" s="1"/>
  <c r="L1034" i="9" s="1"/>
  <c r="C1033" i="9"/>
  <c r="G1033" i="9" s="1"/>
  <c r="L1033" i="9" s="1"/>
  <c r="C1032" i="9"/>
  <c r="G1032" i="9" s="1"/>
  <c r="L1032" i="9" s="1"/>
  <c r="C1026" i="9"/>
  <c r="G1026" i="9" s="1"/>
  <c r="L1026" i="9" s="1"/>
  <c r="C1021" i="9"/>
  <c r="G1021" i="9" s="1"/>
  <c r="L1021" i="9" s="1"/>
  <c r="C1020" i="9"/>
  <c r="G1020" i="9" s="1"/>
  <c r="L1020" i="9" s="1"/>
  <c r="C1019" i="9"/>
  <c r="G1019" i="9" s="1"/>
  <c r="L1019" i="9" s="1"/>
  <c r="C1009" i="9"/>
  <c r="G1009" i="9" s="1"/>
  <c r="L1009" i="9" s="1"/>
  <c r="C1002" i="9"/>
  <c r="G1002" i="9" s="1"/>
  <c r="L1002" i="9" s="1"/>
  <c r="C1001" i="9"/>
  <c r="G1001" i="9" s="1"/>
  <c r="L1001" i="9" s="1"/>
  <c r="C1000" i="9"/>
  <c r="G1000" i="9" s="1"/>
  <c r="L1000" i="9" s="1"/>
  <c r="C993" i="9"/>
  <c r="G993" i="9" s="1"/>
  <c r="L993" i="9" s="1"/>
  <c r="C992" i="9"/>
  <c r="G992" i="9" s="1"/>
  <c r="L992" i="9" s="1"/>
  <c r="C976" i="9"/>
  <c r="G976" i="9" s="1"/>
  <c r="L976" i="9" s="1"/>
  <c r="C967" i="9"/>
  <c r="G967" i="9" s="1"/>
  <c r="L967" i="9" s="1"/>
  <c r="C966" i="9"/>
  <c r="G966" i="9" s="1"/>
  <c r="L966" i="9" s="1"/>
  <c r="C956" i="9"/>
  <c r="G956" i="9" s="1"/>
  <c r="L956" i="9" s="1"/>
  <c r="C955" i="9"/>
  <c r="G955" i="9" s="1"/>
  <c r="L955" i="9" s="1"/>
  <c r="C946" i="9"/>
  <c r="G946" i="9" s="1"/>
  <c r="L946" i="9" s="1"/>
  <c r="C935" i="9"/>
  <c r="G935" i="9" s="1"/>
  <c r="L935" i="9" s="1"/>
  <c r="C934" i="9"/>
  <c r="G934" i="9" s="1"/>
  <c r="L934" i="9" s="1"/>
  <c r="C921" i="9"/>
  <c r="G921" i="9" s="1"/>
  <c r="L921" i="9" s="1"/>
  <c r="C920" i="9"/>
  <c r="G920" i="9" s="1"/>
  <c r="L920" i="9" s="1"/>
  <c r="C919" i="9"/>
  <c r="G919" i="9" s="1"/>
  <c r="L919" i="9" s="1"/>
  <c r="C915" i="9"/>
  <c r="G915" i="9" s="1"/>
  <c r="L915" i="9" s="1"/>
  <c r="C914" i="9"/>
  <c r="G914" i="9" s="1"/>
  <c r="L914" i="9" s="1"/>
  <c r="C913" i="9"/>
  <c r="G913" i="9" s="1"/>
  <c r="L913" i="9" s="1"/>
  <c r="C904" i="9"/>
  <c r="G904" i="9" s="1"/>
  <c r="L904" i="9" s="1"/>
  <c r="C895" i="9"/>
  <c r="G895" i="9" s="1"/>
  <c r="L895" i="9" s="1"/>
  <c r="C889" i="9"/>
  <c r="G889" i="9" s="1"/>
  <c r="L889" i="9" s="1"/>
  <c r="C874" i="9"/>
  <c r="G874" i="9" s="1"/>
  <c r="L874" i="9" s="1"/>
  <c r="C873" i="9"/>
  <c r="G873" i="9" s="1"/>
  <c r="L873" i="9" s="1"/>
  <c r="C865" i="9"/>
  <c r="G865" i="9" s="1"/>
  <c r="L865" i="9" s="1"/>
  <c r="C864" i="9"/>
  <c r="G864" i="9" s="1"/>
  <c r="L864" i="9" s="1"/>
  <c r="C858" i="9"/>
  <c r="G858" i="9" s="1"/>
  <c r="L858" i="9" s="1"/>
  <c r="C849" i="9"/>
  <c r="G849" i="9" s="1"/>
  <c r="L849" i="9" s="1"/>
  <c r="C848" i="9"/>
  <c r="G848" i="9" s="1"/>
  <c r="L848" i="9" s="1"/>
  <c r="C838" i="9"/>
  <c r="G838" i="9" s="1"/>
  <c r="L838" i="9" s="1"/>
  <c r="C837" i="9"/>
  <c r="G837" i="9" s="1"/>
  <c r="L837" i="9" s="1"/>
  <c r="C813" i="9"/>
  <c r="G813" i="9" s="1"/>
  <c r="L813" i="9" s="1"/>
  <c r="C812" i="9"/>
  <c r="G812" i="9" s="1"/>
  <c r="L812" i="9" s="1"/>
  <c r="C811" i="9"/>
  <c r="G811" i="9" s="1"/>
  <c r="L811" i="9" s="1"/>
  <c r="C797" i="9"/>
  <c r="G797" i="9" s="1"/>
  <c r="L797" i="9" s="1"/>
  <c r="C795" i="9"/>
  <c r="G795" i="9" s="1"/>
  <c r="L795" i="9" s="1"/>
  <c r="C792" i="9"/>
  <c r="G792" i="9" s="1"/>
  <c r="L792" i="9" s="1"/>
  <c r="C784" i="9"/>
  <c r="G784" i="9" s="1"/>
  <c r="L784" i="9" s="1"/>
  <c r="C781" i="9"/>
  <c r="G781" i="9" s="1"/>
  <c r="L781" i="9" s="1"/>
  <c r="C780" i="9"/>
  <c r="G780" i="9" s="1"/>
  <c r="L780" i="9" s="1"/>
  <c r="C772" i="9"/>
  <c r="G772" i="9" s="1"/>
  <c r="L772" i="9" s="1"/>
  <c r="C771" i="9"/>
  <c r="G771" i="9" s="1"/>
  <c r="L771" i="9" s="1"/>
  <c r="C770" i="9"/>
  <c r="G770" i="9" s="1"/>
  <c r="L770" i="9" s="1"/>
  <c r="C769" i="9"/>
  <c r="G769" i="9" s="1"/>
  <c r="L769" i="9" s="1"/>
  <c r="C760" i="9"/>
  <c r="G760" i="9" s="1"/>
  <c r="L760" i="9" s="1"/>
  <c r="C753" i="9"/>
  <c r="G753" i="9" s="1"/>
  <c r="L753" i="9" s="1"/>
  <c r="C752" i="9"/>
  <c r="G752" i="9" s="1"/>
  <c r="L752" i="9" s="1"/>
  <c r="C751" i="9"/>
  <c r="G751" i="9" s="1"/>
  <c r="L751" i="9" s="1"/>
  <c r="C745" i="9"/>
  <c r="G745" i="9" s="1"/>
  <c r="L745" i="9" s="1"/>
  <c r="C739" i="9"/>
  <c r="G739" i="9" s="1"/>
  <c r="L739" i="9" s="1"/>
  <c r="C718" i="9"/>
  <c r="G718" i="9" s="1"/>
  <c r="L718" i="9" s="1"/>
  <c r="C710" i="9"/>
  <c r="G710" i="9" s="1"/>
  <c r="L710" i="9" s="1"/>
  <c r="C709" i="9"/>
  <c r="G709" i="9" s="1"/>
  <c r="L709" i="9" s="1"/>
  <c r="C704" i="9"/>
  <c r="G704" i="9" s="1"/>
  <c r="L704" i="9" s="1"/>
  <c r="C697" i="9"/>
  <c r="G697" i="9" s="1"/>
  <c r="L697" i="9" s="1"/>
  <c r="C696" i="9"/>
  <c r="G696" i="9" s="1"/>
  <c r="L696" i="9" s="1"/>
  <c r="C695" i="9"/>
  <c r="G695" i="9" s="1"/>
  <c r="L695" i="9" s="1"/>
  <c r="C688" i="9"/>
  <c r="G688" i="9" s="1"/>
  <c r="L688" i="9" s="1"/>
  <c r="C687" i="9"/>
  <c r="G687" i="9" s="1"/>
  <c r="L687" i="9" s="1"/>
  <c r="C670" i="9"/>
  <c r="G670" i="9" s="1"/>
  <c r="L670" i="9" s="1"/>
  <c r="C669" i="9"/>
  <c r="G669" i="9" s="1"/>
  <c r="L669" i="9" s="1"/>
  <c r="C668" i="9"/>
  <c r="G668" i="9" s="1"/>
  <c r="L668" i="9" s="1"/>
  <c r="C662" i="9"/>
  <c r="G662" i="9" s="1"/>
  <c r="L662" i="9" s="1"/>
  <c r="C645" i="9"/>
  <c r="G645" i="9" s="1"/>
  <c r="L645" i="9" s="1"/>
  <c r="C637" i="9"/>
  <c r="G637" i="9" s="1"/>
  <c r="L637" i="9" s="1"/>
  <c r="C636" i="9"/>
  <c r="G636" i="9" s="1"/>
  <c r="L636" i="9" s="1"/>
  <c r="C635" i="9"/>
  <c r="G635" i="9" s="1"/>
  <c r="L635" i="9" s="1"/>
  <c r="C634" i="9"/>
  <c r="G634" i="9" s="1"/>
  <c r="L634" i="9" s="1"/>
  <c r="C622" i="9"/>
  <c r="G622" i="9" s="1"/>
  <c r="L622" i="9" s="1"/>
  <c r="C621" i="9"/>
  <c r="G621" i="9" s="1"/>
  <c r="L621" i="9" s="1"/>
  <c r="C607" i="9"/>
  <c r="G607" i="9" s="1"/>
  <c r="L607" i="9" s="1"/>
  <c r="C606" i="9"/>
  <c r="G606" i="9" s="1"/>
  <c r="L606" i="9" s="1"/>
  <c r="C605" i="9"/>
  <c r="G605" i="9" s="1"/>
  <c r="L605" i="9" s="1"/>
  <c r="C604" i="9"/>
  <c r="G604" i="9" s="1"/>
  <c r="L604" i="9" s="1"/>
  <c r="C597" i="9"/>
  <c r="G597" i="9" s="1"/>
  <c r="L597" i="9" s="1"/>
  <c r="C589" i="9"/>
  <c r="G589" i="9" s="1"/>
  <c r="L589" i="9" s="1"/>
  <c r="C582" i="9"/>
  <c r="G582" i="9" s="1"/>
  <c r="L582" i="9" s="1"/>
  <c r="C581" i="9"/>
  <c r="G581" i="9" s="1"/>
  <c r="L581" i="9" s="1"/>
  <c r="C578" i="9"/>
  <c r="G578" i="9" s="1"/>
  <c r="L578" i="9" s="1"/>
  <c r="C565" i="9"/>
  <c r="G565" i="9" s="1"/>
  <c r="L565" i="9" s="1"/>
  <c r="C558" i="9"/>
  <c r="G558" i="9" s="1"/>
  <c r="L558" i="9" s="1"/>
  <c r="C554" i="9"/>
  <c r="G554" i="9" s="1"/>
  <c r="L554" i="9" s="1"/>
  <c r="C540" i="9"/>
  <c r="G540" i="9" s="1"/>
  <c r="L540" i="9" s="1"/>
  <c r="C533" i="9"/>
  <c r="G533" i="9" s="1"/>
  <c r="L533" i="9" s="1"/>
  <c r="C524" i="9"/>
  <c r="G524" i="9" s="1"/>
  <c r="L524" i="9" s="1"/>
  <c r="C518" i="9"/>
  <c r="G518" i="9" s="1"/>
  <c r="L518" i="9" s="1"/>
  <c r="C517" i="9"/>
  <c r="G517" i="9" s="1"/>
  <c r="L517" i="9" s="1"/>
  <c r="C498" i="9"/>
  <c r="G498" i="9" s="1"/>
  <c r="L498" i="9" s="1"/>
  <c r="C497" i="9"/>
  <c r="G497" i="9" s="1"/>
  <c r="L497" i="9" s="1"/>
  <c r="C464" i="9"/>
  <c r="G464" i="9" s="1"/>
  <c r="L464" i="9" s="1"/>
  <c r="C463" i="9"/>
  <c r="G463" i="9" s="1"/>
  <c r="L463" i="9" s="1"/>
  <c r="C462" i="9"/>
  <c r="G462" i="9" s="1"/>
  <c r="L462" i="9" s="1"/>
  <c r="C461" i="9"/>
  <c r="G461" i="9" s="1"/>
  <c r="L461" i="9" s="1"/>
  <c r="C439" i="9"/>
  <c r="G439" i="9" s="1"/>
  <c r="L439" i="9" s="1"/>
  <c r="C427" i="9"/>
  <c r="G427" i="9" s="1"/>
  <c r="L427" i="9" s="1"/>
  <c r="C426" i="9"/>
  <c r="G426" i="9" s="1"/>
  <c r="L426" i="9" s="1"/>
  <c r="C407" i="9"/>
  <c r="G407" i="9" s="1"/>
  <c r="L407" i="9" s="1"/>
  <c r="C406" i="9"/>
  <c r="G406" i="9" s="1"/>
  <c r="L406" i="9" s="1"/>
  <c r="C405" i="9"/>
  <c r="G405" i="9" s="1"/>
  <c r="L405" i="9" s="1"/>
  <c r="C400" i="9"/>
  <c r="G400" i="9" s="1"/>
  <c r="L400" i="9" s="1"/>
  <c r="C395" i="9"/>
  <c r="G395" i="9" s="1"/>
  <c r="L395" i="9" s="1"/>
  <c r="C389" i="9"/>
  <c r="G389" i="9" s="1"/>
  <c r="L389" i="9" s="1"/>
  <c r="C388" i="9"/>
  <c r="G388" i="9" s="1"/>
  <c r="L388" i="9" s="1"/>
  <c r="C379" i="9"/>
  <c r="G379" i="9" s="1"/>
  <c r="L379" i="9" s="1"/>
  <c r="C372" i="9"/>
  <c r="G372" i="9" s="1"/>
  <c r="L372" i="9" s="1"/>
  <c r="C371" i="9"/>
  <c r="G371" i="9" s="1"/>
  <c r="L371" i="9" s="1"/>
  <c r="C370" i="9"/>
  <c r="G370" i="9" s="1"/>
  <c r="L370" i="9" s="1"/>
  <c r="C365" i="9"/>
  <c r="G365" i="9" s="1"/>
  <c r="L365" i="9" s="1"/>
  <c r="C364" i="9"/>
  <c r="G364" i="9" s="1"/>
  <c r="L364" i="9" s="1"/>
  <c r="C351" i="9"/>
  <c r="G351" i="9" s="1"/>
  <c r="L351" i="9" s="1"/>
  <c r="C345" i="9"/>
  <c r="G345" i="9" s="1"/>
  <c r="L345" i="9" s="1"/>
  <c r="C337" i="9"/>
  <c r="G337" i="9" s="1"/>
  <c r="L337" i="9" s="1"/>
  <c r="C316" i="9"/>
  <c r="G316" i="9" s="1"/>
  <c r="L316" i="9" s="1"/>
  <c r="C305" i="9"/>
  <c r="G305" i="9" s="1"/>
  <c r="L305" i="9" s="1"/>
  <c r="C298" i="9"/>
  <c r="G298" i="9" s="1"/>
  <c r="L298" i="9" s="1"/>
  <c r="C289" i="9"/>
  <c r="G289" i="9" s="1"/>
  <c r="L289" i="9" s="1"/>
  <c r="C288" i="9"/>
  <c r="G288" i="9" s="1"/>
  <c r="L288" i="9" s="1"/>
  <c r="C273" i="9"/>
  <c r="G273" i="9" s="1"/>
  <c r="L273" i="9" s="1"/>
  <c r="C260" i="9"/>
  <c r="G260" i="9" s="1"/>
  <c r="L260" i="9" s="1"/>
  <c r="C259" i="9"/>
  <c r="G259" i="9" s="1"/>
  <c r="L259" i="9" s="1"/>
  <c r="C250" i="9"/>
  <c r="G250" i="9" s="1"/>
  <c r="L250" i="9" s="1"/>
  <c r="C249" i="9"/>
  <c r="G249" i="9" s="1"/>
  <c r="L249" i="9" s="1"/>
  <c r="C226" i="9"/>
  <c r="G226" i="9" s="1"/>
  <c r="L226" i="9" s="1"/>
  <c r="C219" i="9"/>
  <c r="G219" i="9" s="1"/>
  <c r="L219" i="9" s="1"/>
  <c r="C210" i="9"/>
  <c r="G210" i="9" s="1"/>
  <c r="L210" i="9" s="1"/>
  <c r="C197" i="9"/>
  <c r="G197" i="9" s="1"/>
  <c r="L197" i="9" s="1"/>
  <c r="C178" i="9"/>
  <c r="G178" i="9" s="1"/>
  <c r="L178" i="9" s="1"/>
  <c r="C168" i="9"/>
  <c r="G168" i="9" s="1"/>
  <c r="L168" i="9" s="1"/>
  <c r="C162" i="9"/>
  <c r="G162" i="9" s="1"/>
  <c r="L162" i="9" s="1"/>
  <c r="C150" i="9"/>
  <c r="G150" i="9" s="1"/>
  <c r="L150" i="9" s="1"/>
  <c r="C130" i="9"/>
  <c r="G130" i="9" s="1"/>
  <c r="L130" i="9" s="1"/>
  <c r="C124" i="9"/>
  <c r="G124" i="9" s="1"/>
  <c r="L124" i="9" s="1"/>
  <c r="C111" i="9"/>
  <c r="G111" i="9" s="1"/>
  <c r="L111" i="9" s="1"/>
  <c r="C82" i="9"/>
  <c r="G82" i="9" s="1"/>
  <c r="L82" i="9" s="1"/>
  <c r="C70" i="9"/>
  <c r="G70" i="9" s="1"/>
  <c r="L70" i="9" s="1"/>
  <c r="C66" i="9"/>
  <c r="G66" i="9" s="1"/>
  <c r="L66" i="9" s="1"/>
  <c r="C65" i="9"/>
  <c r="G65" i="9" s="1"/>
  <c r="L65" i="9" s="1"/>
  <c r="C58" i="9"/>
  <c r="G58" i="9" s="1"/>
  <c r="L58" i="9" s="1"/>
  <c r="C57" i="9"/>
  <c r="G57" i="9" s="1"/>
  <c r="L57" i="9" s="1"/>
  <c r="C39" i="9"/>
  <c r="G39" i="9" s="1"/>
  <c r="L39" i="9" s="1"/>
  <c r="C21" i="9"/>
  <c r="G21" i="9" s="1"/>
  <c r="L21" i="9" s="1"/>
  <c r="C20" i="9"/>
  <c r="G20" i="9" s="1"/>
  <c r="L20" i="9" s="1"/>
  <c r="C14" i="9"/>
  <c r="G14" i="9" s="1"/>
  <c r="L14" i="9" s="1"/>
  <c r="C2" i="9"/>
  <c r="G2" i="9" s="1"/>
  <c r="L2" i="9" s="1"/>
  <c r="G3" i="9"/>
  <c r="L3" i="9" s="1"/>
  <c r="G4" i="9"/>
  <c r="L4" i="9" s="1"/>
  <c r="G5" i="9"/>
  <c r="L5" i="9" s="1"/>
  <c r="G6" i="9"/>
  <c r="L6" i="9" s="1"/>
  <c r="G7" i="9"/>
  <c r="L7" i="9" s="1"/>
  <c r="G8" i="9"/>
  <c r="L8" i="9" s="1"/>
  <c r="G9" i="9"/>
  <c r="L9" i="9" s="1"/>
  <c r="G10" i="9"/>
  <c r="L10" i="9" s="1"/>
  <c r="G11" i="9"/>
  <c r="L11" i="9" s="1"/>
  <c r="G12" i="9"/>
  <c r="L12" i="9" s="1"/>
  <c r="G13" i="9"/>
  <c r="L13" i="9" s="1"/>
  <c r="G15" i="9"/>
  <c r="L15" i="9" s="1"/>
  <c r="G16" i="9"/>
  <c r="L16" i="9" s="1"/>
  <c r="G17" i="9"/>
  <c r="L17" i="9" s="1"/>
  <c r="G18" i="9"/>
  <c r="L18" i="9" s="1"/>
  <c r="G19" i="9"/>
  <c r="L19" i="9" s="1"/>
  <c r="G22" i="9"/>
  <c r="L22" i="9" s="1"/>
  <c r="G23" i="9"/>
  <c r="L23" i="9" s="1"/>
  <c r="G24" i="9"/>
  <c r="L24" i="9" s="1"/>
  <c r="G25" i="9"/>
  <c r="L25" i="9" s="1"/>
  <c r="G26" i="9"/>
  <c r="L26" i="9" s="1"/>
  <c r="G27" i="9"/>
  <c r="L27" i="9" s="1"/>
  <c r="G28" i="9"/>
  <c r="L28" i="9" s="1"/>
  <c r="G29" i="9"/>
  <c r="L29" i="9" s="1"/>
  <c r="G30" i="9"/>
  <c r="L30" i="9" s="1"/>
  <c r="G31" i="9"/>
  <c r="L31" i="9" s="1"/>
  <c r="G32" i="9"/>
  <c r="L32" i="9" s="1"/>
  <c r="G33" i="9"/>
  <c r="L33" i="9" s="1"/>
  <c r="G34" i="9"/>
  <c r="L34" i="9" s="1"/>
  <c r="G35" i="9"/>
  <c r="L35" i="9" s="1"/>
  <c r="G36" i="9"/>
  <c r="L36" i="9" s="1"/>
  <c r="G37" i="9"/>
  <c r="L37" i="9" s="1"/>
  <c r="G38" i="9"/>
  <c r="L38" i="9" s="1"/>
  <c r="G40" i="9"/>
  <c r="L40" i="9" s="1"/>
  <c r="G41" i="9"/>
  <c r="L41" i="9" s="1"/>
  <c r="G42" i="9"/>
  <c r="L42" i="9" s="1"/>
  <c r="G43" i="9"/>
  <c r="L43" i="9" s="1"/>
  <c r="G44" i="9"/>
  <c r="L44" i="9" s="1"/>
  <c r="G45" i="9"/>
  <c r="L45" i="9" s="1"/>
  <c r="G46" i="9"/>
  <c r="L46" i="9" s="1"/>
  <c r="G47" i="9"/>
  <c r="L47" i="9" s="1"/>
  <c r="G48" i="9"/>
  <c r="L48" i="9" s="1"/>
  <c r="G49" i="9"/>
  <c r="L49" i="9" s="1"/>
  <c r="G50" i="9"/>
  <c r="L50" i="9" s="1"/>
  <c r="G51" i="9"/>
  <c r="L51" i="9" s="1"/>
  <c r="G52" i="9"/>
  <c r="L52" i="9" s="1"/>
  <c r="G53" i="9"/>
  <c r="L53" i="9" s="1"/>
  <c r="G54" i="9"/>
  <c r="L54" i="9" s="1"/>
  <c r="G55" i="9"/>
  <c r="L55" i="9" s="1"/>
  <c r="G56" i="9"/>
  <c r="L56" i="9" s="1"/>
  <c r="G59" i="9"/>
  <c r="L59" i="9" s="1"/>
  <c r="G60" i="9"/>
  <c r="L60" i="9" s="1"/>
  <c r="G61" i="9"/>
  <c r="L61" i="9" s="1"/>
  <c r="G62" i="9"/>
  <c r="L62" i="9" s="1"/>
  <c r="G63" i="9"/>
  <c r="L63" i="9" s="1"/>
  <c r="G64" i="9"/>
  <c r="L64" i="9" s="1"/>
  <c r="G67" i="9"/>
  <c r="L67" i="9" s="1"/>
  <c r="G68" i="9"/>
  <c r="L68" i="9" s="1"/>
  <c r="G69" i="9"/>
  <c r="L69" i="9" s="1"/>
  <c r="G71" i="9"/>
  <c r="L71" i="9" s="1"/>
  <c r="G72" i="9"/>
  <c r="L72" i="9" s="1"/>
  <c r="G73" i="9"/>
  <c r="L73" i="9" s="1"/>
  <c r="G74" i="9"/>
  <c r="L74" i="9" s="1"/>
  <c r="G75" i="9"/>
  <c r="L75" i="9" s="1"/>
  <c r="G76" i="9"/>
  <c r="L76" i="9" s="1"/>
  <c r="G77" i="9"/>
  <c r="L77" i="9" s="1"/>
  <c r="G78" i="9"/>
  <c r="L78" i="9" s="1"/>
  <c r="G79" i="9"/>
  <c r="L79" i="9" s="1"/>
  <c r="G80" i="9"/>
  <c r="L80" i="9" s="1"/>
  <c r="G81" i="9"/>
  <c r="L81" i="9" s="1"/>
  <c r="G83" i="9"/>
  <c r="L83" i="9" s="1"/>
  <c r="G84" i="9"/>
  <c r="L84" i="9" s="1"/>
  <c r="G85" i="9"/>
  <c r="L85" i="9" s="1"/>
  <c r="G86" i="9"/>
  <c r="L86" i="9" s="1"/>
  <c r="G87" i="9"/>
  <c r="L87" i="9" s="1"/>
  <c r="G88" i="9"/>
  <c r="L88" i="9" s="1"/>
  <c r="G89" i="9"/>
  <c r="L89" i="9" s="1"/>
  <c r="G90" i="9"/>
  <c r="L90" i="9" s="1"/>
  <c r="G91" i="9"/>
  <c r="L91" i="9" s="1"/>
  <c r="G92" i="9"/>
  <c r="L92" i="9" s="1"/>
  <c r="G93" i="9"/>
  <c r="L93" i="9" s="1"/>
  <c r="G94" i="9"/>
  <c r="L94" i="9" s="1"/>
  <c r="G95" i="9"/>
  <c r="L95" i="9" s="1"/>
  <c r="G96" i="9"/>
  <c r="L96" i="9" s="1"/>
  <c r="G97" i="9"/>
  <c r="L97" i="9" s="1"/>
  <c r="G98" i="9"/>
  <c r="L98" i="9" s="1"/>
  <c r="G99" i="9"/>
  <c r="L99" i="9" s="1"/>
  <c r="G100" i="9"/>
  <c r="L100" i="9" s="1"/>
  <c r="G101" i="9"/>
  <c r="L101" i="9" s="1"/>
  <c r="G102" i="9"/>
  <c r="L102" i="9" s="1"/>
  <c r="G103" i="9"/>
  <c r="L103" i="9" s="1"/>
  <c r="G104" i="9"/>
  <c r="L104" i="9" s="1"/>
  <c r="G105" i="9"/>
  <c r="L105" i="9" s="1"/>
  <c r="G106" i="9"/>
  <c r="L106" i="9" s="1"/>
  <c r="G107" i="9"/>
  <c r="L107" i="9" s="1"/>
  <c r="G108" i="9"/>
  <c r="L108" i="9" s="1"/>
  <c r="G109" i="9"/>
  <c r="L109" i="9" s="1"/>
  <c r="G110" i="9"/>
  <c r="L110" i="9" s="1"/>
  <c r="G112" i="9"/>
  <c r="L112" i="9" s="1"/>
  <c r="G113" i="9"/>
  <c r="L113" i="9" s="1"/>
  <c r="G114" i="9"/>
  <c r="L114" i="9" s="1"/>
  <c r="G115" i="9"/>
  <c r="L115" i="9" s="1"/>
  <c r="G116" i="9"/>
  <c r="L116" i="9" s="1"/>
  <c r="G117" i="9"/>
  <c r="L117" i="9" s="1"/>
  <c r="G118" i="9"/>
  <c r="L118" i="9" s="1"/>
  <c r="G119" i="9"/>
  <c r="L119" i="9" s="1"/>
  <c r="G120" i="9"/>
  <c r="L120" i="9" s="1"/>
  <c r="G121" i="9"/>
  <c r="L121" i="9" s="1"/>
  <c r="G122" i="9"/>
  <c r="L122" i="9" s="1"/>
  <c r="G123" i="9"/>
  <c r="L123" i="9" s="1"/>
  <c r="G125" i="9"/>
  <c r="L125" i="9" s="1"/>
  <c r="G126" i="9"/>
  <c r="L126" i="9" s="1"/>
  <c r="G127" i="9"/>
  <c r="L127" i="9" s="1"/>
  <c r="G128" i="9"/>
  <c r="L128" i="9" s="1"/>
  <c r="G129" i="9"/>
  <c r="L129" i="9" s="1"/>
  <c r="G131" i="9"/>
  <c r="L131" i="9" s="1"/>
  <c r="G132" i="9"/>
  <c r="L132" i="9" s="1"/>
  <c r="G133" i="9"/>
  <c r="L133" i="9" s="1"/>
  <c r="G134" i="9"/>
  <c r="L134" i="9" s="1"/>
  <c r="G135" i="9"/>
  <c r="L135" i="9" s="1"/>
  <c r="G136" i="9"/>
  <c r="L136" i="9" s="1"/>
  <c r="G137" i="9"/>
  <c r="L137" i="9" s="1"/>
  <c r="G138" i="9"/>
  <c r="L138" i="9" s="1"/>
  <c r="G139" i="9"/>
  <c r="L139" i="9" s="1"/>
  <c r="G140" i="9"/>
  <c r="L140" i="9" s="1"/>
  <c r="G141" i="9"/>
  <c r="L141" i="9" s="1"/>
  <c r="G142" i="9"/>
  <c r="L142" i="9" s="1"/>
  <c r="G143" i="9"/>
  <c r="L143" i="9" s="1"/>
  <c r="G144" i="9"/>
  <c r="L144" i="9" s="1"/>
  <c r="G145" i="9"/>
  <c r="L145" i="9" s="1"/>
  <c r="G146" i="9"/>
  <c r="L146" i="9" s="1"/>
  <c r="G147" i="9"/>
  <c r="L147" i="9" s="1"/>
  <c r="G148" i="9"/>
  <c r="L148" i="9" s="1"/>
  <c r="G149" i="9"/>
  <c r="L149" i="9" s="1"/>
  <c r="G151" i="9"/>
  <c r="L151" i="9" s="1"/>
  <c r="G152" i="9"/>
  <c r="L152" i="9" s="1"/>
  <c r="G153" i="9"/>
  <c r="L153" i="9" s="1"/>
  <c r="G154" i="9"/>
  <c r="L154" i="9" s="1"/>
  <c r="G155" i="9"/>
  <c r="L155" i="9" s="1"/>
  <c r="G156" i="9"/>
  <c r="L156" i="9" s="1"/>
  <c r="G157" i="9"/>
  <c r="L157" i="9" s="1"/>
  <c r="G158" i="9"/>
  <c r="L158" i="9" s="1"/>
  <c r="G159" i="9"/>
  <c r="L159" i="9" s="1"/>
  <c r="G160" i="9"/>
  <c r="L160" i="9" s="1"/>
  <c r="G161" i="9"/>
  <c r="L161" i="9" s="1"/>
  <c r="G163" i="9"/>
  <c r="L163" i="9" s="1"/>
  <c r="G164" i="9"/>
  <c r="L164" i="9" s="1"/>
  <c r="G165" i="9"/>
  <c r="L165" i="9" s="1"/>
  <c r="G166" i="9"/>
  <c r="L166" i="9" s="1"/>
  <c r="G167" i="9"/>
  <c r="L167" i="9" s="1"/>
  <c r="G169" i="9"/>
  <c r="L169" i="9" s="1"/>
  <c r="G170" i="9"/>
  <c r="L170" i="9" s="1"/>
  <c r="G171" i="9"/>
  <c r="L171" i="9" s="1"/>
  <c r="G172" i="9"/>
  <c r="L172" i="9" s="1"/>
  <c r="G173" i="9"/>
  <c r="L173" i="9" s="1"/>
  <c r="G174" i="9"/>
  <c r="L174" i="9" s="1"/>
  <c r="G175" i="9"/>
  <c r="L175" i="9" s="1"/>
  <c r="G176" i="9"/>
  <c r="L176" i="9" s="1"/>
  <c r="G177" i="9"/>
  <c r="L177" i="9" s="1"/>
  <c r="G179" i="9"/>
  <c r="L179" i="9" s="1"/>
  <c r="G180" i="9"/>
  <c r="L180" i="9" s="1"/>
  <c r="G181" i="9"/>
  <c r="L181" i="9" s="1"/>
  <c r="G182" i="9"/>
  <c r="L182" i="9" s="1"/>
  <c r="G183" i="9"/>
  <c r="L183" i="9" s="1"/>
  <c r="G184" i="9"/>
  <c r="L184" i="9" s="1"/>
  <c r="G185" i="9"/>
  <c r="L185" i="9" s="1"/>
  <c r="G186" i="9"/>
  <c r="L186" i="9" s="1"/>
  <c r="G187" i="9"/>
  <c r="L187" i="9" s="1"/>
  <c r="G188" i="9"/>
  <c r="L188" i="9" s="1"/>
  <c r="G189" i="9"/>
  <c r="L189" i="9" s="1"/>
  <c r="G190" i="9"/>
  <c r="L190" i="9" s="1"/>
  <c r="G191" i="9"/>
  <c r="L191" i="9" s="1"/>
  <c r="G192" i="9"/>
  <c r="L192" i="9" s="1"/>
  <c r="G193" i="9"/>
  <c r="L193" i="9" s="1"/>
  <c r="G194" i="9"/>
  <c r="L194" i="9" s="1"/>
  <c r="G195" i="9"/>
  <c r="L195" i="9" s="1"/>
  <c r="G196" i="9"/>
  <c r="L196" i="9" s="1"/>
  <c r="G198" i="9"/>
  <c r="L198" i="9" s="1"/>
  <c r="G199" i="9"/>
  <c r="L199" i="9" s="1"/>
  <c r="G200" i="9"/>
  <c r="L200" i="9" s="1"/>
  <c r="G201" i="9"/>
  <c r="L201" i="9" s="1"/>
  <c r="G202" i="9"/>
  <c r="L202" i="9" s="1"/>
  <c r="G203" i="9"/>
  <c r="L203" i="9" s="1"/>
  <c r="G204" i="9"/>
  <c r="L204" i="9" s="1"/>
  <c r="G205" i="9"/>
  <c r="L205" i="9" s="1"/>
  <c r="G206" i="9"/>
  <c r="L206" i="9" s="1"/>
  <c r="G207" i="9"/>
  <c r="L207" i="9" s="1"/>
  <c r="G208" i="9"/>
  <c r="L208" i="9" s="1"/>
  <c r="G209" i="9"/>
  <c r="L209" i="9" s="1"/>
  <c r="G211" i="9"/>
  <c r="L211" i="9" s="1"/>
  <c r="G212" i="9"/>
  <c r="L212" i="9" s="1"/>
  <c r="G213" i="9"/>
  <c r="L213" i="9" s="1"/>
  <c r="G214" i="9"/>
  <c r="L214" i="9" s="1"/>
  <c r="G215" i="9"/>
  <c r="L215" i="9" s="1"/>
  <c r="G216" i="9"/>
  <c r="L216" i="9" s="1"/>
  <c r="G217" i="9"/>
  <c r="L217" i="9" s="1"/>
  <c r="G218" i="9"/>
  <c r="L218" i="9" s="1"/>
  <c r="G220" i="9"/>
  <c r="L220" i="9" s="1"/>
  <c r="G221" i="9"/>
  <c r="L221" i="9" s="1"/>
  <c r="G222" i="9"/>
  <c r="L222" i="9" s="1"/>
  <c r="G223" i="9"/>
  <c r="L223" i="9" s="1"/>
  <c r="G224" i="9"/>
  <c r="L224" i="9" s="1"/>
  <c r="G225" i="9"/>
  <c r="L225" i="9" s="1"/>
  <c r="G227" i="9"/>
  <c r="L227" i="9" s="1"/>
  <c r="G228" i="9"/>
  <c r="L228" i="9" s="1"/>
  <c r="G229" i="9"/>
  <c r="L229" i="9" s="1"/>
  <c r="G230" i="9"/>
  <c r="L230" i="9" s="1"/>
  <c r="G231" i="9"/>
  <c r="L231" i="9" s="1"/>
  <c r="G232" i="9"/>
  <c r="L232" i="9" s="1"/>
  <c r="G233" i="9"/>
  <c r="L233" i="9" s="1"/>
  <c r="G234" i="9"/>
  <c r="L234" i="9" s="1"/>
  <c r="G235" i="9"/>
  <c r="L235" i="9" s="1"/>
  <c r="G236" i="9"/>
  <c r="L236" i="9" s="1"/>
  <c r="G237" i="9"/>
  <c r="L237" i="9" s="1"/>
  <c r="G238" i="9"/>
  <c r="L238" i="9" s="1"/>
  <c r="G239" i="9"/>
  <c r="L239" i="9" s="1"/>
  <c r="G240" i="9"/>
  <c r="L240" i="9" s="1"/>
  <c r="G241" i="9"/>
  <c r="L241" i="9" s="1"/>
  <c r="G242" i="9"/>
  <c r="L242" i="9" s="1"/>
  <c r="G243" i="9"/>
  <c r="L243" i="9" s="1"/>
  <c r="G244" i="9"/>
  <c r="L244" i="9" s="1"/>
  <c r="G245" i="9"/>
  <c r="L245" i="9" s="1"/>
  <c r="G246" i="9"/>
  <c r="L246" i="9" s="1"/>
  <c r="G247" i="9"/>
  <c r="L247" i="9" s="1"/>
  <c r="G248" i="9"/>
  <c r="L248" i="9" s="1"/>
  <c r="G251" i="9"/>
  <c r="L251" i="9" s="1"/>
  <c r="G252" i="9"/>
  <c r="L252" i="9" s="1"/>
  <c r="G253" i="9"/>
  <c r="L253" i="9" s="1"/>
  <c r="G254" i="9"/>
  <c r="L254" i="9" s="1"/>
  <c r="G255" i="9"/>
  <c r="L255" i="9" s="1"/>
  <c r="G256" i="9"/>
  <c r="L256" i="9" s="1"/>
  <c r="G257" i="9"/>
  <c r="L257" i="9" s="1"/>
  <c r="G258" i="9"/>
  <c r="L258" i="9" s="1"/>
  <c r="G261" i="9"/>
  <c r="L261" i="9" s="1"/>
  <c r="G262" i="9"/>
  <c r="L262" i="9" s="1"/>
  <c r="G263" i="9"/>
  <c r="L263" i="9" s="1"/>
  <c r="G264" i="9"/>
  <c r="L264" i="9" s="1"/>
  <c r="G265" i="9"/>
  <c r="L265" i="9" s="1"/>
  <c r="G266" i="9"/>
  <c r="L266" i="9" s="1"/>
  <c r="G267" i="9"/>
  <c r="L267" i="9" s="1"/>
  <c r="G268" i="9"/>
  <c r="L268" i="9" s="1"/>
  <c r="G269" i="9"/>
  <c r="L269" i="9" s="1"/>
  <c r="G270" i="9"/>
  <c r="L270" i="9" s="1"/>
  <c r="G271" i="9"/>
  <c r="L271" i="9" s="1"/>
  <c r="G272" i="9"/>
  <c r="L272" i="9" s="1"/>
  <c r="G274" i="9"/>
  <c r="L274" i="9" s="1"/>
  <c r="G275" i="9"/>
  <c r="L275" i="9" s="1"/>
  <c r="G276" i="9"/>
  <c r="L276" i="9" s="1"/>
  <c r="G277" i="9"/>
  <c r="L277" i="9" s="1"/>
  <c r="G278" i="9"/>
  <c r="L278" i="9" s="1"/>
  <c r="G279" i="9"/>
  <c r="L279" i="9" s="1"/>
  <c r="G280" i="9"/>
  <c r="L280" i="9" s="1"/>
  <c r="G281" i="9"/>
  <c r="L281" i="9" s="1"/>
  <c r="G282" i="9"/>
  <c r="L282" i="9" s="1"/>
  <c r="G283" i="9"/>
  <c r="L283" i="9" s="1"/>
  <c r="G284" i="9"/>
  <c r="L284" i="9" s="1"/>
  <c r="G285" i="9"/>
  <c r="L285" i="9" s="1"/>
  <c r="G286" i="9"/>
  <c r="L286" i="9" s="1"/>
  <c r="G287" i="9"/>
  <c r="L287" i="9" s="1"/>
  <c r="G290" i="9"/>
  <c r="L290" i="9" s="1"/>
  <c r="G291" i="9"/>
  <c r="L291" i="9" s="1"/>
  <c r="G292" i="9"/>
  <c r="L292" i="9" s="1"/>
  <c r="G293" i="9"/>
  <c r="L293" i="9" s="1"/>
  <c r="G294" i="9"/>
  <c r="L294" i="9" s="1"/>
  <c r="G295" i="9"/>
  <c r="L295" i="9" s="1"/>
  <c r="G296" i="9"/>
  <c r="L296" i="9" s="1"/>
  <c r="G297" i="9"/>
  <c r="L297" i="9" s="1"/>
  <c r="G299" i="9"/>
  <c r="L299" i="9" s="1"/>
  <c r="G300" i="9"/>
  <c r="L300" i="9" s="1"/>
  <c r="G301" i="9"/>
  <c r="L301" i="9" s="1"/>
  <c r="G302" i="9"/>
  <c r="L302" i="9" s="1"/>
  <c r="G303" i="9"/>
  <c r="L303" i="9" s="1"/>
  <c r="G304" i="9"/>
  <c r="L304" i="9" s="1"/>
  <c r="G306" i="9"/>
  <c r="L306" i="9" s="1"/>
  <c r="G307" i="9"/>
  <c r="L307" i="9" s="1"/>
  <c r="G308" i="9"/>
  <c r="L308" i="9" s="1"/>
  <c r="G309" i="9"/>
  <c r="L309" i="9" s="1"/>
  <c r="G310" i="9"/>
  <c r="L310" i="9" s="1"/>
  <c r="G311" i="9"/>
  <c r="L311" i="9" s="1"/>
  <c r="G312" i="9"/>
  <c r="L312" i="9" s="1"/>
  <c r="G313" i="9"/>
  <c r="L313" i="9" s="1"/>
  <c r="G314" i="9"/>
  <c r="L314" i="9" s="1"/>
  <c r="G315" i="9"/>
  <c r="L315" i="9" s="1"/>
  <c r="G317" i="9"/>
  <c r="L317" i="9" s="1"/>
  <c r="G318" i="9"/>
  <c r="L318" i="9" s="1"/>
  <c r="G319" i="9"/>
  <c r="L319" i="9" s="1"/>
  <c r="G320" i="9"/>
  <c r="L320" i="9" s="1"/>
  <c r="G321" i="9"/>
  <c r="L321" i="9" s="1"/>
  <c r="G322" i="9"/>
  <c r="L322" i="9" s="1"/>
  <c r="G323" i="9"/>
  <c r="L323" i="9" s="1"/>
  <c r="G324" i="9"/>
  <c r="L324" i="9" s="1"/>
  <c r="G325" i="9"/>
  <c r="L325" i="9" s="1"/>
  <c r="G326" i="9"/>
  <c r="L326" i="9" s="1"/>
  <c r="G327" i="9"/>
  <c r="L327" i="9" s="1"/>
  <c r="G328" i="9"/>
  <c r="L328" i="9" s="1"/>
  <c r="G329" i="9"/>
  <c r="L329" i="9" s="1"/>
  <c r="G330" i="9"/>
  <c r="L330" i="9" s="1"/>
  <c r="G331" i="9"/>
  <c r="L331" i="9" s="1"/>
  <c r="G332" i="9"/>
  <c r="L332" i="9" s="1"/>
  <c r="G333" i="9"/>
  <c r="L333" i="9" s="1"/>
  <c r="G334" i="9"/>
  <c r="L334" i="9" s="1"/>
  <c r="G335" i="9"/>
  <c r="L335" i="9" s="1"/>
  <c r="G336" i="9"/>
  <c r="L336" i="9" s="1"/>
  <c r="G338" i="9"/>
  <c r="L338" i="9" s="1"/>
  <c r="G339" i="9"/>
  <c r="L339" i="9" s="1"/>
  <c r="G340" i="9"/>
  <c r="L340" i="9" s="1"/>
  <c r="G341" i="9"/>
  <c r="L341" i="9" s="1"/>
  <c r="G342" i="9"/>
  <c r="L342" i="9" s="1"/>
  <c r="G343" i="9"/>
  <c r="L343" i="9" s="1"/>
  <c r="G344" i="9"/>
  <c r="L344" i="9" s="1"/>
  <c r="G346" i="9"/>
  <c r="L346" i="9" s="1"/>
  <c r="G347" i="9"/>
  <c r="L347" i="9" s="1"/>
  <c r="G348" i="9"/>
  <c r="L348" i="9" s="1"/>
  <c r="G349" i="9"/>
  <c r="L349" i="9" s="1"/>
  <c r="G350" i="9"/>
  <c r="L350" i="9" s="1"/>
  <c r="G352" i="9"/>
  <c r="L352" i="9" s="1"/>
  <c r="G353" i="9"/>
  <c r="L353" i="9" s="1"/>
  <c r="G354" i="9"/>
  <c r="L354" i="9" s="1"/>
  <c r="G355" i="9"/>
  <c r="L355" i="9" s="1"/>
  <c r="G356" i="9"/>
  <c r="L356" i="9" s="1"/>
  <c r="G357" i="9"/>
  <c r="L357" i="9" s="1"/>
  <c r="G358" i="9"/>
  <c r="L358" i="9" s="1"/>
  <c r="G359" i="9"/>
  <c r="L359" i="9" s="1"/>
  <c r="G360" i="9"/>
  <c r="L360" i="9" s="1"/>
  <c r="G361" i="9"/>
  <c r="L361" i="9" s="1"/>
  <c r="G362" i="9"/>
  <c r="L362" i="9" s="1"/>
  <c r="G363" i="9"/>
  <c r="L363" i="9" s="1"/>
  <c r="G366" i="9"/>
  <c r="L366" i="9" s="1"/>
  <c r="G367" i="9"/>
  <c r="L367" i="9" s="1"/>
  <c r="G368" i="9"/>
  <c r="L368" i="9" s="1"/>
  <c r="G369" i="9"/>
  <c r="L369" i="9" s="1"/>
  <c r="G373" i="9"/>
  <c r="L373" i="9" s="1"/>
  <c r="G374" i="9"/>
  <c r="L374" i="9" s="1"/>
  <c r="G375" i="9"/>
  <c r="L375" i="9" s="1"/>
  <c r="G376" i="9"/>
  <c r="L376" i="9" s="1"/>
  <c r="G377" i="9"/>
  <c r="L377" i="9" s="1"/>
  <c r="G378" i="9"/>
  <c r="L378" i="9" s="1"/>
  <c r="G380" i="9"/>
  <c r="L380" i="9" s="1"/>
  <c r="G381" i="9"/>
  <c r="L381" i="9" s="1"/>
  <c r="G382" i="9"/>
  <c r="L382" i="9" s="1"/>
  <c r="G383" i="9"/>
  <c r="L383" i="9" s="1"/>
  <c r="G384" i="9"/>
  <c r="L384" i="9" s="1"/>
  <c r="G385" i="9"/>
  <c r="L385" i="9" s="1"/>
  <c r="G386" i="9"/>
  <c r="L386" i="9" s="1"/>
  <c r="G387" i="9"/>
  <c r="L387" i="9" s="1"/>
  <c r="G390" i="9"/>
  <c r="L390" i="9" s="1"/>
  <c r="G391" i="9"/>
  <c r="L391" i="9" s="1"/>
  <c r="G392" i="9"/>
  <c r="L392" i="9" s="1"/>
  <c r="G393" i="9"/>
  <c r="L393" i="9" s="1"/>
  <c r="G394" i="9"/>
  <c r="L394" i="9" s="1"/>
  <c r="G396" i="9"/>
  <c r="L396" i="9" s="1"/>
  <c r="G397" i="9"/>
  <c r="L397" i="9" s="1"/>
  <c r="G398" i="9"/>
  <c r="L398" i="9" s="1"/>
  <c r="G399" i="9"/>
  <c r="L399" i="9" s="1"/>
  <c r="G401" i="9"/>
  <c r="L401" i="9" s="1"/>
  <c r="G402" i="9"/>
  <c r="L402" i="9" s="1"/>
  <c r="G403" i="9"/>
  <c r="L403" i="9" s="1"/>
  <c r="G404" i="9"/>
  <c r="L404" i="9" s="1"/>
  <c r="G408" i="9"/>
  <c r="L408" i="9" s="1"/>
  <c r="G409" i="9"/>
  <c r="L409" i="9" s="1"/>
  <c r="G410" i="9"/>
  <c r="L410" i="9" s="1"/>
  <c r="G411" i="9"/>
  <c r="L411" i="9" s="1"/>
  <c r="G412" i="9"/>
  <c r="L412" i="9" s="1"/>
  <c r="G413" i="9"/>
  <c r="L413" i="9" s="1"/>
  <c r="G414" i="9"/>
  <c r="L414" i="9" s="1"/>
  <c r="G415" i="9"/>
  <c r="L415" i="9" s="1"/>
  <c r="G416" i="9"/>
  <c r="L416" i="9" s="1"/>
  <c r="G417" i="9"/>
  <c r="L417" i="9" s="1"/>
  <c r="G418" i="9"/>
  <c r="L418" i="9" s="1"/>
  <c r="G419" i="9"/>
  <c r="L419" i="9" s="1"/>
  <c r="G420" i="9"/>
  <c r="L420" i="9" s="1"/>
  <c r="G421" i="9"/>
  <c r="L421" i="9" s="1"/>
  <c r="G422" i="9"/>
  <c r="L422" i="9" s="1"/>
  <c r="G423" i="9"/>
  <c r="L423" i="9" s="1"/>
  <c r="G424" i="9"/>
  <c r="L424" i="9" s="1"/>
  <c r="G425" i="9"/>
  <c r="L425" i="9" s="1"/>
  <c r="G428" i="9"/>
  <c r="L428" i="9" s="1"/>
  <c r="G429" i="9"/>
  <c r="L429" i="9" s="1"/>
  <c r="G430" i="9"/>
  <c r="L430" i="9" s="1"/>
  <c r="G431" i="9"/>
  <c r="L431" i="9" s="1"/>
  <c r="G432" i="9"/>
  <c r="L432" i="9" s="1"/>
  <c r="G433" i="9"/>
  <c r="L433" i="9" s="1"/>
  <c r="G434" i="9"/>
  <c r="L434" i="9" s="1"/>
  <c r="G435" i="9"/>
  <c r="L435" i="9" s="1"/>
  <c r="G436" i="9"/>
  <c r="L436" i="9" s="1"/>
  <c r="G437" i="9"/>
  <c r="L437" i="9" s="1"/>
  <c r="G438" i="9"/>
  <c r="L438" i="9" s="1"/>
  <c r="G440" i="9"/>
  <c r="L440" i="9" s="1"/>
  <c r="G441" i="9"/>
  <c r="L441" i="9" s="1"/>
  <c r="G442" i="9"/>
  <c r="L442" i="9" s="1"/>
  <c r="G443" i="9"/>
  <c r="L443" i="9" s="1"/>
  <c r="G444" i="9"/>
  <c r="L444" i="9" s="1"/>
  <c r="G445" i="9"/>
  <c r="L445" i="9" s="1"/>
  <c r="G446" i="9"/>
  <c r="L446" i="9" s="1"/>
  <c r="G447" i="9"/>
  <c r="L447" i="9" s="1"/>
  <c r="G448" i="9"/>
  <c r="L448" i="9" s="1"/>
  <c r="G449" i="9"/>
  <c r="L449" i="9" s="1"/>
  <c r="G450" i="9"/>
  <c r="L450" i="9" s="1"/>
  <c r="G451" i="9"/>
  <c r="L451" i="9" s="1"/>
  <c r="G452" i="9"/>
  <c r="L452" i="9" s="1"/>
  <c r="G453" i="9"/>
  <c r="L453" i="9" s="1"/>
  <c r="G454" i="9"/>
  <c r="L454" i="9" s="1"/>
  <c r="G455" i="9"/>
  <c r="L455" i="9" s="1"/>
  <c r="G456" i="9"/>
  <c r="L456" i="9" s="1"/>
  <c r="G457" i="9"/>
  <c r="L457" i="9" s="1"/>
  <c r="G458" i="9"/>
  <c r="L458" i="9" s="1"/>
  <c r="G459" i="9"/>
  <c r="L459" i="9" s="1"/>
  <c r="G460" i="9"/>
  <c r="L460" i="9" s="1"/>
  <c r="G465" i="9"/>
  <c r="L465" i="9" s="1"/>
  <c r="G466" i="9"/>
  <c r="L466" i="9" s="1"/>
  <c r="G467" i="9"/>
  <c r="L467" i="9" s="1"/>
  <c r="G468" i="9"/>
  <c r="L468" i="9" s="1"/>
  <c r="G469" i="9"/>
  <c r="L469" i="9" s="1"/>
  <c r="G470" i="9"/>
  <c r="L470" i="9" s="1"/>
  <c r="G471" i="9"/>
  <c r="L471" i="9" s="1"/>
  <c r="G472" i="9"/>
  <c r="L472" i="9" s="1"/>
  <c r="G473" i="9"/>
  <c r="L473" i="9" s="1"/>
  <c r="G474" i="9"/>
  <c r="L474" i="9" s="1"/>
  <c r="G475" i="9"/>
  <c r="L475" i="9" s="1"/>
  <c r="G476" i="9"/>
  <c r="L476" i="9" s="1"/>
  <c r="G477" i="9"/>
  <c r="L477" i="9" s="1"/>
  <c r="G478" i="9"/>
  <c r="L478" i="9" s="1"/>
  <c r="G479" i="9"/>
  <c r="L479" i="9" s="1"/>
  <c r="G480" i="9"/>
  <c r="L480" i="9" s="1"/>
  <c r="G481" i="9"/>
  <c r="L481" i="9" s="1"/>
  <c r="G482" i="9"/>
  <c r="L482" i="9" s="1"/>
  <c r="G483" i="9"/>
  <c r="L483" i="9" s="1"/>
  <c r="G484" i="9"/>
  <c r="L484" i="9" s="1"/>
  <c r="G485" i="9"/>
  <c r="L485" i="9" s="1"/>
  <c r="G486" i="9"/>
  <c r="L486" i="9" s="1"/>
  <c r="G487" i="9"/>
  <c r="L487" i="9" s="1"/>
  <c r="G488" i="9"/>
  <c r="L488" i="9" s="1"/>
  <c r="G489" i="9"/>
  <c r="L489" i="9" s="1"/>
  <c r="G490" i="9"/>
  <c r="L490" i="9" s="1"/>
  <c r="G491" i="9"/>
  <c r="L491" i="9" s="1"/>
  <c r="G492" i="9"/>
  <c r="L492" i="9" s="1"/>
  <c r="G493" i="9"/>
  <c r="L493" i="9" s="1"/>
  <c r="G494" i="9"/>
  <c r="L494" i="9" s="1"/>
  <c r="G495" i="9"/>
  <c r="L495" i="9" s="1"/>
  <c r="G496" i="9"/>
  <c r="L496" i="9" s="1"/>
  <c r="G499" i="9"/>
  <c r="L499" i="9" s="1"/>
  <c r="G500" i="9"/>
  <c r="L500" i="9" s="1"/>
  <c r="G501" i="9"/>
  <c r="L501" i="9" s="1"/>
  <c r="G502" i="9"/>
  <c r="L502" i="9" s="1"/>
  <c r="G503" i="9"/>
  <c r="L503" i="9" s="1"/>
  <c r="G504" i="9"/>
  <c r="L504" i="9" s="1"/>
  <c r="G505" i="9"/>
  <c r="L505" i="9" s="1"/>
  <c r="G506" i="9"/>
  <c r="L506" i="9" s="1"/>
  <c r="G507" i="9"/>
  <c r="L507" i="9" s="1"/>
  <c r="G508" i="9"/>
  <c r="L508" i="9" s="1"/>
  <c r="G509" i="9"/>
  <c r="L509" i="9" s="1"/>
  <c r="G510" i="9"/>
  <c r="L510" i="9" s="1"/>
  <c r="G511" i="9"/>
  <c r="L511" i="9" s="1"/>
  <c r="G512" i="9"/>
  <c r="L512" i="9" s="1"/>
  <c r="G513" i="9"/>
  <c r="L513" i="9" s="1"/>
  <c r="G514" i="9"/>
  <c r="L514" i="9" s="1"/>
  <c r="G515" i="9"/>
  <c r="L515" i="9" s="1"/>
  <c r="G516" i="9"/>
  <c r="L516" i="9" s="1"/>
  <c r="G519" i="9"/>
  <c r="L519" i="9" s="1"/>
  <c r="G520" i="9"/>
  <c r="L520" i="9" s="1"/>
  <c r="G521" i="9"/>
  <c r="L521" i="9" s="1"/>
  <c r="G522" i="9"/>
  <c r="L522" i="9" s="1"/>
  <c r="G523" i="9"/>
  <c r="L523" i="9" s="1"/>
  <c r="G525" i="9"/>
  <c r="L525" i="9" s="1"/>
  <c r="G526" i="9"/>
  <c r="L526" i="9" s="1"/>
  <c r="G527" i="9"/>
  <c r="L527" i="9" s="1"/>
  <c r="G528" i="9"/>
  <c r="L528" i="9" s="1"/>
  <c r="G529" i="9"/>
  <c r="L529" i="9" s="1"/>
  <c r="G530" i="9"/>
  <c r="L530" i="9" s="1"/>
  <c r="G531" i="9"/>
  <c r="L531" i="9" s="1"/>
  <c r="G532" i="9"/>
  <c r="L532" i="9" s="1"/>
  <c r="G534" i="9"/>
  <c r="L534" i="9" s="1"/>
  <c r="G535" i="9"/>
  <c r="L535" i="9" s="1"/>
  <c r="G536" i="9"/>
  <c r="L536" i="9" s="1"/>
  <c r="G537" i="9"/>
  <c r="L537" i="9" s="1"/>
  <c r="G538" i="9"/>
  <c r="L538" i="9" s="1"/>
  <c r="G539" i="9"/>
  <c r="L539" i="9" s="1"/>
  <c r="G541" i="9"/>
  <c r="L541" i="9" s="1"/>
  <c r="G542" i="9"/>
  <c r="L542" i="9" s="1"/>
  <c r="G543" i="9"/>
  <c r="L543" i="9" s="1"/>
  <c r="G544" i="9"/>
  <c r="L544" i="9" s="1"/>
  <c r="G545" i="9"/>
  <c r="L545" i="9" s="1"/>
  <c r="G546" i="9"/>
  <c r="L546" i="9" s="1"/>
  <c r="G547" i="9"/>
  <c r="L547" i="9" s="1"/>
  <c r="G548" i="9"/>
  <c r="L548" i="9" s="1"/>
  <c r="G549" i="9"/>
  <c r="L549" i="9" s="1"/>
  <c r="G550" i="9"/>
  <c r="L550" i="9" s="1"/>
  <c r="G551" i="9"/>
  <c r="L551" i="9" s="1"/>
  <c r="G552" i="9"/>
  <c r="L552" i="9" s="1"/>
  <c r="G553" i="9"/>
  <c r="L553" i="9" s="1"/>
  <c r="G555" i="9"/>
  <c r="L555" i="9" s="1"/>
  <c r="G556" i="9"/>
  <c r="L556" i="9" s="1"/>
  <c r="G557" i="9"/>
  <c r="L557" i="9" s="1"/>
  <c r="G559" i="9"/>
  <c r="L559" i="9" s="1"/>
  <c r="G560" i="9"/>
  <c r="L560" i="9" s="1"/>
  <c r="G561" i="9"/>
  <c r="L561" i="9" s="1"/>
  <c r="G562" i="9"/>
  <c r="L562" i="9" s="1"/>
  <c r="G563" i="9"/>
  <c r="L563" i="9" s="1"/>
  <c r="G564" i="9"/>
  <c r="L564" i="9" s="1"/>
  <c r="G566" i="9"/>
  <c r="L566" i="9" s="1"/>
  <c r="G567" i="9"/>
  <c r="L567" i="9" s="1"/>
  <c r="G568" i="9"/>
  <c r="L568" i="9" s="1"/>
  <c r="G569" i="9"/>
  <c r="L569" i="9" s="1"/>
  <c r="G570" i="9"/>
  <c r="L570" i="9" s="1"/>
  <c r="G571" i="9"/>
  <c r="L571" i="9" s="1"/>
  <c r="G572" i="9"/>
  <c r="L572" i="9" s="1"/>
  <c r="G573" i="9"/>
  <c r="L573" i="9" s="1"/>
  <c r="G574" i="9"/>
  <c r="L574" i="9" s="1"/>
  <c r="G575" i="9"/>
  <c r="L575" i="9" s="1"/>
  <c r="G576" i="9"/>
  <c r="L576" i="9" s="1"/>
  <c r="G577" i="9"/>
  <c r="L577" i="9" s="1"/>
  <c r="G579" i="9"/>
  <c r="L579" i="9" s="1"/>
  <c r="G580" i="9"/>
  <c r="L580" i="9" s="1"/>
  <c r="G583" i="9"/>
  <c r="L583" i="9" s="1"/>
  <c r="G584" i="9"/>
  <c r="L584" i="9" s="1"/>
  <c r="G585" i="9"/>
  <c r="L585" i="9" s="1"/>
  <c r="G586" i="9"/>
  <c r="L586" i="9" s="1"/>
  <c r="G587" i="9"/>
  <c r="L587" i="9" s="1"/>
  <c r="G588" i="9"/>
  <c r="L588" i="9" s="1"/>
  <c r="G590" i="9"/>
  <c r="L590" i="9" s="1"/>
  <c r="G591" i="9"/>
  <c r="L591" i="9" s="1"/>
  <c r="G592" i="9"/>
  <c r="L592" i="9" s="1"/>
  <c r="G593" i="9"/>
  <c r="L593" i="9" s="1"/>
  <c r="G594" i="9"/>
  <c r="L594" i="9" s="1"/>
  <c r="G595" i="9"/>
  <c r="L595" i="9" s="1"/>
  <c r="G596" i="9"/>
  <c r="L596" i="9" s="1"/>
  <c r="G598" i="9"/>
  <c r="L598" i="9" s="1"/>
  <c r="G599" i="9"/>
  <c r="L599" i="9" s="1"/>
  <c r="G600" i="9"/>
  <c r="L600" i="9" s="1"/>
  <c r="G601" i="9"/>
  <c r="L601" i="9" s="1"/>
  <c r="G602" i="9"/>
  <c r="L602" i="9" s="1"/>
  <c r="G603" i="9"/>
  <c r="L603" i="9" s="1"/>
  <c r="G608" i="9"/>
  <c r="L608" i="9" s="1"/>
  <c r="G609" i="9"/>
  <c r="L609" i="9" s="1"/>
  <c r="G610" i="9"/>
  <c r="L610" i="9" s="1"/>
  <c r="G611" i="9"/>
  <c r="L611" i="9" s="1"/>
  <c r="G612" i="9"/>
  <c r="L612" i="9" s="1"/>
  <c r="G613" i="9"/>
  <c r="L613" i="9" s="1"/>
  <c r="G614" i="9"/>
  <c r="L614" i="9" s="1"/>
  <c r="G615" i="9"/>
  <c r="L615" i="9" s="1"/>
  <c r="G616" i="9"/>
  <c r="L616" i="9" s="1"/>
  <c r="G617" i="9"/>
  <c r="L617" i="9" s="1"/>
  <c r="G618" i="9"/>
  <c r="L618" i="9" s="1"/>
  <c r="G619" i="9"/>
  <c r="L619" i="9" s="1"/>
  <c r="G620" i="9"/>
  <c r="L620" i="9" s="1"/>
  <c r="G623" i="9"/>
  <c r="L623" i="9" s="1"/>
  <c r="G624" i="9"/>
  <c r="L624" i="9" s="1"/>
  <c r="G625" i="9"/>
  <c r="L625" i="9" s="1"/>
  <c r="G626" i="9"/>
  <c r="L626" i="9" s="1"/>
  <c r="G627" i="9"/>
  <c r="L627" i="9" s="1"/>
  <c r="G628" i="9"/>
  <c r="L628" i="9" s="1"/>
  <c r="G629" i="9"/>
  <c r="L629" i="9" s="1"/>
  <c r="G630" i="9"/>
  <c r="L630" i="9" s="1"/>
  <c r="G631" i="9"/>
  <c r="L631" i="9" s="1"/>
  <c r="G632" i="9"/>
  <c r="L632" i="9" s="1"/>
  <c r="G633" i="9"/>
  <c r="L633" i="9" s="1"/>
  <c r="G638" i="9"/>
  <c r="L638" i="9" s="1"/>
  <c r="G639" i="9"/>
  <c r="L639" i="9" s="1"/>
  <c r="G640" i="9"/>
  <c r="L640" i="9" s="1"/>
  <c r="G641" i="9"/>
  <c r="L641" i="9" s="1"/>
  <c r="G642" i="9"/>
  <c r="L642" i="9" s="1"/>
  <c r="G643" i="9"/>
  <c r="L643" i="9" s="1"/>
  <c r="G644" i="9"/>
  <c r="L644" i="9" s="1"/>
  <c r="G646" i="9"/>
  <c r="L646" i="9" s="1"/>
  <c r="G647" i="9"/>
  <c r="L647" i="9" s="1"/>
  <c r="G648" i="9"/>
  <c r="L648" i="9" s="1"/>
  <c r="G649" i="9"/>
  <c r="L649" i="9" s="1"/>
  <c r="G650" i="9"/>
  <c r="L650" i="9" s="1"/>
  <c r="G651" i="9"/>
  <c r="L651" i="9" s="1"/>
  <c r="G652" i="9"/>
  <c r="L652" i="9" s="1"/>
  <c r="G653" i="9"/>
  <c r="L653" i="9" s="1"/>
  <c r="G654" i="9"/>
  <c r="L654" i="9" s="1"/>
  <c r="G655" i="9"/>
  <c r="L655" i="9" s="1"/>
  <c r="G656" i="9"/>
  <c r="L656" i="9" s="1"/>
  <c r="G657" i="9"/>
  <c r="L657" i="9" s="1"/>
  <c r="G658" i="9"/>
  <c r="L658" i="9" s="1"/>
  <c r="G659" i="9"/>
  <c r="L659" i="9" s="1"/>
  <c r="G660" i="9"/>
  <c r="L660" i="9" s="1"/>
  <c r="G661" i="9"/>
  <c r="L661" i="9" s="1"/>
  <c r="G663" i="9"/>
  <c r="L663" i="9" s="1"/>
  <c r="G664" i="9"/>
  <c r="L664" i="9" s="1"/>
  <c r="G665" i="9"/>
  <c r="L665" i="9" s="1"/>
  <c r="G666" i="9"/>
  <c r="L666" i="9" s="1"/>
  <c r="G667" i="9"/>
  <c r="L667" i="9" s="1"/>
  <c r="G671" i="9"/>
  <c r="L671" i="9" s="1"/>
  <c r="G672" i="9"/>
  <c r="L672" i="9" s="1"/>
  <c r="G673" i="9"/>
  <c r="L673" i="9" s="1"/>
  <c r="G674" i="9"/>
  <c r="L674" i="9" s="1"/>
  <c r="G675" i="9"/>
  <c r="L675" i="9" s="1"/>
  <c r="G676" i="9"/>
  <c r="L676" i="9" s="1"/>
  <c r="G677" i="9"/>
  <c r="L677" i="9" s="1"/>
  <c r="G678" i="9"/>
  <c r="L678" i="9" s="1"/>
  <c r="G679" i="9"/>
  <c r="L679" i="9" s="1"/>
  <c r="G680" i="9"/>
  <c r="L680" i="9" s="1"/>
  <c r="G681" i="9"/>
  <c r="L681" i="9" s="1"/>
  <c r="G682" i="9"/>
  <c r="L682" i="9" s="1"/>
  <c r="G683" i="9"/>
  <c r="L683" i="9" s="1"/>
  <c r="G684" i="9"/>
  <c r="L684" i="9" s="1"/>
  <c r="G685" i="9"/>
  <c r="L685" i="9" s="1"/>
  <c r="G686" i="9"/>
  <c r="L686" i="9" s="1"/>
  <c r="G689" i="9"/>
  <c r="L689" i="9" s="1"/>
  <c r="G690" i="9"/>
  <c r="L690" i="9" s="1"/>
  <c r="G691" i="9"/>
  <c r="L691" i="9" s="1"/>
  <c r="G692" i="9"/>
  <c r="L692" i="9" s="1"/>
  <c r="G693" i="9"/>
  <c r="L693" i="9" s="1"/>
  <c r="G694" i="9"/>
  <c r="L694" i="9" s="1"/>
  <c r="G698" i="9"/>
  <c r="L698" i="9" s="1"/>
  <c r="G699" i="9"/>
  <c r="L699" i="9" s="1"/>
  <c r="G700" i="9"/>
  <c r="L700" i="9" s="1"/>
  <c r="G701" i="9"/>
  <c r="L701" i="9" s="1"/>
  <c r="G702" i="9"/>
  <c r="L702" i="9" s="1"/>
  <c r="G703" i="9"/>
  <c r="L703" i="9" s="1"/>
  <c r="G705" i="9"/>
  <c r="L705" i="9" s="1"/>
  <c r="G706" i="9"/>
  <c r="L706" i="9" s="1"/>
  <c r="G707" i="9"/>
  <c r="L707" i="9" s="1"/>
  <c r="G708" i="9"/>
  <c r="L708" i="9" s="1"/>
  <c r="G711" i="9"/>
  <c r="L711" i="9" s="1"/>
  <c r="G712" i="9"/>
  <c r="L712" i="9" s="1"/>
  <c r="G713" i="9"/>
  <c r="L713" i="9" s="1"/>
  <c r="G714" i="9"/>
  <c r="L714" i="9" s="1"/>
  <c r="G715" i="9"/>
  <c r="L715" i="9" s="1"/>
  <c r="G716" i="9"/>
  <c r="L716" i="9" s="1"/>
  <c r="G717" i="9"/>
  <c r="L717" i="9" s="1"/>
  <c r="G719" i="9"/>
  <c r="L719" i="9" s="1"/>
  <c r="G720" i="9"/>
  <c r="L720" i="9" s="1"/>
  <c r="G721" i="9"/>
  <c r="L721" i="9" s="1"/>
  <c r="G722" i="9"/>
  <c r="L722" i="9" s="1"/>
  <c r="G723" i="9"/>
  <c r="L723" i="9" s="1"/>
  <c r="G724" i="9"/>
  <c r="L724" i="9" s="1"/>
  <c r="G725" i="9"/>
  <c r="L725" i="9" s="1"/>
  <c r="G726" i="9"/>
  <c r="L726" i="9" s="1"/>
  <c r="G727" i="9"/>
  <c r="L727" i="9" s="1"/>
  <c r="G728" i="9"/>
  <c r="L728" i="9" s="1"/>
  <c r="G729" i="9"/>
  <c r="L729" i="9" s="1"/>
  <c r="G730" i="9"/>
  <c r="L730" i="9" s="1"/>
  <c r="G731" i="9"/>
  <c r="L731" i="9" s="1"/>
  <c r="G732" i="9"/>
  <c r="L732" i="9" s="1"/>
  <c r="G733" i="9"/>
  <c r="L733" i="9" s="1"/>
  <c r="G734" i="9"/>
  <c r="L734" i="9" s="1"/>
  <c r="G735" i="9"/>
  <c r="L735" i="9" s="1"/>
  <c r="G736" i="9"/>
  <c r="L736" i="9" s="1"/>
  <c r="G737" i="9"/>
  <c r="L737" i="9" s="1"/>
  <c r="G738" i="9"/>
  <c r="L738" i="9" s="1"/>
  <c r="G740" i="9"/>
  <c r="L740" i="9" s="1"/>
  <c r="G741" i="9"/>
  <c r="L741" i="9" s="1"/>
  <c r="G742" i="9"/>
  <c r="L742" i="9" s="1"/>
  <c r="G743" i="9"/>
  <c r="L743" i="9" s="1"/>
  <c r="G744" i="9"/>
  <c r="L744" i="9" s="1"/>
  <c r="G746" i="9"/>
  <c r="L746" i="9" s="1"/>
  <c r="G747" i="9"/>
  <c r="L747" i="9" s="1"/>
  <c r="G748" i="9"/>
  <c r="L748" i="9" s="1"/>
  <c r="G749" i="9"/>
  <c r="L749" i="9" s="1"/>
  <c r="G750" i="9"/>
  <c r="L750" i="9" s="1"/>
  <c r="G754" i="9"/>
  <c r="L754" i="9" s="1"/>
  <c r="G755" i="9"/>
  <c r="L755" i="9" s="1"/>
  <c r="G756" i="9"/>
  <c r="L756" i="9" s="1"/>
  <c r="G757" i="9"/>
  <c r="L757" i="9" s="1"/>
  <c r="G758" i="9"/>
  <c r="L758" i="9" s="1"/>
  <c r="G759" i="9"/>
  <c r="L759" i="9" s="1"/>
  <c r="G761" i="9"/>
  <c r="L761" i="9" s="1"/>
  <c r="G762" i="9"/>
  <c r="L762" i="9" s="1"/>
  <c r="G763" i="9"/>
  <c r="L763" i="9" s="1"/>
  <c r="G764" i="9"/>
  <c r="L764" i="9" s="1"/>
  <c r="G765" i="9"/>
  <c r="L765" i="9" s="1"/>
  <c r="G766" i="9"/>
  <c r="L766" i="9" s="1"/>
  <c r="G767" i="9"/>
  <c r="L767" i="9" s="1"/>
  <c r="G768" i="9"/>
  <c r="L768" i="9" s="1"/>
  <c r="G773" i="9"/>
  <c r="L773" i="9" s="1"/>
  <c r="G774" i="9"/>
  <c r="L774" i="9" s="1"/>
  <c r="G775" i="9"/>
  <c r="L775" i="9" s="1"/>
  <c r="G776" i="9"/>
  <c r="L776" i="9" s="1"/>
  <c r="G777" i="9"/>
  <c r="L777" i="9" s="1"/>
  <c r="G778" i="9"/>
  <c r="L778" i="9" s="1"/>
  <c r="G779" i="9"/>
  <c r="L779" i="9" s="1"/>
  <c r="G782" i="9"/>
  <c r="L782" i="9" s="1"/>
  <c r="G783" i="9"/>
  <c r="L783" i="9" s="1"/>
  <c r="G785" i="9"/>
  <c r="L785" i="9" s="1"/>
  <c r="G786" i="9"/>
  <c r="L786" i="9" s="1"/>
  <c r="G787" i="9"/>
  <c r="L787" i="9" s="1"/>
  <c r="G788" i="9"/>
  <c r="L788" i="9" s="1"/>
  <c r="G789" i="9"/>
  <c r="L789" i="9" s="1"/>
  <c r="G790" i="9"/>
  <c r="L790" i="9" s="1"/>
  <c r="G791" i="9"/>
  <c r="L791" i="9" s="1"/>
  <c r="G793" i="9"/>
  <c r="L793" i="9" s="1"/>
  <c r="G794" i="9"/>
  <c r="L794" i="9" s="1"/>
  <c r="G796" i="9"/>
  <c r="L796" i="9" s="1"/>
  <c r="G798" i="9"/>
  <c r="L798" i="9" s="1"/>
  <c r="G799" i="9"/>
  <c r="L799" i="9" s="1"/>
  <c r="G800" i="9"/>
  <c r="L800" i="9" s="1"/>
  <c r="G801" i="9"/>
  <c r="L801" i="9" s="1"/>
  <c r="G802" i="9"/>
  <c r="L802" i="9" s="1"/>
  <c r="G803" i="9"/>
  <c r="L803" i="9" s="1"/>
  <c r="G804" i="9"/>
  <c r="L804" i="9" s="1"/>
  <c r="G805" i="9"/>
  <c r="L805" i="9" s="1"/>
  <c r="G806" i="9"/>
  <c r="L806" i="9" s="1"/>
  <c r="G807" i="9"/>
  <c r="L807" i="9" s="1"/>
  <c r="G808" i="9"/>
  <c r="L808" i="9" s="1"/>
  <c r="G809" i="9"/>
  <c r="L809" i="9" s="1"/>
  <c r="G810" i="9"/>
  <c r="L810" i="9" s="1"/>
  <c r="G814" i="9"/>
  <c r="L814" i="9" s="1"/>
  <c r="G815" i="9"/>
  <c r="L815" i="9" s="1"/>
  <c r="G816" i="9"/>
  <c r="L816" i="9" s="1"/>
  <c r="G817" i="9"/>
  <c r="L817" i="9" s="1"/>
  <c r="G818" i="9"/>
  <c r="L818" i="9" s="1"/>
  <c r="G819" i="9"/>
  <c r="L819" i="9" s="1"/>
  <c r="G820" i="9"/>
  <c r="L820" i="9" s="1"/>
  <c r="G821" i="9"/>
  <c r="L821" i="9" s="1"/>
  <c r="G822" i="9"/>
  <c r="L822" i="9" s="1"/>
  <c r="G823" i="9"/>
  <c r="L823" i="9" s="1"/>
  <c r="G824" i="9"/>
  <c r="L824" i="9" s="1"/>
  <c r="G825" i="9"/>
  <c r="L825" i="9" s="1"/>
  <c r="G826" i="9"/>
  <c r="L826" i="9" s="1"/>
  <c r="G827" i="9"/>
  <c r="L827" i="9" s="1"/>
  <c r="G828" i="9"/>
  <c r="L828" i="9" s="1"/>
  <c r="G829" i="9"/>
  <c r="L829" i="9" s="1"/>
  <c r="G830" i="9"/>
  <c r="L830" i="9" s="1"/>
  <c r="G831" i="9"/>
  <c r="L831" i="9" s="1"/>
  <c r="G832" i="9"/>
  <c r="L832" i="9" s="1"/>
  <c r="G833" i="9"/>
  <c r="L833" i="9" s="1"/>
  <c r="G834" i="9"/>
  <c r="L834" i="9" s="1"/>
  <c r="G835" i="9"/>
  <c r="L835" i="9" s="1"/>
  <c r="G836" i="9"/>
  <c r="L836" i="9" s="1"/>
  <c r="G839" i="9"/>
  <c r="L839" i="9" s="1"/>
  <c r="G840" i="9"/>
  <c r="L840" i="9" s="1"/>
  <c r="G841" i="9"/>
  <c r="L841" i="9" s="1"/>
  <c r="G842" i="9"/>
  <c r="L842" i="9" s="1"/>
  <c r="G843" i="9"/>
  <c r="L843" i="9" s="1"/>
  <c r="G844" i="9"/>
  <c r="L844" i="9" s="1"/>
  <c r="G845" i="9"/>
  <c r="L845" i="9" s="1"/>
  <c r="G846" i="9"/>
  <c r="L846" i="9" s="1"/>
  <c r="G847" i="9"/>
  <c r="L847" i="9" s="1"/>
  <c r="G850" i="9"/>
  <c r="L850" i="9" s="1"/>
  <c r="G851" i="9"/>
  <c r="L851" i="9" s="1"/>
  <c r="G852" i="9"/>
  <c r="L852" i="9" s="1"/>
  <c r="G853" i="9"/>
  <c r="L853" i="9" s="1"/>
  <c r="G854" i="9"/>
  <c r="L854" i="9" s="1"/>
  <c r="G855" i="9"/>
  <c r="L855" i="9" s="1"/>
  <c r="G856" i="9"/>
  <c r="L856" i="9" s="1"/>
  <c r="G857" i="9"/>
  <c r="L857" i="9" s="1"/>
  <c r="G859" i="9"/>
  <c r="L859" i="9" s="1"/>
  <c r="G860" i="9"/>
  <c r="L860" i="9" s="1"/>
  <c r="G861" i="9"/>
  <c r="L861" i="9" s="1"/>
  <c r="G862" i="9"/>
  <c r="L862" i="9" s="1"/>
  <c r="G863" i="9"/>
  <c r="L863" i="9" s="1"/>
  <c r="G866" i="9"/>
  <c r="L866" i="9" s="1"/>
  <c r="G867" i="9"/>
  <c r="L867" i="9" s="1"/>
  <c r="G868" i="9"/>
  <c r="L868" i="9" s="1"/>
  <c r="G869" i="9"/>
  <c r="L869" i="9" s="1"/>
  <c r="G870" i="9"/>
  <c r="L870" i="9" s="1"/>
  <c r="G871" i="9"/>
  <c r="L871" i="9" s="1"/>
  <c r="G872" i="9"/>
  <c r="L872" i="9" s="1"/>
  <c r="G875" i="9"/>
  <c r="L875" i="9" s="1"/>
  <c r="G876" i="9"/>
  <c r="L876" i="9" s="1"/>
  <c r="G877" i="9"/>
  <c r="L877" i="9" s="1"/>
  <c r="G878" i="9"/>
  <c r="L878" i="9" s="1"/>
  <c r="G879" i="9"/>
  <c r="L879" i="9" s="1"/>
  <c r="G880" i="9"/>
  <c r="L880" i="9" s="1"/>
  <c r="G881" i="9"/>
  <c r="L881" i="9" s="1"/>
  <c r="G882" i="9"/>
  <c r="L882" i="9" s="1"/>
  <c r="G883" i="9"/>
  <c r="L883" i="9" s="1"/>
  <c r="G884" i="9"/>
  <c r="L884" i="9" s="1"/>
  <c r="G885" i="9"/>
  <c r="L885" i="9" s="1"/>
  <c r="G886" i="9"/>
  <c r="L886" i="9" s="1"/>
  <c r="G887" i="9"/>
  <c r="L887" i="9" s="1"/>
  <c r="G888" i="9"/>
  <c r="L888" i="9" s="1"/>
  <c r="G890" i="9"/>
  <c r="L890" i="9" s="1"/>
  <c r="G891" i="9"/>
  <c r="L891" i="9" s="1"/>
  <c r="G892" i="9"/>
  <c r="L892" i="9" s="1"/>
  <c r="G893" i="9"/>
  <c r="L893" i="9" s="1"/>
  <c r="G894" i="9"/>
  <c r="L894" i="9" s="1"/>
  <c r="G896" i="9"/>
  <c r="L896" i="9" s="1"/>
  <c r="G897" i="9"/>
  <c r="L897" i="9" s="1"/>
  <c r="G898" i="9"/>
  <c r="L898" i="9" s="1"/>
  <c r="G899" i="9"/>
  <c r="L899" i="9" s="1"/>
  <c r="G900" i="9"/>
  <c r="L900" i="9" s="1"/>
  <c r="G901" i="9"/>
  <c r="L901" i="9" s="1"/>
  <c r="G902" i="9"/>
  <c r="L902" i="9" s="1"/>
  <c r="G903" i="9"/>
  <c r="L903" i="9" s="1"/>
  <c r="G905" i="9"/>
  <c r="L905" i="9" s="1"/>
  <c r="G906" i="9"/>
  <c r="L906" i="9" s="1"/>
  <c r="G907" i="9"/>
  <c r="L907" i="9" s="1"/>
  <c r="G908" i="9"/>
  <c r="L908" i="9" s="1"/>
  <c r="G909" i="9"/>
  <c r="L909" i="9" s="1"/>
  <c r="G910" i="9"/>
  <c r="L910" i="9" s="1"/>
  <c r="G911" i="9"/>
  <c r="L911" i="9" s="1"/>
  <c r="G912" i="9"/>
  <c r="L912" i="9" s="1"/>
  <c r="G916" i="9"/>
  <c r="L916" i="9" s="1"/>
  <c r="G917" i="9"/>
  <c r="L917" i="9" s="1"/>
  <c r="G918" i="9"/>
  <c r="L918" i="9" s="1"/>
  <c r="G922" i="9"/>
  <c r="L922" i="9" s="1"/>
  <c r="G923" i="9"/>
  <c r="L923" i="9" s="1"/>
  <c r="G924" i="9"/>
  <c r="L924" i="9" s="1"/>
  <c r="G925" i="9"/>
  <c r="L925" i="9" s="1"/>
  <c r="G926" i="9"/>
  <c r="L926" i="9" s="1"/>
  <c r="G927" i="9"/>
  <c r="L927" i="9" s="1"/>
  <c r="G928" i="9"/>
  <c r="L928" i="9" s="1"/>
  <c r="G929" i="9"/>
  <c r="L929" i="9" s="1"/>
  <c r="G930" i="9"/>
  <c r="L930" i="9" s="1"/>
  <c r="G931" i="9"/>
  <c r="L931" i="9" s="1"/>
  <c r="G932" i="9"/>
  <c r="L932" i="9" s="1"/>
  <c r="G933" i="9"/>
  <c r="L933" i="9" s="1"/>
  <c r="G936" i="9"/>
  <c r="L936" i="9" s="1"/>
  <c r="G937" i="9"/>
  <c r="L937" i="9" s="1"/>
  <c r="G938" i="9"/>
  <c r="L938" i="9" s="1"/>
  <c r="G939" i="9"/>
  <c r="L939" i="9" s="1"/>
  <c r="G940" i="9"/>
  <c r="L940" i="9" s="1"/>
  <c r="G941" i="9"/>
  <c r="L941" i="9" s="1"/>
  <c r="G942" i="9"/>
  <c r="L942" i="9" s="1"/>
  <c r="G943" i="9"/>
  <c r="L943" i="9" s="1"/>
  <c r="G944" i="9"/>
  <c r="L944" i="9" s="1"/>
  <c r="G945" i="9"/>
  <c r="L945" i="9" s="1"/>
  <c r="G947" i="9"/>
  <c r="L947" i="9" s="1"/>
  <c r="G948" i="9"/>
  <c r="L948" i="9" s="1"/>
  <c r="G949" i="9"/>
  <c r="L949" i="9" s="1"/>
  <c r="G950" i="9"/>
  <c r="L950" i="9" s="1"/>
  <c r="G951" i="9"/>
  <c r="L951" i="9" s="1"/>
  <c r="G952" i="9"/>
  <c r="L952" i="9" s="1"/>
  <c r="G953" i="9"/>
  <c r="L953" i="9" s="1"/>
  <c r="G954" i="9"/>
  <c r="L954" i="9" s="1"/>
  <c r="G957" i="9"/>
  <c r="L957" i="9" s="1"/>
  <c r="G958" i="9"/>
  <c r="L958" i="9" s="1"/>
  <c r="G959" i="9"/>
  <c r="L959" i="9" s="1"/>
  <c r="G960" i="9"/>
  <c r="L960" i="9" s="1"/>
  <c r="G961" i="9"/>
  <c r="L961" i="9" s="1"/>
  <c r="G962" i="9"/>
  <c r="L962" i="9" s="1"/>
  <c r="G963" i="9"/>
  <c r="L963" i="9" s="1"/>
  <c r="G964" i="9"/>
  <c r="L964" i="9" s="1"/>
  <c r="G965" i="9"/>
  <c r="L965" i="9" s="1"/>
  <c r="G968" i="9"/>
  <c r="L968" i="9" s="1"/>
  <c r="G969" i="9"/>
  <c r="L969" i="9" s="1"/>
  <c r="G970" i="9"/>
  <c r="L970" i="9" s="1"/>
  <c r="G971" i="9"/>
  <c r="L971" i="9" s="1"/>
  <c r="G972" i="9"/>
  <c r="L972" i="9" s="1"/>
  <c r="G973" i="9"/>
  <c r="L973" i="9" s="1"/>
  <c r="G974" i="9"/>
  <c r="L974" i="9" s="1"/>
  <c r="G975" i="9"/>
  <c r="L975" i="9" s="1"/>
  <c r="G977" i="9"/>
  <c r="L977" i="9" s="1"/>
  <c r="G978" i="9"/>
  <c r="L978" i="9" s="1"/>
  <c r="G979" i="9"/>
  <c r="L979" i="9" s="1"/>
  <c r="G980" i="9"/>
  <c r="L980" i="9" s="1"/>
  <c r="G981" i="9"/>
  <c r="L981" i="9" s="1"/>
  <c r="G982" i="9"/>
  <c r="L982" i="9" s="1"/>
  <c r="G983" i="9"/>
  <c r="L983" i="9" s="1"/>
  <c r="G984" i="9"/>
  <c r="L984" i="9" s="1"/>
  <c r="G985" i="9"/>
  <c r="L985" i="9" s="1"/>
  <c r="G986" i="9"/>
  <c r="L986" i="9" s="1"/>
  <c r="G987" i="9"/>
  <c r="L987" i="9" s="1"/>
  <c r="G988" i="9"/>
  <c r="L988" i="9" s="1"/>
  <c r="G989" i="9"/>
  <c r="L989" i="9" s="1"/>
  <c r="G990" i="9"/>
  <c r="L990" i="9" s="1"/>
  <c r="G991" i="9"/>
  <c r="L991" i="9" s="1"/>
  <c r="G994" i="9"/>
  <c r="L994" i="9" s="1"/>
  <c r="G995" i="9"/>
  <c r="L995" i="9" s="1"/>
  <c r="G996" i="9"/>
  <c r="L996" i="9" s="1"/>
  <c r="G997" i="9"/>
  <c r="L997" i="9" s="1"/>
  <c r="G998" i="9"/>
  <c r="L998" i="9" s="1"/>
  <c r="G999" i="9"/>
  <c r="L999" i="9" s="1"/>
  <c r="G1003" i="9"/>
  <c r="L1003" i="9" s="1"/>
  <c r="G1004" i="9"/>
  <c r="L1004" i="9" s="1"/>
  <c r="G1005" i="9"/>
  <c r="L1005" i="9" s="1"/>
  <c r="G1006" i="9"/>
  <c r="L1006" i="9" s="1"/>
  <c r="G1007" i="9"/>
  <c r="L1007" i="9" s="1"/>
  <c r="G1008" i="9"/>
  <c r="L1008" i="9" s="1"/>
  <c r="G1010" i="9"/>
  <c r="L1010" i="9" s="1"/>
  <c r="G1011" i="9"/>
  <c r="L1011" i="9" s="1"/>
  <c r="G1012" i="9"/>
  <c r="L1012" i="9" s="1"/>
  <c r="G1013" i="9"/>
  <c r="L1013" i="9" s="1"/>
  <c r="G1014" i="9"/>
  <c r="L1014" i="9" s="1"/>
  <c r="G1015" i="9"/>
  <c r="L1015" i="9" s="1"/>
  <c r="G1016" i="9"/>
  <c r="L1016" i="9" s="1"/>
  <c r="G1017" i="9"/>
  <c r="L1017" i="9" s="1"/>
  <c r="G1018" i="9"/>
  <c r="L1018" i="9" s="1"/>
  <c r="G1022" i="9"/>
  <c r="L1022" i="9" s="1"/>
  <c r="G1023" i="9"/>
  <c r="L1023" i="9" s="1"/>
  <c r="G1024" i="9"/>
  <c r="L1024" i="9" s="1"/>
  <c r="G1025" i="9"/>
  <c r="L1025" i="9" s="1"/>
  <c r="G1027" i="9"/>
  <c r="L1027" i="9" s="1"/>
  <c r="G1028" i="9"/>
  <c r="L1028" i="9" s="1"/>
  <c r="G1029" i="9"/>
  <c r="L1029" i="9" s="1"/>
  <c r="G1030" i="9"/>
  <c r="L1030" i="9" s="1"/>
  <c r="G1031" i="9"/>
  <c r="L1031" i="9" s="1"/>
  <c r="G1035" i="9"/>
  <c r="L1035" i="9" s="1"/>
  <c r="G1036" i="9"/>
  <c r="L1036" i="9" s="1"/>
  <c r="G1037" i="9"/>
  <c r="L1037" i="9" s="1"/>
  <c r="G1038" i="9"/>
  <c r="L1038" i="9" s="1"/>
  <c r="G1039" i="9"/>
  <c r="L1039" i="9" s="1"/>
  <c r="G1040" i="9"/>
  <c r="L1040" i="9" s="1"/>
  <c r="G1041" i="9"/>
  <c r="L1041" i="9" s="1"/>
  <c r="G1042" i="9"/>
  <c r="L1042" i="9" s="1"/>
  <c r="G1043" i="9"/>
  <c r="L1043" i="9" s="1"/>
  <c r="G1044" i="9"/>
  <c r="L1044" i="9" s="1"/>
  <c r="G1051" i="9"/>
  <c r="L1051" i="9" s="1"/>
  <c r="G1052" i="9"/>
  <c r="L1052" i="9" s="1"/>
  <c r="G1053" i="9"/>
  <c r="L1053" i="9" s="1"/>
  <c r="G1054" i="9"/>
  <c r="L1054" i="9" s="1"/>
  <c r="G1055" i="9"/>
  <c r="L1055" i="9" s="1"/>
  <c r="G1056" i="9"/>
  <c r="L1056" i="9" s="1"/>
  <c r="G1057" i="9"/>
  <c r="L1057" i="9" s="1"/>
  <c r="G1058" i="9"/>
  <c r="L1058" i="9" s="1"/>
  <c r="G1059" i="9"/>
  <c r="L1059" i="9" s="1"/>
  <c r="G1060" i="9"/>
  <c r="L1060" i="9" s="1"/>
  <c r="G1066" i="9"/>
  <c r="L1066" i="9" s="1"/>
  <c r="G1067" i="9"/>
  <c r="L1067" i="9" s="1"/>
  <c r="G1068" i="9"/>
  <c r="L1068" i="9" s="1"/>
  <c r="G1069" i="9"/>
  <c r="L1069" i="9" s="1"/>
  <c r="G1070" i="9"/>
  <c r="L1070" i="9" s="1"/>
  <c r="G1071" i="9"/>
  <c r="L1071" i="9" s="1"/>
  <c r="G1072" i="9"/>
  <c r="L1072" i="9" s="1"/>
  <c r="G1073" i="9"/>
  <c r="L1073" i="9" s="1"/>
  <c r="G1074" i="9"/>
  <c r="L1074" i="9" s="1"/>
  <c r="G1075" i="9"/>
  <c r="L1075" i="9" s="1"/>
  <c r="G1077" i="9"/>
  <c r="L1077" i="9" s="1"/>
  <c r="G1078" i="9"/>
  <c r="L1078" i="9" s="1"/>
  <c r="G1079" i="9"/>
  <c r="L1079" i="9" s="1"/>
  <c r="G1080" i="9"/>
  <c r="L1080" i="9" s="1"/>
  <c r="G1082" i="9"/>
  <c r="L1082" i="9" s="1"/>
  <c r="G1083" i="9"/>
  <c r="L1083" i="9" s="1"/>
  <c r="G1084" i="9"/>
  <c r="L1084" i="9" s="1"/>
  <c r="G1085" i="9"/>
  <c r="L1085" i="9" s="1"/>
  <c r="G1086" i="9"/>
  <c r="L1086" i="9" s="1"/>
  <c r="G1088" i="9"/>
  <c r="L1088" i="9" s="1"/>
  <c r="G1089" i="9"/>
  <c r="L1089" i="9" s="1"/>
  <c r="G1090" i="9"/>
  <c r="L1090" i="9" s="1"/>
  <c r="G1091" i="9"/>
  <c r="L1091" i="9" s="1"/>
  <c r="G1092" i="9"/>
  <c r="L1092" i="9" s="1"/>
  <c r="G1093" i="9"/>
  <c r="L1093" i="9" s="1"/>
  <c r="G1094" i="9"/>
  <c r="L1094" i="9" s="1"/>
  <c r="G1095" i="9"/>
  <c r="L1095" i="9" s="1"/>
  <c r="G1096" i="9"/>
  <c r="L1096" i="9" s="1"/>
  <c r="G1100" i="9"/>
  <c r="L1100" i="9" s="1"/>
  <c r="G1101" i="9"/>
  <c r="L1101" i="9" s="1"/>
  <c r="G1102" i="9"/>
  <c r="L1102" i="9" s="1"/>
  <c r="G1103" i="9"/>
  <c r="L1103" i="9" s="1"/>
  <c r="G1104" i="9"/>
  <c r="L1104" i="9" s="1"/>
  <c r="G1105" i="9"/>
  <c r="L1105" i="9" s="1"/>
  <c r="G1106" i="9"/>
  <c r="L1106" i="9" s="1"/>
  <c r="G1112" i="9"/>
  <c r="L1112" i="9" s="1"/>
  <c r="G1113" i="9"/>
  <c r="L1113" i="9" s="1"/>
  <c r="G1114" i="9"/>
  <c r="L1114" i="9" s="1"/>
  <c r="G1115" i="9"/>
  <c r="L1115" i="9" s="1"/>
  <c r="G1116" i="9"/>
  <c r="L1116" i="9" s="1"/>
  <c r="G1117" i="9"/>
  <c r="L1117" i="9" s="1"/>
  <c r="G1118" i="9"/>
  <c r="L1118" i="9" s="1"/>
  <c r="G1119" i="9"/>
  <c r="L1119" i="9" s="1"/>
  <c r="G1120" i="9"/>
  <c r="L1120" i="9" s="1"/>
  <c r="G1121" i="9"/>
  <c r="L1121" i="9" s="1"/>
  <c r="G1122" i="9"/>
  <c r="L1122" i="9" s="1"/>
  <c r="G1123" i="9"/>
  <c r="L1123" i="9" s="1"/>
  <c r="G1124" i="9"/>
  <c r="L1124" i="9" s="1"/>
  <c r="G1125" i="9"/>
  <c r="L1125" i="9" s="1"/>
  <c r="G1129" i="9"/>
  <c r="L1129" i="9" s="1"/>
  <c r="G1130" i="9"/>
  <c r="L1130" i="9" s="1"/>
  <c r="G1131" i="9"/>
  <c r="L1131" i="9" s="1"/>
  <c r="G1132" i="9"/>
  <c r="L1132" i="9" s="1"/>
  <c r="G1133" i="9"/>
  <c r="L1133" i="9" s="1"/>
  <c r="G1134" i="9"/>
  <c r="L1134" i="9" s="1"/>
  <c r="G1135" i="9"/>
  <c r="L1135" i="9" s="1"/>
  <c r="G1136" i="9"/>
  <c r="L1136" i="9" s="1"/>
  <c r="G1137" i="9"/>
  <c r="L1137" i="9" s="1"/>
  <c r="G1138" i="9"/>
  <c r="L1138" i="9" s="1"/>
  <c r="G1139" i="9"/>
  <c r="L1139" i="9" s="1"/>
  <c r="G1140" i="9"/>
  <c r="L1140" i="9" s="1"/>
  <c r="G1141" i="9"/>
  <c r="L1141" i="9" s="1"/>
  <c r="G1142" i="9"/>
  <c r="L1142" i="9" s="1"/>
  <c r="G1143" i="9"/>
  <c r="L1143" i="9" s="1"/>
  <c r="G1144" i="9"/>
  <c r="L1144" i="9" s="1"/>
  <c r="G1145" i="9"/>
  <c r="L1145" i="9" s="1"/>
  <c r="G1146" i="9"/>
  <c r="L1146" i="9" s="1"/>
  <c r="G1147" i="9"/>
  <c r="L1147" i="9" s="1"/>
  <c r="G1148" i="9"/>
  <c r="L1148" i="9" s="1"/>
  <c r="G1149" i="9"/>
  <c r="L1149" i="9" s="1"/>
  <c r="G1151" i="9"/>
  <c r="L1151" i="9" s="1"/>
  <c r="G1152" i="9"/>
  <c r="L1152" i="9" s="1"/>
  <c r="G1153" i="9"/>
  <c r="L1153" i="9" s="1"/>
  <c r="G1154" i="9"/>
  <c r="L1154" i="9" s="1"/>
  <c r="G1155" i="9"/>
  <c r="L1155" i="9" s="1"/>
  <c r="G1161" i="9"/>
  <c r="L1161" i="9" s="1"/>
  <c r="G1162" i="9"/>
  <c r="L1162" i="9" s="1"/>
  <c r="G1163" i="9"/>
  <c r="L1163" i="9" s="1"/>
  <c r="G1164" i="9"/>
  <c r="L1164" i="9" s="1"/>
  <c r="G1171" i="9"/>
  <c r="L1171" i="9" s="1"/>
  <c r="G1172" i="9"/>
  <c r="L1172" i="9" s="1"/>
  <c r="G1173" i="9"/>
  <c r="L1173" i="9" s="1"/>
  <c r="G1174" i="9"/>
  <c r="L1174" i="9" s="1"/>
  <c r="G1175" i="9"/>
  <c r="L1175" i="9" s="1"/>
  <c r="G1176" i="9"/>
  <c r="L1176" i="9" s="1"/>
  <c r="G1177" i="9"/>
  <c r="L1177" i="9" s="1"/>
  <c r="G1178" i="9"/>
  <c r="L1178" i="9" s="1"/>
  <c r="G1179" i="9"/>
  <c r="L1179" i="9" s="1"/>
  <c r="G1180" i="9"/>
  <c r="L1180" i="9" s="1"/>
  <c r="G1181" i="9"/>
  <c r="L1181" i="9" s="1"/>
  <c r="G1182" i="9"/>
  <c r="L1182" i="9" s="1"/>
  <c r="G1183" i="9"/>
  <c r="L1183" i="9" s="1"/>
  <c r="G1188" i="9"/>
  <c r="L1188" i="9" s="1"/>
  <c r="G1189" i="9"/>
  <c r="L1189" i="9" s="1"/>
  <c r="G1190" i="9"/>
  <c r="L1190" i="9" s="1"/>
  <c r="G1191" i="9"/>
  <c r="L1191" i="9" s="1"/>
  <c r="G1192" i="9"/>
  <c r="L1192" i="9" s="1"/>
  <c r="G1194" i="9"/>
  <c r="L1194" i="9" s="1"/>
  <c r="G1195" i="9"/>
  <c r="L1195" i="9" s="1"/>
  <c r="G1196" i="9"/>
  <c r="L1196" i="9" s="1"/>
  <c r="G1197" i="9"/>
  <c r="L1197" i="9" s="1"/>
  <c r="G1198" i="9"/>
  <c r="L1198" i="9" s="1"/>
  <c r="G1199" i="9"/>
  <c r="L1199" i="9" s="1"/>
  <c r="G1200" i="9"/>
  <c r="L1200" i="9" s="1"/>
  <c r="G1201" i="9"/>
  <c r="L1201" i="9" s="1"/>
  <c r="G1202" i="9"/>
  <c r="L1202" i="9" s="1"/>
  <c r="G1203" i="9"/>
  <c r="L1203" i="9" s="1"/>
  <c r="G1204" i="9"/>
  <c r="L1204" i="9" s="1"/>
  <c r="G1205" i="9"/>
  <c r="L1205" i="9" s="1"/>
  <c r="G1213" i="9"/>
  <c r="L1213" i="9" s="1"/>
  <c r="G1214" i="9"/>
  <c r="L1214" i="9" s="1"/>
  <c r="G1215" i="9"/>
  <c r="L1215" i="9" s="1"/>
  <c r="G1216" i="9"/>
  <c r="L1216" i="9" s="1"/>
  <c r="G1217" i="9"/>
  <c r="L1217" i="9" s="1"/>
  <c r="G1218" i="9"/>
  <c r="L1218" i="9" s="1"/>
  <c r="G1219" i="9"/>
  <c r="L1219" i="9" s="1"/>
  <c r="G1220" i="9"/>
  <c r="L1220" i="9" s="1"/>
  <c r="G1221" i="9"/>
  <c r="L1221" i="9" s="1"/>
  <c r="G1222" i="9"/>
  <c r="L1222" i="9" s="1"/>
  <c r="G1223" i="9"/>
  <c r="L1223" i="9" s="1"/>
  <c r="G1225" i="9"/>
  <c r="L1225" i="9" s="1"/>
  <c r="G1226" i="9"/>
  <c r="L1226" i="9" s="1"/>
  <c r="G1227" i="9"/>
  <c r="L1227" i="9" s="1"/>
  <c r="G1228" i="9"/>
  <c r="L1228" i="9" s="1"/>
  <c r="G1230" i="9"/>
  <c r="L1230" i="9" s="1"/>
  <c r="G1231" i="9"/>
  <c r="L1231" i="9" s="1"/>
  <c r="G1232" i="9"/>
  <c r="L1232" i="9" s="1"/>
  <c r="G1233" i="9"/>
  <c r="L1233" i="9" s="1"/>
  <c r="G1234" i="9"/>
  <c r="L1234" i="9" s="1"/>
  <c r="G1235" i="9"/>
  <c r="L1235" i="9" s="1"/>
  <c r="G1239" i="9"/>
  <c r="L1239" i="9" s="1"/>
  <c r="G1240" i="9"/>
  <c r="L1240" i="9" s="1"/>
  <c r="G1241" i="9"/>
  <c r="L1241" i="9" s="1"/>
  <c r="G1242" i="9"/>
  <c r="L1242" i="9" s="1"/>
  <c r="G1243" i="9"/>
  <c r="L1243" i="9" s="1"/>
  <c r="G1244" i="9"/>
  <c r="L1244" i="9" s="1"/>
  <c r="G1245" i="9"/>
  <c r="L1245" i="9" s="1"/>
  <c r="G1246" i="9"/>
  <c r="L1246" i="9" s="1"/>
  <c r="G1248" i="9"/>
  <c r="L1248" i="9" s="1"/>
  <c r="G1249" i="9"/>
  <c r="L1249" i="9" s="1"/>
  <c r="G1250" i="9"/>
  <c r="L1250" i="9" s="1"/>
  <c r="G1251" i="9"/>
  <c r="L1251" i="9" s="1"/>
  <c r="G1253" i="9"/>
  <c r="L1253" i="9" s="1"/>
  <c r="G1254" i="9"/>
  <c r="L1254" i="9" s="1"/>
  <c r="G1255" i="9"/>
  <c r="L1255" i="9" s="1"/>
  <c r="G1256" i="9"/>
  <c r="L1256" i="9" s="1"/>
  <c r="G1257" i="9"/>
  <c r="L1257" i="9" s="1"/>
  <c r="G1258" i="9"/>
  <c r="L1258" i="9" s="1"/>
  <c r="G1259" i="9"/>
  <c r="L1259" i="9" s="1"/>
  <c r="G1260" i="9"/>
  <c r="L1260" i="9" s="1"/>
  <c r="G1261" i="9"/>
  <c r="L1261" i="9" s="1"/>
  <c r="G1262" i="9"/>
  <c r="L1262" i="9" s="1"/>
  <c r="G1263" i="9"/>
  <c r="L1263" i="9" s="1"/>
  <c r="G1264" i="9"/>
  <c r="L1264" i="9" s="1"/>
  <c r="G1265" i="9"/>
  <c r="L1265" i="9" s="1"/>
  <c r="G1266" i="9"/>
  <c r="L1266" i="9" s="1"/>
  <c r="G1267" i="9"/>
  <c r="L1267" i="9" s="1"/>
  <c r="G1268" i="9"/>
  <c r="L1268" i="9" s="1"/>
  <c r="G1269" i="9"/>
  <c r="L1269" i="9" s="1"/>
  <c r="G1270" i="9"/>
  <c r="L1270" i="9" s="1"/>
  <c r="G1273" i="9"/>
  <c r="L1273" i="9" s="1"/>
  <c r="G1274" i="9"/>
  <c r="L1274" i="9" s="1"/>
  <c r="G1275" i="9"/>
  <c r="L1275" i="9" s="1"/>
  <c r="G1276" i="9"/>
  <c r="L1276" i="9" s="1"/>
  <c r="G1277" i="9"/>
  <c r="L1277" i="9" s="1"/>
  <c r="G1278" i="9"/>
  <c r="L1278" i="9" s="1"/>
  <c r="G1281" i="9"/>
  <c r="L1281" i="9" s="1"/>
  <c r="G1282" i="9"/>
  <c r="L1282" i="9" s="1"/>
  <c r="G1283" i="9"/>
  <c r="L1283" i="9" s="1"/>
  <c r="G1284" i="9"/>
  <c r="L1284" i="9" s="1"/>
  <c r="G1285" i="9"/>
  <c r="L1285" i="9" s="1"/>
  <c r="G1286" i="9"/>
  <c r="L1286" i="9" s="1"/>
  <c r="G1287" i="9"/>
  <c r="L1287" i="9" s="1"/>
  <c r="G1288" i="9"/>
  <c r="L1288" i="9" s="1"/>
  <c r="G1289" i="9"/>
  <c r="L1289" i="9" s="1"/>
  <c r="G1290" i="9"/>
  <c r="L1290" i="9" s="1"/>
  <c r="G1291" i="9"/>
  <c r="L1291" i="9" s="1"/>
  <c r="G1295" i="9"/>
  <c r="L1295" i="9" s="1"/>
  <c r="G1296" i="9"/>
  <c r="L1296" i="9" s="1"/>
  <c r="G1297" i="9"/>
  <c r="L1297" i="9" s="1"/>
  <c r="G1298" i="9"/>
  <c r="L1298" i="9" s="1"/>
  <c r="G1299" i="9"/>
  <c r="L1299" i="9" s="1"/>
  <c r="G1300" i="9"/>
  <c r="L1300" i="9" s="1"/>
  <c r="G1301" i="9"/>
  <c r="L1301" i="9" s="1"/>
  <c r="G1302" i="9"/>
  <c r="L1302" i="9" s="1"/>
  <c r="G1303" i="9"/>
  <c r="L1303" i="9" s="1"/>
  <c r="G1304" i="9"/>
  <c r="L1304" i="9" s="1"/>
  <c r="G1305" i="9"/>
  <c r="L1305" i="9" s="1"/>
  <c r="G1306" i="9"/>
  <c r="L1306" i="9" s="1"/>
  <c r="G1308" i="9"/>
  <c r="L1308" i="9" s="1"/>
  <c r="G1309" i="9"/>
  <c r="L1309" i="9" s="1"/>
  <c r="G1310" i="9"/>
  <c r="L1310" i="9" s="1"/>
  <c r="G1311" i="9"/>
  <c r="L1311" i="9" s="1"/>
  <c r="G1312" i="9"/>
  <c r="L1312" i="9" s="1"/>
  <c r="G1313" i="9"/>
  <c r="L1313" i="9" s="1"/>
  <c r="G1314" i="9"/>
  <c r="L1314" i="9" s="1"/>
  <c r="G1315" i="9"/>
  <c r="L1315" i="9" s="1"/>
  <c r="G1316" i="9"/>
  <c r="L1316" i="9" s="1"/>
  <c r="G1319" i="9"/>
  <c r="L1319" i="9" s="1"/>
  <c r="G1320" i="9"/>
  <c r="L1320" i="9" s="1"/>
  <c r="G1321" i="9"/>
  <c r="L1321" i="9" s="1"/>
  <c r="G1322" i="9"/>
  <c r="L1322" i="9" s="1"/>
  <c r="G1323" i="9"/>
  <c r="L1323" i="9" s="1"/>
  <c r="G1324" i="9"/>
  <c r="L1324" i="9" s="1"/>
  <c r="G1325" i="9"/>
  <c r="L1325" i="9" s="1"/>
  <c r="G1326" i="9"/>
  <c r="L1326" i="9" s="1"/>
  <c r="G1327" i="9"/>
  <c r="L1327" i="9" s="1"/>
  <c r="G1328" i="9"/>
  <c r="L1328" i="9" s="1"/>
  <c r="G1329" i="9"/>
  <c r="L1329" i="9" s="1"/>
  <c r="G1332" i="9"/>
  <c r="L1332" i="9" s="1"/>
  <c r="G1333" i="9"/>
  <c r="L1333" i="9" s="1"/>
  <c r="G1334" i="9"/>
  <c r="L1334" i="9" s="1"/>
  <c r="G1335" i="9"/>
  <c r="L1335" i="9" s="1"/>
  <c r="G1336" i="9"/>
  <c r="L1336" i="9" s="1"/>
  <c r="G1337" i="9"/>
  <c r="L1337" i="9" s="1"/>
  <c r="G1338" i="9"/>
  <c r="L1338" i="9" s="1"/>
  <c r="G1339" i="9"/>
  <c r="L1339" i="9" s="1"/>
  <c r="G1340" i="9"/>
  <c r="L1340" i="9" s="1"/>
  <c r="G1341" i="9"/>
  <c r="L1341" i="9" s="1"/>
  <c r="G1342" i="9"/>
  <c r="L1342" i="9" s="1"/>
  <c r="G1343" i="9"/>
  <c r="L1343" i="9" s="1"/>
  <c r="G1344" i="9"/>
  <c r="L1344" i="9" s="1"/>
  <c r="G1345" i="9"/>
  <c r="L1345" i="9" s="1"/>
  <c r="G1346" i="9"/>
  <c r="L1346" i="9" s="1"/>
  <c r="G1347" i="9"/>
  <c r="L1347" i="9" s="1"/>
  <c r="G1348" i="9"/>
  <c r="L1348" i="9" s="1"/>
  <c r="G1349" i="9"/>
  <c r="L1349" i="9" s="1"/>
  <c r="G1350" i="9"/>
  <c r="L1350" i="9" s="1"/>
  <c r="G1353" i="9"/>
  <c r="L1353" i="9" s="1"/>
  <c r="G1354" i="9"/>
  <c r="L1354" i="9" s="1"/>
  <c r="G1355" i="9"/>
  <c r="L1355" i="9" s="1"/>
  <c r="G1356" i="9"/>
  <c r="L1356" i="9" s="1"/>
  <c r="G1357" i="9"/>
  <c r="L1357" i="9" s="1"/>
  <c r="G1358" i="9"/>
  <c r="L1358" i="9" s="1"/>
  <c r="G1359" i="9"/>
  <c r="L1359" i="9" s="1"/>
  <c r="G1361" i="9"/>
  <c r="L1361" i="9" s="1"/>
  <c r="G1362" i="9"/>
  <c r="L1362" i="9" s="1"/>
  <c r="G1363" i="9"/>
  <c r="L1363" i="9" s="1"/>
  <c r="G1364" i="9"/>
  <c r="L1364" i="9" s="1"/>
  <c r="G1365" i="9"/>
  <c r="L1365" i="9" s="1"/>
  <c r="G1366" i="9"/>
  <c r="L1366" i="9" s="1"/>
  <c r="G1367" i="9"/>
  <c r="L1367" i="9" s="1"/>
  <c r="G1368" i="9"/>
  <c r="L1368" i="9" s="1"/>
  <c r="G1369" i="9"/>
  <c r="L1369" i="9" s="1"/>
  <c r="G1370" i="9"/>
  <c r="L1370" i="9" s="1"/>
  <c r="G1371" i="9"/>
  <c r="L1371" i="9" s="1"/>
  <c r="G1376" i="9"/>
  <c r="L1376" i="9" s="1"/>
  <c r="G1377" i="9"/>
  <c r="L1377" i="9" s="1"/>
  <c r="G1378" i="9"/>
  <c r="L1378" i="9" s="1"/>
  <c r="G1379" i="9"/>
  <c r="L1379" i="9" s="1"/>
  <c r="G1380" i="9"/>
  <c r="L1380" i="9" s="1"/>
  <c r="G1381" i="9"/>
  <c r="L1381" i="9" s="1"/>
  <c r="G1384" i="9"/>
  <c r="L1384" i="9" s="1"/>
  <c r="G1385" i="9"/>
  <c r="L1385" i="9" s="1"/>
  <c r="G1386" i="9"/>
  <c r="L1386" i="9" s="1"/>
  <c r="G1387" i="9"/>
  <c r="L1387" i="9" s="1"/>
  <c r="G1388" i="9"/>
  <c r="L1388" i="9" s="1"/>
  <c r="G1389" i="9"/>
  <c r="L1389" i="9" s="1"/>
  <c r="G1390" i="9"/>
  <c r="L1390" i="9" s="1"/>
  <c r="G1391" i="9"/>
  <c r="L1391" i="9" s="1"/>
  <c r="G1392" i="9"/>
  <c r="L1392" i="9" s="1"/>
  <c r="G1393" i="9"/>
  <c r="L1393" i="9" s="1"/>
  <c r="G1394" i="9"/>
  <c r="L1394" i="9" s="1"/>
  <c r="G1396" i="9"/>
  <c r="L1396" i="9" s="1"/>
  <c r="G1397" i="9"/>
  <c r="L1397" i="9" s="1"/>
  <c r="G1398" i="9"/>
  <c r="L1398" i="9" s="1"/>
  <c r="G1399" i="9"/>
  <c r="L1399" i="9" s="1"/>
  <c r="G1400" i="9"/>
  <c r="L1400" i="9" s="1"/>
  <c r="G1401" i="9"/>
  <c r="L1401" i="9" s="1"/>
  <c r="G1402" i="9"/>
  <c r="L1402" i="9" s="1"/>
  <c r="G1403" i="9"/>
  <c r="L1403" i="9" s="1"/>
  <c r="G1404" i="9"/>
  <c r="L1404" i="9" s="1"/>
  <c r="G1405" i="9"/>
  <c r="L1405" i="9" s="1"/>
  <c r="G1406" i="9"/>
  <c r="L1406" i="9" s="1"/>
  <c r="G1407" i="9"/>
  <c r="L1407" i="9" s="1"/>
  <c r="G1408" i="9"/>
  <c r="L1408" i="9" s="1"/>
  <c r="G1411" i="9"/>
  <c r="L1411" i="9" s="1"/>
  <c r="G1412" i="9"/>
  <c r="L1412" i="9" s="1"/>
  <c r="G1413" i="9"/>
  <c r="L1413" i="9" s="1"/>
  <c r="G1414" i="9"/>
  <c r="L1414" i="9" s="1"/>
  <c r="G1415" i="9"/>
  <c r="L1415" i="9" s="1"/>
  <c r="G1416" i="9"/>
  <c r="L1416" i="9" s="1"/>
  <c r="G1417" i="9"/>
  <c r="L1417" i="9" s="1"/>
  <c r="G1418" i="9"/>
  <c r="L1418" i="9" s="1"/>
  <c r="G1419" i="9"/>
  <c r="L1419" i="9" s="1"/>
  <c r="G1421" i="9"/>
  <c r="L1421" i="9" s="1"/>
  <c r="G1422" i="9"/>
  <c r="L1422" i="9" s="1"/>
  <c r="G1423" i="9"/>
  <c r="L1423" i="9" s="1"/>
  <c r="G1424" i="9"/>
  <c r="L1424" i="9" s="1"/>
  <c r="G1425" i="9"/>
  <c r="L1425" i="9" s="1"/>
  <c r="G1426" i="9"/>
  <c r="L1426" i="9" s="1"/>
  <c r="G1427" i="9"/>
  <c r="L1427" i="9" s="1"/>
  <c r="G1428" i="9"/>
  <c r="L1428" i="9" s="1"/>
  <c r="G1429" i="9"/>
  <c r="L1429" i="9" s="1"/>
  <c r="G1435" i="9"/>
  <c r="L1435" i="9" s="1"/>
  <c r="G1436" i="9"/>
  <c r="L1436" i="9" s="1"/>
  <c r="G1437" i="9"/>
  <c r="L1437" i="9" s="1"/>
  <c r="G1438" i="9"/>
  <c r="L1438" i="9" s="1"/>
  <c r="G1439" i="9"/>
  <c r="L1439" i="9" s="1"/>
  <c r="G1440" i="9"/>
  <c r="L1440" i="9" s="1"/>
  <c r="G1441" i="9"/>
  <c r="L1441" i="9" s="1"/>
  <c r="G1442" i="9"/>
  <c r="L1442" i="9" s="1"/>
  <c r="G1443" i="9"/>
  <c r="L1443" i="9" s="1"/>
  <c r="G1444" i="9"/>
  <c r="L1444" i="9" s="1"/>
  <c r="G1446" i="9"/>
  <c r="L1446" i="9" s="1"/>
  <c r="G1447" i="9"/>
  <c r="L1447" i="9" s="1"/>
  <c r="G1448" i="9"/>
  <c r="L1448" i="9" s="1"/>
  <c r="G1449" i="9"/>
  <c r="L1449" i="9" s="1"/>
  <c r="G1451" i="9"/>
  <c r="L1451" i="9" s="1"/>
  <c r="G1452" i="9"/>
  <c r="L1452" i="9" s="1"/>
  <c r="G1453" i="9"/>
  <c r="L1453" i="9" s="1"/>
  <c r="G1454" i="9"/>
  <c r="L1454" i="9" s="1"/>
  <c r="G1455" i="9"/>
  <c r="L1455" i="9" s="1"/>
  <c r="G1456" i="9"/>
  <c r="L1456" i="9" s="1"/>
  <c r="G1457" i="9"/>
  <c r="L1457" i="9" s="1"/>
  <c r="G1458" i="9"/>
  <c r="L1458" i="9" s="1"/>
  <c r="G1459" i="9"/>
  <c r="L1459" i="9" s="1"/>
  <c r="G1460" i="9"/>
  <c r="L1460" i="9" s="1"/>
  <c r="G1461" i="9"/>
  <c r="L1461" i="9" s="1"/>
  <c r="G1464" i="9"/>
  <c r="L1464" i="9" s="1"/>
  <c r="G1465" i="9"/>
  <c r="L1465" i="9" s="1"/>
  <c r="G1466" i="9"/>
  <c r="L1466" i="9" s="1"/>
  <c r="G1467" i="9"/>
  <c r="L1467" i="9" s="1"/>
  <c r="G1468" i="9"/>
  <c r="L1468" i="9" s="1"/>
  <c r="G1470" i="9"/>
  <c r="L1470" i="9" s="1"/>
  <c r="G1471" i="9"/>
  <c r="L1471" i="9" s="1"/>
  <c r="G1472" i="9"/>
  <c r="L1472" i="9" s="1"/>
  <c r="G1473" i="9"/>
  <c r="L1473" i="9" s="1"/>
  <c r="G1474" i="9"/>
  <c r="L1474" i="9" s="1"/>
  <c r="G1475" i="9"/>
  <c r="L1475" i="9" s="1"/>
  <c r="G1476" i="9"/>
  <c r="L1476" i="9" s="1"/>
  <c r="G1477" i="9"/>
  <c r="L1477" i="9" s="1"/>
  <c r="G1478" i="9"/>
  <c r="L1478" i="9" s="1"/>
  <c r="G1479" i="9"/>
  <c r="L1479" i="9" s="1"/>
  <c r="G1480" i="9"/>
  <c r="L1480" i="9" s="1"/>
  <c r="G1481" i="9"/>
  <c r="L1481" i="9" s="1"/>
  <c r="G1482" i="9"/>
  <c r="L1482" i="9" s="1"/>
  <c r="G1483" i="9"/>
  <c r="L1483" i="9" s="1"/>
  <c r="G1484" i="9"/>
  <c r="L1484" i="9" s="1"/>
  <c r="G1485" i="9"/>
  <c r="L1485" i="9" s="1"/>
  <c r="G1486" i="9"/>
  <c r="L1486" i="9" s="1"/>
  <c r="G1487" i="9"/>
  <c r="L1487" i="9" s="1"/>
  <c r="G1488" i="9"/>
  <c r="L1488" i="9" s="1"/>
  <c r="G1493" i="9"/>
  <c r="L1493" i="9" s="1"/>
  <c r="G1494" i="9"/>
  <c r="L1494" i="9" s="1"/>
  <c r="G1495" i="9"/>
  <c r="L1495" i="9" s="1"/>
  <c r="G1496" i="9"/>
  <c r="L1496" i="9" s="1"/>
  <c r="G1497" i="9"/>
  <c r="L1497" i="9" s="1"/>
  <c r="G1501" i="9"/>
  <c r="L1501" i="9" s="1"/>
  <c r="G1502" i="9"/>
  <c r="L1502" i="9" s="1"/>
  <c r="G1503" i="9"/>
  <c r="L1503" i="9" s="1"/>
  <c r="G1504" i="9"/>
  <c r="L1504" i="9" s="1"/>
  <c r="G1505" i="9"/>
  <c r="L1505" i="9" s="1"/>
  <c r="G1506" i="9"/>
  <c r="L1506" i="9" s="1"/>
  <c r="G1507" i="9"/>
  <c r="L1507" i="9" s="1"/>
  <c r="G1508" i="9"/>
  <c r="L1508" i="9" s="1"/>
  <c r="G1509" i="9"/>
  <c r="L1509" i="9" s="1"/>
  <c r="G1511" i="9"/>
  <c r="L1511" i="9" s="1"/>
  <c r="G1517" i="9"/>
  <c r="L1517" i="9" s="1"/>
  <c r="G1518" i="9"/>
  <c r="L1518" i="9" s="1"/>
  <c r="G1519" i="9"/>
  <c r="L1519" i="9" s="1"/>
  <c r="G1520" i="9"/>
  <c r="L1520" i="9" s="1"/>
  <c r="G1521" i="9"/>
  <c r="L1521" i="9" s="1"/>
  <c r="G1524" i="9"/>
  <c r="L1524" i="9" s="1"/>
  <c r="G1525" i="9"/>
  <c r="L1525" i="9" s="1"/>
  <c r="G1526" i="9"/>
  <c r="L1526" i="9" s="1"/>
  <c r="G1527" i="9"/>
  <c r="L1527" i="9" s="1"/>
  <c r="G1528" i="9"/>
  <c r="L1528" i="9" s="1"/>
  <c r="G1529" i="9"/>
  <c r="L1529" i="9" s="1"/>
  <c r="G1531" i="9"/>
  <c r="L1531" i="9" s="1"/>
  <c r="G1532" i="9"/>
  <c r="L1532" i="9" s="1"/>
  <c r="G1533" i="9"/>
  <c r="L1533" i="9" s="1"/>
  <c r="G1534" i="9"/>
  <c r="L1534" i="9" s="1"/>
  <c r="G1535" i="9"/>
  <c r="L1535" i="9" s="1"/>
  <c r="G1536" i="9"/>
  <c r="L1536" i="9" s="1"/>
  <c r="G1540" i="9"/>
  <c r="L1540" i="9" s="1"/>
  <c r="G1541" i="9"/>
  <c r="L1541" i="9" s="1"/>
  <c r="G1542" i="9"/>
  <c r="L1542" i="9" s="1"/>
  <c r="G1543" i="9"/>
  <c r="L1543" i="9" s="1"/>
  <c r="G1544" i="9"/>
  <c r="L1544" i="9" s="1"/>
  <c r="G1547" i="9"/>
  <c r="L1547" i="9" s="1"/>
  <c r="G1548" i="9"/>
  <c r="L1548" i="9" s="1"/>
  <c r="G1549" i="9"/>
  <c r="L1549" i="9" s="1"/>
  <c r="G1550" i="9"/>
  <c r="L1550" i="9" s="1"/>
  <c r="G1554" i="9"/>
  <c r="L1554" i="9" s="1"/>
  <c r="G1555" i="9"/>
  <c r="L1555" i="9" s="1"/>
  <c r="G1556" i="9"/>
  <c r="L1556" i="9" s="1"/>
  <c r="G1557" i="9"/>
  <c r="L1557" i="9" s="1"/>
  <c r="G1558" i="9"/>
  <c r="L1558" i="9" s="1"/>
  <c r="G1559" i="9"/>
  <c r="L1559" i="9" s="1"/>
  <c r="G1562" i="9"/>
  <c r="L1562" i="9" s="1"/>
  <c r="G1563" i="9"/>
  <c r="L1563" i="9" s="1"/>
  <c r="G1564" i="9"/>
  <c r="L1564" i="9" s="1"/>
  <c r="G1565" i="9"/>
  <c r="L1565" i="9" s="1"/>
  <c r="G1566" i="9"/>
  <c r="L1566" i="9" s="1"/>
  <c r="G1567" i="9"/>
  <c r="L1567" i="9" s="1"/>
  <c r="G1568" i="9"/>
  <c r="L1568" i="9" s="1"/>
  <c r="G1569" i="9"/>
  <c r="L1569" i="9" s="1"/>
  <c r="G1570" i="9"/>
  <c r="L1570" i="9" s="1"/>
  <c r="G1571" i="9"/>
  <c r="L1571" i="9" s="1"/>
  <c r="G1577" i="9"/>
  <c r="L1577" i="9" s="1"/>
  <c r="G1578" i="9"/>
  <c r="L1578" i="9" s="1"/>
  <c r="G1579" i="9"/>
  <c r="L1579" i="9" s="1"/>
  <c r="G1580" i="9"/>
  <c r="L1580" i="9" s="1"/>
  <c r="G1581" i="9"/>
  <c r="L1581" i="9" s="1"/>
  <c r="G1582" i="9"/>
  <c r="L1582" i="9" s="1"/>
  <c r="G1586" i="9"/>
  <c r="L1586" i="9" s="1"/>
  <c r="G1587" i="9"/>
  <c r="L1587" i="9" s="1"/>
  <c r="G1588" i="9"/>
  <c r="L1588" i="9" s="1"/>
  <c r="G1589" i="9"/>
  <c r="L1589" i="9" s="1"/>
  <c r="G1591" i="9"/>
  <c r="L1591" i="9" s="1"/>
  <c r="G1592" i="9"/>
  <c r="L1592" i="9" s="1"/>
  <c r="G1593" i="9"/>
  <c r="L1593" i="9" s="1"/>
  <c r="G1594" i="9"/>
  <c r="L1594" i="9" s="1"/>
  <c r="G1595" i="9"/>
  <c r="L1595" i="9" s="1"/>
  <c r="G1596" i="9"/>
  <c r="L1596" i="9" s="1"/>
  <c r="G1597" i="9"/>
  <c r="L1597" i="9" s="1"/>
  <c r="G1602" i="9"/>
  <c r="L1602" i="9" s="1"/>
  <c r="G1603" i="9"/>
  <c r="L1603" i="9" s="1"/>
  <c r="G1604" i="9"/>
  <c r="L1604" i="9" s="1"/>
  <c r="G1605" i="9"/>
  <c r="L1605" i="9" s="1"/>
  <c r="G1606" i="9"/>
  <c r="L1606" i="9" s="1"/>
  <c r="G1607" i="9"/>
  <c r="L1607" i="9" s="1"/>
  <c r="G1608" i="9"/>
  <c r="L1608" i="9" s="1"/>
  <c r="G1613" i="9"/>
  <c r="L1613" i="9" s="1"/>
  <c r="G1614" i="9"/>
  <c r="L1614" i="9" s="1"/>
  <c r="G1615" i="9"/>
  <c r="L1615" i="9" s="1"/>
  <c r="G1616" i="9"/>
  <c r="L1616" i="9" s="1"/>
  <c r="G1617" i="9"/>
  <c r="L1617" i="9" s="1"/>
  <c r="G1618" i="9"/>
  <c r="L1618" i="9" s="1"/>
  <c r="G1619" i="9"/>
  <c r="L1619" i="9" s="1"/>
  <c r="G1620" i="9"/>
  <c r="L1620" i="9" s="1"/>
  <c r="G1625" i="9"/>
  <c r="L1625" i="9" s="1"/>
  <c r="G1626" i="9"/>
  <c r="L1626" i="9" s="1"/>
  <c r="G1627" i="9"/>
  <c r="L1627" i="9" s="1"/>
  <c r="G1628" i="9"/>
  <c r="L1628" i="9" s="1"/>
  <c r="G1629" i="9"/>
  <c r="L1629" i="9" s="1"/>
  <c r="G1630" i="9"/>
  <c r="L1630" i="9" s="1"/>
  <c r="G1631" i="9"/>
  <c r="L1631" i="9" s="1"/>
  <c r="G1635" i="9"/>
  <c r="L1635" i="9" s="1"/>
  <c r="G1636" i="9"/>
  <c r="L1636" i="9" s="1"/>
  <c r="G1637" i="9"/>
  <c r="L1637" i="9" s="1"/>
  <c r="G1638" i="9"/>
  <c r="L1638" i="9" s="1"/>
  <c r="G1639" i="9"/>
  <c r="L1639" i="9" s="1"/>
  <c r="G1640" i="9"/>
  <c r="L1640" i="9" s="1"/>
  <c r="G1641" i="9"/>
  <c r="L1641" i="9" s="1"/>
  <c r="G1643" i="9"/>
  <c r="L1643" i="9" s="1"/>
  <c r="G1644" i="9"/>
  <c r="L1644" i="9" s="1"/>
  <c r="G1645" i="9"/>
  <c r="L1645" i="9" s="1"/>
  <c r="G1646" i="9"/>
  <c r="L1646" i="9" s="1"/>
  <c r="G1647" i="9"/>
  <c r="L1647" i="9" s="1"/>
  <c r="G1651" i="9"/>
  <c r="L1651" i="9" s="1"/>
  <c r="G1652" i="9"/>
  <c r="L1652" i="9" s="1"/>
  <c r="G1653" i="9"/>
  <c r="L1653" i="9" s="1"/>
  <c r="G1655" i="9"/>
  <c r="L1655" i="9" s="1"/>
  <c r="G1656" i="9"/>
  <c r="L1656" i="9" s="1"/>
  <c r="G1657" i="9"/>
  <c r="L1657" i="9" s="1"/>
  <c r="G1658" i="9"/>
  <c r="L1658" i="9" s="1"/>
  <c r="G1659" i="9"/>
  <c r="L1659" i="9" s="1"/>
  <c r="G1664" i="9"/>
  <c r="L1664" i="9" s="1"/>
  <c r="G1665" i="9"/>
  <c r="L1665" i="9" s="1"/>
  <c r="G1666" i="9"/>
  <c r="L1666" i="9" s="1"/>
  <c r="G1667" i="9"/>
  <c r="L1667" i="9" s="1"/>
  <c r="G1668" i="9"/>
  <c r="L1668" i="9" s="1"/>
  <c r="G1670" i="9"/>
  <c r="L1670" i="9" s="1"/>
  <c r="G1671" i="9"/>
  <c r="L1671" i="9" s="1"/>
  <c r="G1672" i="9"/>
  <c r="L1672" i="9" s="1"/>
  <c r="G1673" i="9"/>
  <c r="L1673" i="9" s="1"/>
  <c r="G1674" i="9"/>
  <c r="L1674" i="9" s="1"/>
  <c r="G1675" i="9"/>
  <c r="L1675" i="9" s="1"/>
  <c r="G1676" i="9"/>
  <c r="L1676" i="9" s="1"/>
  <c r="G1677" i="9"/>
  <c r="L1677" i="9" s="1"/>
  <c r="G1678" i="9"/>
  <c r="L1678" i="9" s="1"/>
  <c r="G1681" i="9"/>
  <c r="L1681" i="9" s="1"/>
  <c r="G1682" i="9"/>
  <c r="L1682" i="9" s="1"/>
  <c r="G1683" i="9"/>
  <c r="L1683" i="9" s="1"/>
  <c r="G1684" i="9"/>
  <c r="L1684" i="9" s="1"/>
  <c r="G1685" i="9"/>
  <c r="L1685" i="9" s="1"/>
  <c r="G1687" i="9"/>
  <c r="L1687" i="9" s="1"/>
  <c r="G1688" i="9"/>
  <c r="L1688" i="9" s="1"/>
  <c r="G1689" i="9"/>
  <c r="L1689" i="9" s="1"/>
  <c r="G1690" i="9"/>
  <c r="L1690" i="9" s="1"/>
  <c r="G1691" i="9"/>
  <c r="L1691" i="9" s="1"/>
  <c r="G1692" i="9"/>
  <c r="L1692" i="9" s="1"/>
  <c r="G1695" i="9"/>
  <c r="L1695" i="9" s="1"/>
  <c r="G1696" i="9"/>
  <c r="L1696" i="9" s="1"/>
  <c r="G1697" i="9"/>
  <c r="L1697" i="9" s="1"/>
  <c r="G1702" i="9"/>
  <c r="L1702" i="9" s="1"/>
  <c r="G1703" i="9"/>
  <c r="L1703" i="9" s="1"/>
  <c r="G1704" i="9"/>
  <c r="L1704" i="9" s="1"/>
  <c r="G1708" i="9"/>
  <c r="L1708" i="9" s="1"/>
  <c r="G1709" i="9"/>
  <c r="L1709" i="9" s="1"/>
  <c r="G1710" i="9"/>
  <c r="L1710" i="9" s="1"/>
  <c r="G1719" i="9"/>
  <c r="L1719" i="9" s="1"/>
  <c r="G1724" i="9"/>
  <c r="L1724" i="9" s="1"/>
  <c r="G1725" i="9"/>
  <c r="L1725" i="9" s="1"/>
  <c r="G1726" i="9"/>
  <c r="L1726" i="9" s="1"/>
  <c r="G1727" i="9"/>
  <c r="L1727" i="9" s="1"/>
  <c r="G1728" i="9"/>
  <c r="L1728" i="9" s="1"/>
  <c r="G1729" i="9"/>
  <c r="L1729" i="9" s="1"/>
  <c r="G1730" i="9"/>
  <c r="L1730" i="9" s="1"/>
  <c r="G1734" i="9"/>
  <c r="L1734" i="9" s="1"/>
  <c r="G1735" i="9"/>
  <c r="L1735" i="9" s="1"/>
  <c r="G1736" i="9"/>
  <c r="L1736" i="9" s="1"/>
  <c r="G1737" i="9"/>
  <c r="L1737" i="9" s="1"/>
  <c r="G1738" i="9"/>
  <c r="L1738" i="9" s="1"/>
  <c r="G1739" i="9"/>
  <c r="L1739" i="9" s="1"/>
  <c r="G1742" i="9"/>
  <c r="L1742" i="9" s="1"/>
  <c r="G1743" i="9"/>
  <c r="L1743" i="9" s="1"/>
  <c r="G1744" i="9"/>
  <c r="L1744" i="9" s="1"/>
  <c r="G1745" i="9"/>
  <c r="L1745" i="9" s="1"/>
  <c r="G1746" i="9"/>
  <c r="L1746" i="9" s="1"/>
  <c r="G1747" i="9"/>
  <c r="L1747" i="9" s="1"/>
  <c r="G1748" i="9"/>
  <c r="L1748" i="9" s="1"/>
  <c r="G1753" i="9"/>
  <c r="L1753" i="9" s="1"/>
  <c r="G1754" i="9"/>
  <c r="L1754" i="9" s="1"/>
  <c r="G1756" i="9"/>
  <c r="L1756" i="9" s="1"/>
  <c r="G1757" i="9"/>
  <c r="L1757" i="9" s="1"/>
  <c r="G1758" i="9"/>
  <c r="L1758" i="9" s="1"/>
  <c r="G1759" i="9"/>
  <c r="L1759" i="9" s="1"/>
  <c r="G1760" i="9"/>
  <c r="L1760" i="9" s="1"/>
  <c r="G1764" i="9"/>
  <c r="L1764" i="9" s="1"/>
  <c r="G1765" i="9"/>
  <c r="L1765" i="9" s="1"/>
  <c r="G1766" i="9"/>
  <c r="L1766" i="9" s="1"/>
  <c r="G1767" i="9"/>
  <c r="L1767" i="9" s="1"/>
  <c r="G1768" i="9"/>
  <c r="L1768" i="9" s="1"/>
  <c r="G1769" i="9"/>
  <c r="L1769" i="9" s="1"/>
  <c r="G1770" i="9"/>
  <c r="L1770" i="9" s="1"/>
  <c r="G1771" i="9"/>
  <c r="L1771" i="9" s="1"/>
  <c r="G1772" i="9"/>
  <c r="L1772" i="9" s="1"/>
  <c r="G1778" i="9"/>
  <c r="L1778" i="9" s="1"/>
  <c r="G1779" i="9"/>
  <c r="L1779" i="9" s="1"/>
  <c r="G1780" i="9"/>
  <c r="L1780" i="9" s="1"/>
  <c r="G1781" i="9"/>
  <c r="L1781" i="9" s="1"/>
  <c r="G1782" i="9"/>
  <c r="L1782" i="9" s="1"/>
  <c r="G1784" i="9"/>
  <c r="L1784" i="9" s="1"/>
  <c r="G1785" i="9"/>
  <c r="L1785" i="9" s="1"/>
  <c r="G1786" i="9"/>
  <c r="L1786" i="9" s="1"/>
  <c r="G1787" i="9"/>
  <c r="L1787" i="9" s="1"/>
  <c r="G1788" i="9"/>
  <c r="L1788" i="9" s="1"/>
  <c r="G1789" i="9"/>
  <c r="L1789" i="9" s="1"/>
  <c r="G1793" i="9"/>
  <c r="L1793" i="9" s="1"/>
  <c r="G1794" i="9"/>
  <c r="L1794" i="9" s="1"/>
  <c r="G1795" i="9"/>
  <c r="L1795" i="9" s="1"/>
  <c r="G1796" i="9"/>
  <c r="L1796" i="9" s="1"/>
  <c r="G1797" i="9"/>
  <c r="L1797" i="9" s="1"/>
  <c r="G1798" i="9"/>
  <c r="L1798" i="9" s="1"/>
  <c r="G1801" i="9"/>
  <c r="L1801" i="9" s="1"/>
  <c r="G1802" i="9"/>
  <c r="L1802" i="9" s="1"/>
  <c r="G1803" i="9"/>
  <c r="L1803" i="9" s="1"/>
  <c r="G1804" i="9"/>
  <c r="L1804" i="9" s="1"/>
  <c r="G1805" i="9"/>
  <c r="L1805" i="9" s="1"/>
  <c r="G1806" i="9"/>
  <c r="L1806" i="9" s="1"/>
  <c r="G1807" i="9"/>
  <c r="L1807" i="9" s="1"/>
  <c r="G1809" i="9"/>
  <c r="L1809" i="9" s="1"/>
  <c r="G1810" i="9"/>
  <c r="L1810" i="9" s="1"/>
  <c r="G1811" i="9"/>
  <c r="L1811" i="9" s="1"/>
  <c r="G1812" i="9"/>
  <c r="L1812" i="9" s="1"/>
  <c r="G1816" i="9"/>
  <c r="L1816" i="9" s="1"/>
  <c r="G1824" i="9"/>
  <c r="L1824" i="9" s="1"/>
  <c r="G1825" i="9"/>
  <c r="L1825" i="9" s="1"/>
  <c r="G1826" i="9"/>
  <c r="L1826" i="9" s="1"/>
  <c r="G1827" i="9"/>
  <c r="L1827" i="9" s="1"/>
  <c r="G1828" i="9"/>
  <c r="L1828" i="9" s="1"/>
  <c r="G1829" i="9"/>
  <c r="L1829" i="9" s="1"/>
  <c r="G1830" i="9"/>
  <c r="L1830" i="9" s="1"/>
  <c r="G1831" i="9"/>
  <c r="L1831" i="9" s="1"/>
  <c r="G1832" i="9"/>
  <c r="L1832" i="9" s="1"/>
  <c r="G1833" i="9"/>
  <c r="L1833" i="9" s="1"/>
  <c r="G1834" i="9"/>
  <c r="L1834" i="9" s="1"/>
  <c r="G1837" i="9"/>
  <c r="L1837" i="9" s="1"/>
  <c r="G1838" i="9"/>
  <c r="L1838" i="9" s="1"/>
  <c r="G1839" i="9"/>
  <c r="L1839" i="9" s="1"/>
  <c r="G1840" i="9"/>
  <c r="L1840" i="9" s="1"/>
  <c r="G1841" i="9"/>
  <c r="L1841" i="9" s="1"/>
  <c r="G1844" i="9"/>
  <c r="L1844" i="9" s="1"/>
  <c r="G1845" i="9"/>
  <c r="L1845" i="9" s="1"/>
  <c r="G1846" i="9"/>
  <c r="L1846" i="9" s="1"/>
  <c r="G1847" i="9"/>
  <c r="G1848" i="9"/>
  <c r="L1848" i="9" s="1"/>
  <c r="G1849" i="9"/>
  <c r="L1849" i="9" s="1"/>
  <c r="G1850" i="9"/>
  <c r="L1850" i="9" s="1"/>
  <c r="G1854" i="9"/>
  <c r="L1854" i="9" s="1"/>
  <c r="G1855" i="9"/>
  <c r="L1855" i="9" s="1"/>
  <c r="G1856" i="9"/>
  <c r="L1856" i="9" s="1"/>
  <c r="G1857" i="9"/>
  <c r="L1857" i="9" s="1"/>
  <c r="G1858" i="9"/>
  <c r="L1858" i="9" s="1"/>
  <c r="G1859" i="9"/>
  <c r="L1859" i="9" s="1"/>
  <c r="G1860" i="9"/>
  <c r="L1860" i="9" s="1"/>
  <c r="G1861" i="9"/>
  <c r="L1861" i="9" s="1"/>
  <c r="G1863" i="9"/>
  <c r="L1863" i="9" s="1"/>
  <c r="G1865" i="9"/>
  <c r="L1865" i="9" s="1"/>
  <c r="G1866" i="9"/>
  <c r="L1866" i="9" s="1"/>
  <c r="G1867" i="9"/>
  <c r="L1867" i="9" s="1"/>
  <c r="G1868" i="9"/>
  <c r="L1868" i="9" s="1"/>
  <c r="G1869" i="9"/>
  <c r="L1869" i="9" s="1"/>
  <c r="G1870" i="9"/>
  <c r="L1870" i="9" s="1"/>
  <c r="G1874" i="9"/>
  <c r="L1874" i="9" s="1"/>
  <c r="G1875" i="9"/>
  <c r="L1875" i="9" s="1"/>
  <c r="G1876" i="9"/>
  <c r="L1876" i="9" s="1"/>
  <c r="G1877" i="9"/>
  <c r="L1877" i="9" s="1"/>
  <c r="G1882" i="9"/>
  <c r="L1882" i="9" s="1"/>
  <c r="G1883" i="9"/>
  <c r="L1883" i="9" s="1"/>
  <c r="G1884" i="9"/>
  <c r="L1884" i="9" s="1"/>
  <c r="G1885" i="9"/>
  <c r="L1885" i="9" s="1"/>
  <c r="G1886" i="9"/>
  <c r="L1886" i="9" s="1"/>
  <c r="G1887" i="9"/>
  <c r="L1887" i="9" s="1"/>
  <c r="G1888" i="9"/>
  <c r="L1888" i="9" s="1"/>
  <c r="G1891" i="9"/>
  <c r="L1891" i="9" s="1"/>
  <c r="G1892" i="9"/>
  <c r="L1892" i="9" s="1"/>
  <c r="G1893" i="9"/>
  <c r="L1893" i="9" s="1"/>
  <c r="G1894" i="9"/>
  <c r="L1894" i="9" s="1"/>
  <c r="G1895" i="9"/>
  <c r="L1895" i="9" s="1"/>
  <c r="G1896" i="9"/>
  <c r="L1896" i="9" s="1"/>
  <c r="G1897" i="9"/>
  <c r="L1897" i="9" s="1"/>
  <c r="G1900" i="9"/>
  <c r="L1900" i="9" s="1"/>
  <c r="G1901" i="9"/>
  <c r="L1901" i="9" s="1"/>
  <c r="G1902" i="9"/>
  <c r="L1902" i="9" s="1"/>
  <c r="G1903" i="9"/>
  <c r="L1903" i="9" s="1"/>
  <c r="G1904" i="9"/>
  <c r="L1904" i="9" s="1"/>
  <c r="G1910" i="9"/>
  <c r="L1910" i="9" s="1"/>
  <c r="G1911" i="9"/>
  <c r="L1911" i="9" s="1"/>
  <c r="G1912" i="9"/>
  <c r="L1912" i="9" s="1"/>
  <c r="G1913" i="9"/>
  <c r="L1913" i="9" s="1"/>
  <c r="G1914" i="9"/>
  <c r="L1914" i="9" s="1"/>
  <c r="G1915" i="9"/>
  <c r="L1915" i="9" s="1"/>
  <c r="G1918" i="9"/>
  <c r="L1918" i="9" s="1"/>
  <c r="G1922" i="9"/>
  <c r="L1922" i="9" s="1"/>
  <c r="G1923" i="9"/>
  <c r="L1923" i="9" s="1"/>
  <c r="G1924" i="9"/>
  <c r="L1924" i="9" s="1"/>
  <c r="G1925" i="9"/>
  <c r="L1925" i="9" s="1"/>
  <c r="G1926" i="9"/>
  <c r="L1926" i="9" s="1"/>
  <c r="G1927" i="9"/>
  <c r="L1927" i="9" s="1"/>
  <c r="G1928" i="9"/>
  <c r="L1928" i="9" s="1"/>
  <c r="G1929" i="9"/>
  <c r="L1929" i="9" s="1"/>
  <c r="G1938" i="9"/>
  <c r="L1938" i="9" s="1"/>
  <c r="G1939" i="9"/>
  <c r="L1939" i="9" s="1"/>
  <c r="G1940" i="9"/>
  <c r="L1940" i="9" s="1"/>
  <c r="G1941" i="9"/>
  <c r="L1941" i="9" s="1"/>
  <c r="G1942" i="9"/>
  <c r="L1942" i="9" s="1"/>
  <c r="G1943" i="9"/>
  <c r="L1943" i="9" s="1"/>
  <c r="G1944" i="9"/>
  <c r="L1944" i="9" s="1"/>
  <c r="G1945" i="9"/>
  <c r="L1945" i="9" s="1"/>
  <c r="G1946" i="9"/>
  <c r="L1946" i="9" s="1"/>
  <c r="G1947" i="9"/>
  <c r="L1947" i="9" s="1"/>
  <c r="G1948" i="9"/>
  <c r="L1948" i="9" s="1"/>
  <c r="G1949" i="9"/>
  <c r="L1949" i="9" s="1"/>
  <c r="G1954" i="9"/>
  <c r="L1954" i="9" s="1"/>
  <c r="G1955" i="9"/>
  <c r="L1955" i="9" s="1"/>
  <c r="G1956" i="9"/>
  <c r="L1956" i="9" s="1"/>
  <c r="G1957" i="9"/>
  <c r="L1957" i="9" s="1"/>
  <c r="G1958" i="9"/>
  <c r="L1958" i="9" s="1"/>
  <c r="G1959" i="9"/>
  <c r="L1959" i="9" s="1"/>
  <c r="G1960" i="9"/>
  <c r="L1960" i="9" s="1"/>
  <c r="G1961" i="9"/>
  <c r="L1961" i="9" s="1"/>
  <c r="G1962" i="9"/>
  <c r="L1962" i="9" s="1"/>
  <c r="G1963" i="9"/>
  <c r="L1963" i="9" s="1"/>
  <c r="G1967" i="9"/>
  <c r="L1967" i="9" s="1"/>
  <c r="G1968" i="9"/>
  <c r="L1968" i="9" s="1"/>
  <c r="G1969" i="9"/>
  <c r="L1969" i="9" s="1"/>
  <c r="G1970" i="9"/>
  <c r="L1970" i="9" s="1"/>
  <c r="G1975" i="9"/>
  <c r="L1975" i="9" s="1"/>
  <c r="G1976" i="9"/>
  <c r="L1976" i="9" s="1"/>
  <c r="G1977" i="9"/>
  <c r="L1977" i="9" s="1"/>
  <c r="G1978" i="9"/>
  <c r="L1978" i="9" s="1"/>
  <c r="G1979" i="9"/>
  <c r="L1979" i="9" s="1"/>
  <c r="G1980" i="9"/>
  <c r="L1980" i="9" s="1"/>
  <c r="G1987" i="9"/>
  <c r="L1987" i="9" s="1"/>
  <c r="G1988" i="9"/>
  <c r="L1988" i="9" s="1"/>
  <c r="G1989" i="9"/>
  <c r="L1989" i="9" s="1"/>
  <c r="G1990" i="9"/>
  <c r="L1990" i="9" s="1"/>
  <c r="G1991" i="9"/>
  <c r="L1991" i="9" s="1"/>
  <c r="G1992" i="9"/>
  <c r="L1992" i="9" s="1"/>
  <c r="G1998" i="9"/>
  <c r="L1998" i="9" s="1"/>
  <c r="G1999" i="9"/>
  <c r="L1999" i="9" s="1"/>
  <c r="G2000" i="9"/>
  <c r="L2000" i="9" s="1"/>
  <c r="G2001" i="9"/>
  <c r="L2001" i="9" s="1"/>
  <c r="G2002" i="9"/>
  <c r="L2002" i="9" s="1"/>
  <c r="G2003" i="9"/>
  <c r="L2003" i="9" s="1"/>
  <c r="G2004" i="9"/>
  <c r="L2004" i="9" s="1"/>
  <c r="G2005" i="9"/>
  <c r="L2005" i="9" s="1"/>
  <c r="G2006" i="9"/>
  <c r="L2006" i="9" s="1"/>
  <c r="G2007" i="9"/>
  <c r="L2007" i="9" s="1"/>
  <c r="G2012" i="9"/>
  <c r="L2012" i="9" s="1"/>
  <c r="G2013" i="9"/>
  <c r="L2013" i="9" s="1"/>
  <c r="G2014" i="9"/>
  <c r="L2014" i="9" s="1"/>
  <c r="G2015" i="9"/>
  <c r="L2015" i="9" s="1"/>
  <c r="G2016" i="9"/>
  <c r="L2016" i="9" s="1"/>
  <c r="G2017" i="9"/>
  <c r="L2017" i="9" s="1"/>
  <c r="G2018" i="9"/>
  <c r="L2018" i="9" s="1"/>
  <c r="G2019" i="9"/>
  <c r="L2019" i="9" s="1"/>
  <c r="G2025" i="9"/>
  <c r="L2025" i="9" s="1"/>
  <c r="G2026" i="9"/>
  <c r="L2026" i="9" s="1"/>
  <c r="G2027" i="9"/>
  <c r="L2027" i="9" s="1"/>
  <c r="G2028" i="9"/>
  <c r="L2028" i="9" s="1"/>
  <c r="G2033" i="9"/>
  <c r="L2033" i="9" s="1"/>
  <c r="G2034" i="9"/>
  <c r="L2034" i="9" s="1"/>
  <c r="G2035" i="9"/>
  <c r="L2035" i="9" s="1"/>
  <c r="G2036" i="9"/>
  <c r="L2036" i="9" s="1"/>
  <c r="G2037" i="9"/>
  <c r="L2037" i="9" s="1"/>
  <c r="G2038" i="9"/>
  <c r="L2038" i="9" s="1"/>
  <c r="G2039" i="9"/>
  <c r="L2039" i="9" s="1"/>
  <c r="G2041" i="9"/>
  <c r="L2041" i="9" s="1"/>
  <c r="G2042" i="9"/>
  <c r="L2042" i="9" s="1"/>
  <c r="G2043" i="9"/>
  <c r="L2043" i="9" s="1"/>
  <c r="G2044" i="9"/>
  <c r="L2044" i="9" s="1"/>
  <c r="G2045" i="9"/>
  <c r="L2045" i="9" s="1"/>
  <c r="G2046" i="9"/>
  <c r="L2046" i="9" s="1"/>
  <c r="G2047" i="9"/>
  <c r="L2047" i="9" s="1"/>
  <c r="G2048" i="9"/>
  <c r="L2048" i="9" s="1"/>
  <c r="G2049" i="9"/>
  <c r="L2049" i="9" s="1"/>
  <c r="G2051" i="9"/>
  <c r="L2051" i="9" s="1"/>
  <c r="G2052" i="9"/>
  <c r="L2052" i="9" s="1"/>
  <c r="G2055" i="9"/>
  <c r="L2055" i="9" s="1"/>
  <c r="G2056" i="9"/>
  <c r="L2056" i="9" s="1"/>
  <c r="G2057" i="9"/>
  <c r="L2057" i="9" s="1"/>
  <c r="G2058" i="9"/>
  <c r="L2058" i="9" s="1"/>
  <c r="G2059" i="9"/>
  <c r="L2059" i="9" s="1"/>
  <c r="G2060" i="9"/>
  <c r="L2060" i="9" s="1"/>
  <c r="G2066" i="9"/>
  <c r="L2066" i="9" s="1"/>
  <c r="G2067" i="9"/>
  <c r="L2067" i="9" s="1"/>
  <c r="G2069" i="9"/>
  <c r="L2069" i="9" s="1"/>
  <c r="G2070" i="9"/>
  <c r="L2070" i="9" s="1"/>
  <c r="G2071" i="9"/>
  <c r="L2071" i="9" s="1"/>
  <c r="G2072" i="9"/>
  <c r="L2072" i="9" s="1"/>
  <c r="G2073" i="9"/>
  <c r="L2073" i="9" s="1"/>
  <c r="G2074" i="9"/>
  <c r="L2074" i="9" s="1"/>
  <c r="G2076" i="9"/>
  <c r="L2076" i="9" s="1"/>
  <c r="G2077" i="9"/>
  <c r="L2077" i="9" s="1"/>
  <c r="G2078" i="9"/>
  <c r="L2078" i="9" s="1"/>
  <c r="G2083" i="9"/>
  <c r="L2083" i="9" s="1"/>
  <c r="G2084" i="9"/>
  <c r="L2084" i="9" s="1"/>
  <c r="G2085" i="9"/>
  <c r="L2085" i="9" s="1"/>
  <c r="G2086" i="9"/>
  <c r="L2086" i="9" s="1"/>
  <c r="G2087" i="9"/>
  <c r="L2087" i="9" s="1"/>
  <c r="G2088" i="9"/>
  <c r="L2088" i="9" s="1"/>
  <c r="G2089" i="9"/>
  <c r="L2089" i="9" s="1"/>
  <c r="G2090" i="9"/>
  <c r="L2090" i="9" s="1"/>
  <c r="G2094" i="9"/>
  <c r="L2094" i="9" s="1"/>
  <c r="G2095" i="9"/>
  <c r="L2095" i="9" s="1"/>
  <c r="G2096" i="9"/>
  <c r="L2096" i="9" s="1"/>
  <c r="G2097" i="9"/>
  <c r="L2097" i="9" s="1"/>
  <c r="G2098" i="9"/>
  <c r="L2098" i="9" s="1"/>
  <c r="G2099" i="9"/>
  <c r="L2099" i="9" s="1"/>
  <c r="G2100" i="9"/>
  <c r="L2100" i="9" s="1"/>
  <c r="G2101" i="9"/>
  <c r="L2101" i="9" s="1"/>
  <c r="G2102" i="9"/>
  <c r="L2102" i="9" s="1"/>
  <c r="G2103" i="9"/>
  <c r="L2103" i="9" s="1"/>
  <c r="G2104" i="9"/>
  <c r="L2104" i="9" s="1"/>
  <c r="G2105" i="9"/>
  <c r="L2105" i="9" s="1"/>
  <c r="G2109" i="9"/>
  <c r="L2109" i="9" s="1"/>
  <c r="G2110" i="9"/>
  <c r="L2110" i="9" s="1"/>
  <c r="G2111" i="9"/>
  <c r="L2111" i="9" s="1"/>
  <c r="G2112" i="9"/>
  <c r="L2112" i="9" s="1"/>
  <c r="G2113" i="9"/>
  <c r="L2113" i="9" s="1"/>
  <c r="G2114" i="9"/>
  <c r="L2114" i="9" s="1"/>
  <c r="G2115" i="9"/>
  <c r="L2115" i="9" s="1"/>
  <c r="G2122" i="9"/>
  <c r="L2122" i="9" s="1"/>
  <c r="G2123" i="9"/>
  <c r="L2123" i="9" s="1"/>
  <c r="G2129" i="9"/>
  <c r="L2129" i="9" s="1"/>
  <c r="G2130" i="9"/>
  <c r="L2130" i="9" s="1"/>
  <c r="G2131" i="9"/>
  <c r="L2131" i="9" s="1"/>
  <c r="G2132" i="9"/>
  <c r="L2132" i="9" s="1"/>
  <c r="G2133" i="9"/>
  <c r="L2133" i="9" s="1"/>
  <c r="G2134" i="9"/>
  <c r="L2134" i="9" s="1"/>
  <c r="G2135" i="9"/>
  <c r="L2135" i="9" s="1"/>
  <c r="G2136" i="9"/>
  <c r="L2136" i="9" s="1"/>
  <c r="G2137" i="9"/>
  <c r="L2137" i="9" s="1"/>
  <c r="G2138" i="9"/>
  <c r="L2138" i="9" s="1"/>
  <c r="G2139" i="9"/>
  <c r="L2139" i="9" s="1"/>
  <c r="G2148" i="9"/>
  <c r="L2148" i="9" s="1"/>
  <c r="G2149" i="9"/>
  <c r="L2149" i="9" s="1"/>
  <c r="G2150" i="9"/>
  <c r="L2150" i="9" s="1"/>
  <c r="G2151" i="9"/>
  <c r="L2151" i="9" s="1"/>
  <c r="G2152" i="9"/>
  <c r="L2152" i="9" s="1"/>
  <c r="G2153" i="9"/>
  <c r="L2153" i="9" s="1"/>
  <c r="G2154" i="9"/>
  <c r="L2154" i="9" s="1"/>
  <c r="G2155" i="9"/>
  <c r="L2155" i="9" s="1"/>
  <c r="G2160" i="9"/>
  <c r="L2160" i="9" s="1"/>
  <c r="G2161" i="9"/>
  <c r="L2161" i="9" s="1"/>
  <c r="G2162" i="9"/>
  <c r="L2162" i="9" s="1"/>
  <c r="G2163" i="9"/>
  <c r="L2163" i="9" s="1"/>
  <c r="G2164" i="9"/>
  <c r="L2164" i="9" s="1"/>
  <c r="G2165" i="9"/>
  <c r="L2165" i="9" s="1"/>
  <c r="G2166" i="9"/>
  <c r="L2166" i="9" s="1"/>
  <c r="G2169" i="9"/>
  <c r="L2169" i="9" s="1"/>
  <c r="G2170" i="9"/>
  <c r="L2170" i="9" s="1"/>
  <c r="G2171" i="9"/>
  <c r="L2171" i="9" s="1"/>
  <c r="G2172" i="9"/>
  <c r="L2172" i="9" s="1"/>
  <c r="G2173" i="9"/>
  <c r="L2173" i="9" s="1"/>
  <c r="G2177" i="9"/>
  <c r="L2177" i="9" s="1"/>
  <c r="G2178" i="9"/>
  <c r="L2178" i="9" s="1"/>
  <c r="G2179" i="9"/>
  <c r="L2179" i="9" s="1"/>
  <c r="G2180" i="9"/>
  <c r="L2180" i="9" s="1"/>
  <c r="G2182" i="9"/>
  <c r="L2182" i="9" s="1"/>
  <c r="G2183" i="9"/>
  <c r="L2183" i="9" s="1"/>
  <c r="G2187" i="9"/>
  <c r="L2187" i="9" s="1"/>
  <c r="G2188" i="9"/>
  <c r="L2188" i="9" s="1"/>
  <c r="G2189" i="9"/>
  <c r="L2189" i="9" s="1"/>
  <c r="G2194" i="9"/>
  <c r="L2194" i="9" s="1"/>
  <c r="G2195" i="9"/>
  <c r="L2195" i="9" s="1"/>
  <c r="G2196" i="9"/>
  <c r="L2196" i="9" s="1"/>
  <c r="G2204" i="9"/>
  <c r="L2204" i="9" s="1"/>
  <c r="G2205" i="9"/>
  <c r="L2205" i="9" s="1"/>
  <c r="G2206" i="9"/>
  <c r="L2206" i="9" s="1"/>
  <c r="G2207" i="9"/>
  <c r="L2207" i="9" s="1"/>
  <c r="G2211" i="9"/>
  <c r="L2211" i="9" s="1"/>
  <c r="G2212" i="9"/>
  <c r="L2212" i="9" s="1"/>
  <c r="G2213" i="9"/>
  <c r="L2213" i="9" s="1"/>
  <c r="G2214" i="9"/>
  <c r="L2214" i="9" s="1"/>
  <c r="G2215" i="9"/>
  <c r="L2215" i="9" s="1"/>
  <c r="G2220" i="9"/>
  <c r="L2220" i="9" s="1"/>
  <c r="G2221" i="9"/>
  <c r="L2221" i="9" s="1"/>
  <c r="G2222" i="9"/>
  <c r="L2222" i="9" s="1"/>
  <c r="G2223" i="9"/>
  <c r="L2223" i="9" s="1"/>
  <c r="G2224" i="9"/>
  <c r="L2224" i="9" s="1"/>
  <c r="G2225" i="9"/>
  <c r="L2225" i="9" s="1"/>
  <c r="G2226" i="9"/>
  <c r="L2226" i="9" s="1"/>
  <c r="G2227" i="9"/>
  <c r="L2227" i="9" s="1"/>
  <c r="G2228" i="9"/>
  <c r="L2228" i="9" s="1"/>
  <c r="G2229" i="9"/>
  <c r="L2229" i="9" s="1"/>
  <c r="G2231" i="9"/>
  <c r="L2231" i="9" s="1"/>
  <c r="G2232" i="9"/>
  <c r="L2232" i="9" s="1"/>
  <c r="G2233" i="9"/>
  <c r="L2233" i="9" s="1"/>
  <c r="G2239" i="9"/>
  <c r="L2239" i="9" s="1"/>
  <c r="G2240" i="9"/>
  <c r="L2240" i="9" s="1"/>
  <c r="G2241" i="9"/>
  <c r="L2241" i="9" s="1"/>
  <c r="G2242" i="9"/>
  <c r="L2242" i="9" s="1"/>
  <c r="G2243" i="9"/>
  <c r="L2243" i="9" s="1"/>
  <c r="G2244" i="9"/>
  <c r="L2244" i="9" s="1"/>
  <c r="G2245" i="9"/>
  <c r="L2245" i="9" s="1"/>
  <c r="G2251" i="9"/>
  <c r="L2251" i="9" s="1"/>
  <c r="G2252" i="9"/>
  <c r="L2252" i="9" s="1"/>
  <c r="G2253" i="9"/>
  <c r="L2253" i="9" s="1"/>
  <c r="G2254" i="9"/>
  <c r="L2254" i="9" s="1"/>
  <c r="G2257" i="9"/>
  <c r="L2257" i="9" s="1"/>
  <c r="G2258" i="9"/>
  <c r="L2258" i="9" s="1"/>
  <c r="G2259" i="9"/>
  <c r="L2259" i="9" s="1"/>
  <c r="G2260" i="9"/>
  <c r="L2260" i="9" s="1"/>
  <c r="G2261" i="9"/>
  <c r="L2261" i="9" s="1"/>
  <c r="G2269" i="9"/>
  <c r="L2269" i="9" s="1"/>
  <c r="G2270" i="9"/>
  <c r="L2270" i="9" s="1"/>
  <c r="G2271" i="9"/>
  <c r="L2271" i="9" s="1"/>
  <c r="G2272" i="9"/>
  <c r="L2272" i="9" s="1"/>
  <c r="G2273" i="9"/>
  <c r="L2273" i="9" s="1"/>
  <c r="G2278" i="9"/>
  <c r="L2278" i="9" s="1"/>
  <c r="G2279" i="9"/>
  <c r="L2279" i="9" s="1"/>
  <c r="G2280" i="9"/>
  <c r="L2280" i="9" s="1"/>
  <c r="G2281" i="9"/>
  <c r="L2281" i="9" s="1"/>
  <c r="G2282" i="9"/>
  <c r="L2282" i="9" s="1"/>
  <c r="G2283" i="9"/>
  <c r="L2283" i="9" s="1"/>
  <c r="G2284" i="9"/>
  <c r="L2284" i="9" s="1"/>
  <c r="G2286" i="9"/>
  <c r="L2286" i="9" s="1"/>
  <c r="G2287" i="9"/>
  <c r="L2287" i="9" s="1"/>
  <c r="G2288" i="9"/>
  <c r="L2288" i="9" s="1"/>
  <c r="G2289" i="9"/>
  <c r="L2289" i="9" s="1"/>
  <c r="G2290" i="9"/>
  <c r="L2290" i="9" s="1"/>
  <c r="G2291" i="9"/>
  <c r="L2291" i="9" s="1"/>
  <c r="G2292" i="9"/>
  <c r="L2292" i="9" s="1"/>
  <c r="G2297" i="9"/>
  <c r="L2297" i="9" s="1"/>
  <c r="G2299" i="9"/>
  <c r="L2299" i="9" s="1"/>
  <c r="G2300" i="9"/>
  <c r="L2300" i="9" s="1"/>
  <c r="G2306" i="9"/>
  <c r="L2306" i="9" s="1"/>
  <c r="G2307" i="9"/>
  <c r="L2307" i="9" s="1"/>
  <c r="G2308" i="9"/>
  <c r="L2308" i="9" s="1"/>
  <c r="G2309" i="9"/>
  <c r="L2309" i="9" s="1"/>
  <c r="G2310" i="9"/>
  <c r="L2310" i="9" s="1"/>
  <c r="G2312" i="9"/>
  <c r="L2312" i="9" s="1"/>
  <c r="G2320" i="9"/>
  <c r="L2320" i="9" s="1"/>
  <c r="G2321" i="9"/>
  <c r="L2321" i="9" s="1"/>
  <c r="G2322" i="9"/>
  <c r="L2322" i="9" s="1"/>
  <c r="G2323" i="9"/>
  <c r="L2323" i="9" s="1"/>
  <c r="G2324" i="9"/>
  <c r="L2324" i="9" s="1"/>
  <c r="G2325" i="9"/>
  <c r="L2325" i="9" s="1"/>
  <c r="G2334" i="9"/>
  <c r="L2334" i="9" s="1"/>
  <c r="G2335" i="9"/>
  <c r="L2335" i="9" s="1"/>
  <c r="G2336" i="9"/>
  <c r="L2336" i="9" s="1"/>
  <c r="G2337" i="9"/>
  <c r="L2337" i="9" s="1"/>
  <c r="G2338" i="9"/>
  <c r="L2338" i="9" s="1"/>
  <c r="G2339" i="9"/>
  <c r="L2339" i="9" s="1"/>
  <c r="G2340" i="9"/>
  <c r="L2340" i="9" s="1"/>
  <c r="G2341" i="9"/>
  <c r="L2341" i="9" s="1"/>
  <c r="G2349" i="9"/>
  <c r="L2349" i="9" s="1"/>
  <c r="G2350" i="9"/>
  <c r="L2350" i="9" s="1"/>
  <c r="G2351" i="9"/>
  <c r="L2351" i="9" s="1"/>
  <c r="G2352" i="9"/>
  <c r="L2352" i="9" s="1"/>
  <c r="G2353" i="9"/>
  <c r="L2353" i="9" s="1"/>
  <c r="G2354" i="9"/>
  <c r="L2354" i="9" s="1"/>
  <c r="G2355" i="9"/>
  <c r="L2355" i="9" s="1"/>
  <c r="G2356" i="9"/>
  <c r="L2356" i="9" s="1"/>
  <c r="G2363" i="9"/>
  <c r="L2363" i="9" s="1"/>
  <c r="G2364" i="9"/>
  <c r="L2364" i="9" s="1"/>
  <c r="G2365" i="9"/>
  <c r="L2365" i="9" s="1"/>
  <c r="G2367" i="9"/>
  <c r="L2367" i="9" s="1"/>
  <c r="G2368" i="9"/>
  <c r="L2368" i="9" s="1"/>
  <c r="G2372" i="9"/>
  <c r="L2372" i="9" s="1"/>
  <c r="G2373" i="9"/>
  <c r="L2373" i="9" s="1"/>
  <c r="G2387" i="9"/>
  <c r="L2387" i="9" s="1"/>
  <c r="G2388" i="9"/>
  <c r="L2388" i="9" s="1"/>
  <c r="G2389" i="9"/>
  <c r="L2389" i="9" s="1"/>
  <c r="G2395" i="9"/>
  <c r="L2395" i="9" s="1"/>
  <c r="G2396" i="9"/>
  <c r="L2396" i="9" s="1"/>
  <c r="G2397" i="9"/>
  <c r="L2397" i="9" s="1"/>
  <c r="G2398" i="9"/>
  <c r="L2398" i="9" s="1"/>
  <c r="G2399" i="9"/>
  <c r="L2399" i="9" s="1"/>
  <c r="G2400" i="9"/>
  <c r="L2400" i="9" s="1"/>
  <c r="G2401" i="9"/>
  <c r="L2401" i="9" s="1"/>
  <c r="G2406" i="9"/>
  <c r="L2406" i="9" s="1"/>
  <c r="G2407" i="9"/>
  <c r="L2407" i="9" s="1"/>
  <c r="G2408" i="9"/>
  <c r="L2408" i="9" s="1"/>
  <c r="G2409" i="9"/>
  <c r="L2409" i="9" s="1"/>
  <c r="G2414" i="9"/>
  <c r="G2415" i="9"/>
  <c r="L2415" i="9" s="1"/>
  <c r="G2416" i="9"/>
  <c r="L2416" i="9" s="1"/>
  <c r="G2426" i="9"/>
  <c r="L2426" i="9" s="1"/>
  <c r="G2427" i="9"/>
  <c r="L2427" i="9" s="1"/>
  <c r="G2428" i="9"/>
  <c r="L2428" i="9" s="1"/>
  <c r="G2429" i="9"/>
  <c r="L2429" i="9" s="1"/>
  <c r="G2430" i="9"/>
  <c r="L2430" i="9" s="1"/>
  <c r="G2437" i="9"/>
  <c r="L2437" i="9" s="1"/>
  <c r="G2438" i="9"/>
  <c r="L2438" i="9" s="1"/>
  <c r="G2439" i="9"/>
  <c r="L2439" i="9" s="1"/>
  <c r="G2444" i="9"/>
  <c r="L2444" i="9" s="1"/>
  <c r="G2445" i="9"/>
  <c r="L2445" i="9" s="1"/>
  <c r="G2446" i="9"/>
  <c r="L2446" i="9" s="1"/>
  <c r="G2453" i="9"/>
  <c r="L2453" i="9" s="1"/>
  <c r="G2454" i="9"/>
  <c r="L2454" i="9" s="1"/>
  <c r="G2455" i="9"/>
  <c r="L2455" i="9" s="1"/>
  <c r="G2456" i="9"/>
  <c r="L2456" i="9" s="1"/>
  <c r="G2457" i="9"/>
  <c r="L2457" i="9" s="1"/>
  <c r="G2464" i="9"/>
  <c r="L2464" i="9" s="1"/>
  <c r="G2465" i="9"/>
  <c r="L2465" i="9" s="1"/>
  <c r="G2466" i="9"/>
  <c r="L2466" i="9" s="1"/>
  <c r="G2467" i="9"/>
  <c r="L2467" i="9" s="1"/>
  <c r="G2468" i="9"/>
  <c r="L2468" i="9" s="1"/>
  <c r="G2475" i="9"/>
  <c r="L2475" i="9" s="1"/>
  <c r="G2476" i="9"/>
  <c r="L2476" i="9" s="1"/>
  <c r="G2477" i="9"/>
  <c r="L2477" i="9" s="1"/>
  <c r="G2478" i="9"/>
  <c r="L2478" i="9" s="1"/>
  <c r="G2479" i="9"/>
  <c r="L2479" i="9" s="1"/>
  <c r="G2480" i="9"/>
  <c r="L2480" i="9" s="1"/>
  <c r="G2481" i="9"/>
  <c r="L2481" i="9" s="1"/>
  <c r="G2488" i="9"/>
  <c r="L2488" i="9" s="1"/>
  <c r="G2489" i="9"/>
  <c r="L2489" i="9" s="1"/>
  <c r="G2490" i="9"/>
  <c r="L2490" i="9" s="1"/>
  <c r="G2496" i="9"/>
  <c r="L2496" i="9" s="1"/>
  <c r="G2497" i="9"/>
  <c r="L2497" i="9" s="1"/>
  <c r="G2505" i="9"/>
  <c r="L2505" i="9" s="1"/>
  <c r="G2506" i="9"/>
  <c r="L2506" i="9" s="1"/>
  <c r="G2511" i="9"/>
  <c r="L2511" i="9" s="1"/>
  <c r="G2512" i="9"/>
  <c r="L2512" i="9" s="1"/>
  <c r="G2513" i="9"/>
  <c r="L2513" i="9" s="1"/>
  <c r="G2518" i="9"/>
  <c r="L2518" i="9" s="1"/>
  <c r="G2519" i="9"/>
  <c r="L2519" i="9" s="1"/>
  <c r="G2520" i="9"/>
  <c r="L2520" i="9" s="1"/>
  <c r="G2521" i="9"/>
  <c r="L2521" i="9" s="1"/>
  <c r="G2522" i="9"/>
  <c r="L2522" i="9" s="1"/>
  <c r="G2523" i="9"/>
  <c r="L2523" i="9" s="1"/>
  <c r="G2524" i="9"/>
  <c r="L2524" i="9" s="1"/>
  <c r="G2525" i="9"/>
  <c r="L2525" i="9" s="1"/>
  <c r="G2526" i="9"/>
  <c r="L2526" i="9" s="1"/>
  <c r="G2527" i="9"/>
  <c r="L2527" i="9" s="1"/>
  <c r="G2528" i="9"/>
  <c r="L2528" i="9" s="1"/>
  <c r="G2529" i="9"/>
  <c r="L2529" i="9" s="1"/>
  <c r="G2538" i="9"/>
  <c r="L2538" i="9" s="1"/>
  <c r="G2539" i="9"/>
  <c r="L2539" i="9" s="1"/>
  <c r="G2540" i="9"/>
  <c r="L2540" i="9" s="1"/>
  <c r="G2541" i="9"/>
  <c r="L2541" i="9" s="1"/>
  <c r="G2542" i="9"/>
  <c r="L2542" i="9" s="1"/>
  <c r="G2543" i="9"/>
  <c r="L2543" i="9" s="1"/>
  <c r="G2544" i="9"/>
  <c r="L2544" i="9" s="1"/>
  <c r="G2545" i="9"/>
  <c r="L2545" i="9" s="1"/>
  <c r="G2552" i="9"/>
  <c r="L2552" i="9" s="1"/>
  <c r="G2553" i="9"/>
  <c r="L2553" i="9" s="1"/>
  <c r="G2554" i="9"/>
  <c r="L2554" i="9" s="1"/>
  <c r="G2560" i="9"/>
  <c r="L2560" i="9" s="1"/>
  <c r="G2561" i="9"/>
  <c r="L2561" i="9" s="1"/>
  <c r="G2562" i="9"/>
  <c r="L2562" i="9" s="1"/>
  <c r="G2563" i="9"/>
  <c r="L2563" i="9" s="1"/>
  <c r="G2564" i="9"/>
  <c r="L2564" i="9" s="1"/>
  <c r="G2567" i="9"/>
  <c r="L2567" i="9" s="1"/>
  <c r="G2568" i="9"/>
  <c r="L2568" i="9" s="1"/>
  <c r="G2569" i="9"/>
  <c r="L2569" i="9" s="1"/>
  <c r="G2570" i="9"/>
  <c r="L2570" i="9" s="1"/>
  <c r="G2571" i="9"/>
  <c r="L2571" i="9" s="1"/>
  <c r="G2577" i="9"/>
  <c r="L2577" i="9" s="1"/>
  <c r="G2578" i="9"/>
  <c r="L2578" i="9" s="1"/>
  <c r="G2579" i="9"/>
  <c r="L2579" i="9" s="1"/>
  <c r="G2585" i="9"/>
  <c r="L2585" i="9" s="1"/>
  <c r="G2586" i="9"/>
  <c r="L2586" i="9" s="1"/>
  <c r="G2587" i="9"/>
  <c r="L2587" i="9" s="1"/>
  <c r="G2595" i="9"/>
  <c r="L2595" i="9" s="1"/>
  <c r="G2596" i="9"/>
  <c r="L2596" i="9" s="1"/>
  <c r="G2597" i="9"/>
  <c r="L2597" i="9" s="1"/>
  <c r="G2598" i="9"/>
  <c r="L2598" i="9" s="1"/>
  <c r="G2599" i="9"/>
  <c r="L2599" i="9" s="1"/>
  <c r="G2600" i="9"/>
  <c r="L2600" i="9" s="1"/>
  <c r="G2601" i="9"/>
  <c r="L2601" i="9" s="1"/>
  <c r="G2608" i="9"/>
  <c r="L2608" i="9" s="1"/>
  <c r="G2609" i="9"/>
  <c r="L2609" i="9" s="1"/>
  <c r="G2610" i="9"/>
  <c r="L2610" i="9" s="1"/>
  <c r="G2611" i="9"/>
  <c r="L2611" i="9" s="1"/>
  <c r="G2612" i="9"/>
  <c r="L2612" i="9" s="1"/>
  <c r="G2613" i="9"/>
  <c r="L2613" i="9" s="1"/>
  <c r="G2614" i="9"/>
  <c r="L2614" i="9" s="1"/>
  <c r="G2615" i="9"/>
  <c r="L2615" i="9" s="1"/>
  <c r="G2626" i="9"/>
  <c r="L2626" i="9" s="1"/>
  <c r="G2627" i="9"/>
  <c r="L2627" i="9" s="1"/>
  <c r="G2628" i="9"/>
  <c r="L2628" i="9" s="1"/>
  <c r="G2629" i="9"/>
  <c r="L2629" i="9" s="1"/>
  <c r="G2635" i="9"/>
  <c r="L2635" i="9" s="1"/>
  <c r="G2636" i="9"/>
  <c r="L2636" i="9" s="1"/>
  <c r="G2637" i="9"/>
  <c r="L2637" i="9" s="1"/>
  <c r="G2638" i="9"/>
  <c r="L2638" i="9" s="1"/>
  <c r="G2644" i="9"/>
  <c r="L2644" i="9" s="1"/>
  <c r="G2645" i="9"/>
  <c r="L2645" i="9" s="1"/>
  <c r="G2648" i="9"/>
  <c r="L2648" i="9" s="1"/>
  <c r="G2649" i="9"/>
  <c r="L2649" i="9" s="1"/>
  <c r="G2650" i="9"/>
  <c r="L2650" i="9" s="1"/>
  <c r="G2651" i="9"/>
  <c r="L2651" i="9" s="1"/>
  <c r="G2652" i="9"/>
  <c r="L2652" i="9" s="1"/>
  <c r="G2655" i="9"/>
  <c r="L2655" i="9" s="1"/>
  <c r="G2656" i="9"/>
  <c r="L2656" i="9" s="1"/>
  <c r="G2657" i="9"/>
  <c r="L2657" i="9" s="1"/>
  <c r="G2665" i="9"/>
  <c r="L2665" i="9" s="1"/>
  <c r="G2666" i="9"/>
  <c r="L2666" i="9" s="1"/>
  <c r="G2667" i="9"/>
  <c r="L2667" i="9" s="1"/>
  <c r="G2678" i="9"/>
  <c r="L2678" i="9" s="1"/>
  <c r="G2679" i="9"/>
  <c r="L2679" i="9" s="1"/>
  <c r="G2680" i="9"/>
  <c r="L2680" i="9" s="1"/>
  <c r="G2681" i="9"/>
  <c r="L2681" i="9" s="1"/>
  <c r="G2682" i="9"/>
  <c r="L2682" i="9" s="1"/>
  <c r="G2683" i="9"/>
  <c r="L2683" i="9" s="1"/>
  <c r="G2684" i="9"/>
  <c r="L2684" i="9" s="1"/>
  <c r="G2685" i="9"/>
  <c r="L2685" i="9" s="1"/>
  <c r="G2691" i="9"/>
  <c r="L2691" i="9" s="1"/>
  <c r="G2692" i="9"/>
  <c r="L2692" i="9" s="1"/>
  <c r="G2693" i="9"/>
  <c r="L2693" i="9" s="1"/>
  <c r="G2702" i="9"/>
  <c r="L2702" i="9" s="1"/>
  <c r="G2715" i="9"/>
  <c r="L2715" i="9" s="1"/>
  <c r="G2716" i="9"/>
  <c r="L2716" i="9" s="1"/>
  <c r="G2718" i="9"/>
  <c r="L2718" i="9" s="1"/>
  <c r="G2719" i="9"/>
  <c r="L2719" i="9" s="1"/>
  <c r="G2720" i="9"/>
  <c r="L2720" i="9" s="1"/>
  <c r="G2721" i="9"/>
  <c r="L2721" i="9" s="1"/>
  <c r="G2724" i="9"/>
  <c r="L2724" i="9" s="1"/>
  <c r="G2725" i="9"/>
  <c r="L2725" i="9" s="1"/>
  <c r="G2726" i="9"/>
  <c r="L2726" i="9" s="1"/>
  <c r="G2727" i="9"/>
  <c r="L2727" i="9" s="1"/>
  <c r="G2735" i="9"/>
  <c r="L2735" i="9" s="1"/>
  <c r="G2736" i="9"/>
  <c r="L2736" i="9" s="1"/>
  <c r="G2743" i="9"/>
  <c r="L2743" i="9" s="1"/>
  <c r="G2744" i="9"/>
  <c r="L2744" i="9" s="1"/>
  <c r="G2745" i="9"/>
  <c r="L2745" i="9" s="1"/>
  <c r="G2746" i="9"/>
  <c r="L2746" i="9" s="1"/>
  <c r="G2756" i="9"/>
  <c r="L2756" i="9" s="1"/>
  <c r="G2757" i="9"/>
  <c r="L2757" i="9" s="1"/>
  <c r="G2758" i="9"/>
  <c r="L2758" i="9" s="1"/>
  <c r="G2759" i="9"/>
  <c r="L2759" i="9" s="1"/>
  <c r="G2760" i="9"/>
  <c r="L2760" i="9" s="1"/>
  <c r="G2761" i="9"/>
  <c r="L2761" i="9" s="1"/>
  <c r="G2774" i="9"/>
  <c r="L2774" i="9" s="1"/>
  <c r="G2775" i="9"/>
  <c r="L2775" i="9" s="1"/>
  <c r="G2776" i="9"/>
  <c r="L2776" i="9" s="1"/>
  <c r="G2777" i="9"/>
  <c r="L2777" i="9" s="1"/>
  <c r="G2787" i="9"/>
  <c r="L2787" i="9" s="1"/>
  <c r="G2796" i="9"/>
  <c r="L2796" i="9" s="1"/>
  <c r="G2799" i="9"/>
  <c r="L2799" i="9" s="1"/>
  <c r="G2800" i="9"/>
  <c r="L2800" i="9" s="1"/>
  <c r="G2801" i="9"/>
  <c r="L2801" i="9" s="1"/>
  <c r="G2812" i="9"/>
  <c r="L2812" i="9" s="1"/>
  <c r="G2813" i="9"/>
  <c r="L2813" i="9" s="1"/>
  <c r="G2822" i="9"/>
  <c r="L2822" i="9" s="1"/>
  <c r="G2823" i="9"/>
  <c r="L2823" i="9" s="1"/>
  <c r="G2824" i="9"/>
  <c r="L2824" i="9" s="1"/>
  <c r="G2829" i="9"/>
  <c r="L2829" i="9" s="1"/>
  <c r="G2834" i="9"/>
  <c r="L2834" i="9" s="1"/>
  <c r="G2835" i="9"/>
  <c r="L2835" i="9" s="1"/>
  <c r="G2836" i="9"/>
  <c r="L2836" i="9" s="1"/>
  <c r="G2837" i="9"/>
  <c r="L2837" i="9" s="1"/>
  <c r="G2838" i="9"/>
  <c r="L2838" i="9" s="1"/>
  <c r="G2840" i="9"/>
  <c r="L2840" i="9" s="1"/>
  <c r="G2841" i="9"/>
  <c r="L2841" i="9" s="1"/>
  <c r="G2849" i="9"/>
  <c r="L2849" i="9" s="1"/>
  <c r="G2861" i="9"/>
  <c r="L2861" i="9" s="1"/>
  <c r="G2865" i="9"/>
  <c r="L2865" i="9" s="1"/>
  <c r="G2890" i="9"/>
  <c r="L2890" i="9" s="1"/>
  <c r="G2891" i="9"/>
  <c r="L2891" i="9" s="1"/>
  <c r="G2899" i="9"/>
  <c r="L2899" i="9" s="1"/>
  <c r="G2900" i="9"/>
  <c r="L2900" i="9" s="1"/>
  <c r="G2901" i="9"/>
  <c r="L2901" i="9" s="1"/>
  <c r="G2910" i="9"/>
  <c r="L2910" i="9" s="1"/>
  <c r="G2916" i="9"/>
  <c r="L2916" i="9" s="1"/>
  <c r="G2927" i="9"/>
  <c r="L2927" i="9" s="1"/>
  <c r="G2928" i="9"/>
  <c r="L2928" i="9" s="1"/>
  <c r="G2929" i="9"/>
  <c r="L2929" i="9" s="1"/>
  <c r="G2940" i="9"/>
  <c r="L2940" i="9" s="1"/>
  <c r="G2955" i="9"/>
  <c r="L2955" i="9" s="1"/>
  <c r="G2956" i="9"/>
  <c r="L2956" i="9" s="1"/>
  <c r="G2965" i="9"/>
  <c r="L2965" i="9" s="1"/>
  <c r="G2970" i="9"/>
  <c r="L2970" i="9" s="1"/>
  <c r="G2971" i="9"/>
  <c r="L2971" i="9" s="1"/>
  <c r="G2980" i="9"/>
  <c r="L2980" i="9" s="1"/>
  <c r="G2997" i="9"/>
  <c r="L2997" i="9" s="1"/>
  <c r="G3023" i="9"/>
  <c r="L3023" i="9" s="1"/>
  <c r="G3024" i="9"/>
  <c r="L3024" i="9" s="1"/>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I738" i="9"/>
  <c r="I739" i="9"/>
  <c r="I740" i="9"/>
  <c r="I741" i="9"/>
  <c r="I742" i="9"/>
  <c r="I743" i="9"/>
  <c r="I744" i="9"/>
  <c r="I745" i="9"/>
  <c r="I746" i="9"/>
  <c r="I747" i="9"/>
  <c r="I748" i="9"/>
  <c r="I749" i="9"/>
  <c r="I750" i="9"/>
  <c r="I751" i="9"/>
  <c r="I752" i="9"/>
  <c r="I753" i="9"/>
  <c r="I754" i="9"/>
  <c r="I755" i="9"/>
  <c r="I756" i="9"/>
  <c r="I757" i="9"/>
  <c r="I758" i="9"/>
  <c r="I759" i="9"/>
  <c r="I760" i="9"/>
  <c r="I761" i="9"/>
  <c r="I762" i="9"/>
  <c r="I763" i="9"/>
  <c r="I764" i="9"/>
  <c r="I765" i="9"/>
  <c r="I766" i="9"/>
  <c r="I767" i="9"/>
  <c r="I768" i="9"/>
  <c r="I769" i="9"/>
  <c r="I770" i="9"/>
  <c r="I771" i="9"/>
  <c r="I772" i="9"/>
  <c r="I773" i="9"/>
  <c r="I774" i="9"/>
  <c r="I775" i="9"/>
  <c r="I776" i="9"/>
  <c r="I777" i="9"/>
  <c r="I778" i="9"/>
  <c r="I779" i="9"/>
  <c r="I780" i="9"/>
  <c r="I781" i="9"/>
  <c r="I782" i="9"/>
  <c r="I783" i="9"/>
  <c r="I784" i="9"/>
  <c r="I785" i="9"/>
  <c r="I786" i="9"/>
  <c r="I787" i="9"/>
  <c r="I788" i="9"/>
  <c r="I789" i="9"/>
  <c r="I790" i="9"/>
  <c r="I791" i="9"/>
  <c r="I792" i="9"/>
  <c r="I793" i="9"/>
  <c r="I794" i="9"/>
  <c r="I795" i="9"/>
  <c r="I796" i="9"/>
  <c r="I797" i="9"/>
  <c r="I798" i="9"/>
  <c r="I799" i="9"/>
  <c r="I800" i="9"/>
  <c r="I801" i="9"/>
  <c r="I802" i="9"/>
  <c r="I803" i="9"/>
  <c r="I804" i="9"/>
  <c r="I805" i="9"/>
  <c r="I806" i="9"/>
  <c r="I807" i="9"/>
  <c r="I808" i="9"/>
  <c r="I809" i="9"/>
  <c r="I810" i="9"/>
  <c r="I811" i="9"/>
  <c r="I812" i="9"/>
  <c r="I813" i="9"/>
  <c r="I814" i="9"/>
  <c r="I815" i="9"/>
  <c r="I816" i="9"/>
  <c r="I817" i="9"/>
  <c r="I818" i="9"/>
  <c r="I819" i="9"/>
  <c r="I820" i="9"/>
  <c r="I821" i="9"/>
  <c r="I822" i="9"/>
  <c r="I823" i="9"/>
  <c r="I824" i="9"/>
  <c r="I825" i="9"/>
  <c r="I826" i="9"/>
  <c r="I827" i="9"/>
  <c r="I828" i="9"/>
  <c r="I829" i="9"/>
  <c r="I830" i="9"/>
  <c r="I831" i="9"/>
  <c r="I832" i="9"/>
  <c r="I833" i="9"/>
  <c r="I834" i="9"/>
  <c r="I835" i="9"/>
  <c r="I836" i="9"/>
  <c r="I837" i="9"/>
  <c r="I838" i="9"/>
  <c r="I839" i="9"/>
  <c r="I840" i="9"/>
  <c r="I841" i="9"/>
  <c r="I842" i="9"/>
  <c r="I843" i="9"/>
  <c r="I844" i="9"/>
  <c r="I845" i="9"/>
  <c r="I846" i="9"/>
  <c r="I847" i="9"/>
  <c r="I848" i="9"/>
  <c r="I849" i="9"/>
  <c r="I850" i="9"/>
  <c r="I851" i="9"/>
  <c r="I852" i="9"/>
  <c r="I853" i="9"/>
  <c r="I854" i="9"/>
  <c r="I855" i="9"/>
  <c r="I856" i="9"/>
  <c r="I857" i="9"/>
  <c r="I858" i="9"/>
  <c r="I859" i="9"/>
  <c r="I860" i="9"/>
  <c r="I861" i="9"/>
  <c r="I862" i="9"/>
  <c r="I863" i="9"/>
  <c r="I864" i="9"/>
  <c r="I865" i="9"/>
  <c r="I866" i="9"/>
  <c r="I867" i="9"/>
  <c r="I868" i="9"/>
  <c r="I869" i="9"/>
  <c r="I870" i="9"/>
  <c r="I871" i="9"/>
  <c r="I872" i="9"/>
  <c r="I873" i="9"/>
  <c r="I874" i="9"/>
  <c r="I875" i="9"/>
  <c r="I876" i="9"/>
  <c r="I877" i="9"/>
  <c r="I878" i="9"/>
  <c r="I879" i="9"/>
  <c r="I880" i="9"/>
  <c r="I881" i="9"/>
  <c r="I882" i="9"/>
  <c r="I883" i="9"/>
  <c r="I884" i="9"/>
  <c r="I885" i="9"/>
  <c r="I886" i="9"/>
  <c r="I887" i="9"/>
  <c r="I888" i="9"/>
  <c r="I889" i="9"/>
  <c r="I890" i="9"/>
  <c r="I891" i="9"/>
  <c r="I892" i="9"/>
  <c r="I893" i="9"/>
  <c r="I894" i="9"/>
  <c r="I895" i="9"/>
  <c r="I896" i="9"/>
  <c r="I897" i="9"/>
  <c r="I898" i="9"/>
  <c r="I899" i="9"/>
  <c r="I900" i="9"/>
  <c r="I901" i="9"/>
  <c r="I902" i="9"/>
  <c r="I903" i="9"/>
  <c r="I904" i="9"/>
  <c r="I905" i="9"/>
  <c r="I906" i="9"/>
  <c r="I907" i="9"/>
  <c r="I908" i="9"/>
  <c r="I909" i="9"/>
  <c r="I910" i="9"/>
  <c r="I911" i="9"/>
  <c r="I912" i="9"/>
  <c r="I913" i="9"/>
  <c r="I914" i="9"/>
  <c r="I915" i="9"/>
  <c r="I916" i="9"/>
  <c r="I917" i="9"/>
  <c r="I918" i="9"/>
  <c r="I919" i="9"/>
  <c r="I920" i="9"/>
  <c r="I921" i="9"/>
  <c r="I922" i="9"/>
  <c r="I923" i="9"/>
  <c r="I924" i="9"/>
  <c r="I925" i="9"/>
  <c r="I926" i="9"/>
  <c r="I927" i="9"/>
  <c r="I928" i="9"/>
  <c r="I929" i="9"/>
  <c r="I930" i="9"/>
  <c r="I931" i="9"/>
  <c r="I932" i="9"/>
  <c r="I933" i="9"/>
  <c r="I934" i="9"/>
  <c r="I935" i="9"/>
  <c r="I936" i="9"/>
  <c r="I937" i="9"/>
  <c r="I938" i="9"/>
  <c r="I939" i="9"/>
  <c r="I940" i="9"/>
  <c r="I941" i="9"/>
  <c r="I942" i="9"/>
  <c r="I943" i="9"/>
  <c r="I944" i="9"/>
  <c r="I945" i="9"/>
  <c r="I946" i="9"/>
  <c r="I947" i="9"/>
  <c r="I948" i="9"/>
  <c r="I949" i="9"/>
  <c r="I950" i="9"/>
  <c r="I951" i="9"/>
  <c r="I952" i="9"/>
  <c r="I953" i="9"/>
  <c r="I954" i="9"/>
  <c r="I955" i="9"/>
  <c r="I956" i="9"/>
  <c r="I957" i="9"/>
  <c r="I958" i="9"/>
  <c r="I959" i="9"/>
  <c r="I960" i="9"/>
  <c r="I961" i="9"/>
  <c r="I962" i="9"/>
  <c r="I963" i="9"/>
  <c r="I964" i="9"/>
  <c r="I965" i="9"/>
  <c r="I966" i="9"/>
  <c r="I967" i="9"/>
  <c r="I968" i="9"/>
  <c r="I969" i="9"/>
  <c r="I970" i="9"/>
  <c r="I971" i="9"/>
  <c r="I972" i="9"/>
  <c r="I973" i="9"/>
  <c r="I974" i="9"/>
  <c r="I975" i="9"/>
  <c r="I976" i="9"/>
  <c r="I977" i="9"/>
  <c r="I978" i="9"/>
  <c r="I979" i="9"/>
  <c r="I980" i="9"/>
  <c r="I981" i="9"/>
  <c r="I982" i="9"/>
  <c r="I983" i="9"/>
  <c r="I984" i="9"/>
  <c r="I985" i="9"/>
  <c r="I986" i="9"/>
  <c r="I987" i="9"/>
  <c r="I988" i="9"/>
  <c r="I989" i="9"/>
  <c r="I990" i="9"/>
  <c r="I991" i="9"/>
  <c r="I992" i="9"/>
  <c r="I993" i="9"/>
  <c r="I994" i="9"/>
  <c r="I995" i="9"/>
  <c r="I996" i="9"/>
  <c r="I997" i="9"/>
  <c r="I998" i="9"/>
  <c r="I999" i="9"/>
  <c r="I1000" i="9"/>
  <c r="I1001" i="9"/>
  <c r="I1002" i="9"/>
  <c r="I1003" i="9"/>
  <c r="I1004" i="9"/>
  <c r="I1005" i="9"/>
  <c r="I1006" i="9"/>
  <c r="I1007" i="9"/>
  <c r="I1008" i="9"/>
  <c r="I1009" i="9"/>
  <c r="I1010" i="9"/>
  <c r="I1011" i="9"/>
  <c r="I1012" i="9"/>
  <c r="I1013" i="9"/>
  <c r="I1014" i="9"/>
  <c r="I1015" i="9"/>
  <c r="I1016" i="9"/>
  <c r="I1017" i="9"/>
  <c r="I1018" i="9"/>
  <c r="I1019" i="9"/>
  <c r="I1020" i="9"/>
  <c r="I1021" i="9"/>
  <c r="I1022" i="9"/>
  <c r="I1023" i="9"/>
  <c r="I1024" i="9"/>
  <c r="I1025" i="9"/>
  <c r="I1026" i="9"/>
  <c r="I1027" i="9"/>
  <c r="I1028" i="9"/>
  <c r="I1029" i="9"/>
  <c r="I1030" i="9"/>
  <c r="I1031" i="9"/>
  <c r="I1032" i="9"/>
  <c r="I1033" i="9"/>
  <c r="I1034" i="9"/>
  <c r="I1035" i="9"/>
  <c r="I1036" i="9"/>
  <c r="I1037" i="9"/>
  <c r="I1038" i="9"/>
  <c r="I1039" i="9"/>
  <c r="I1040" i="9"/>
  <c r="I1041" i="9"/>
  <c r="I1042" i="9"/>
  <c r="I1043" i="9"/>
  <c r="I1044" i="9"/>
  <c r="I1045" i="9"/>
  <c r="I1046" i="9"/>
  <c r="I1047" i="9"/>
  <c r="I1048" i="9"/>
  <c r="I1049" i="9"/>
  <c r="I1050" i="9"/>
  <c r="I1051" i="9"/>
  <c r="I1052" i="9"/>
  <c r="I1053" i="9"/>
  <c r="I1054" i="9"/>
  <c r="I1055" i="9"/>
  <c r="I1056" i="9"/>
  <c r="I1057" i="9"/>
  <c r="I1058" i="9"/>
  <c r="I1059" i="9"/>
  <c r="I1060" i="9"/>
  <c r="I1061" i="9"/>
  <c r="I1062" i="9"/>
  <c r="I1063" i="9"/>
  <c r="I1064" i="9"/>
  <c r="I1065" i="9"/>
  <c r="I1066" i="9"/>
  <c r="I1067" i="9"/>
  <c r="I1068" i="9"/>
  <c r="I1069" i="9"/>
  <c r="I1070" i="9"/>
  <c r="I1071" i="9"/>
  <c r="I1072" i="9"/>
  <c r="I1073" i="9"/>
  <c r="I1074" i="9"/>
  <c r="I1075" i="9"/>
  <c r="I1076" i="9"/>
  <c r="I1077" i="9"/>
  <c r="I1078" i="9"/>
  <c r="I1079" i="9"/>
  <c r="I1080" i="9"/>
  <c r="I1081" i="9"/>
  <c r="I1082" i="9"/>
  <c r="I1083" i="9"/>
  <c r="I1084" i="9"/>
  <c r="I1085" i="9"/>
  <c r="I1086" i="9"/>
  <c r="I1087" i="9"/>
  <c r="I1088" i="9"/>
  <c r="I1089" i="9"/>
  <c r="I1090" i="9"/>
  <c r="I1091" i="9"/>
  <c r="I1092" i="9"/>
  <c r="I1093" i="9"/>
  <c r="I1094" i="9"/>
  <c r="I1095" i="9"/>
  <c r="I1096" i="9"/>
  <c r="I1097" i="9"/>
  <c r="I1098" i="9"/>
  <c r="I1099" i="9"/>
  <c r="I1100" i="9"/>
  <c r="I1101" i="9"/>
  <c r="I1102" i="9"/>
  <c r="I1103" i="9"/>
  <c r="I1104" i="9"/>
  <c r="I1105" i="9"/>
  <c r="I1106" i="9"/>
  <c r="I1107" i="9"/>
  <c r="I1108" i="9"/>
  <c r="I1109" i="9"/>
  <c r="I1110" i="9"/>
  <c r="I1111" i="9"/>
  <c r="I1112" i="9"/>
  <c r="I1113" i="9"/>
  <c r="I1114" i="9"/>
  <c r="I1115" i="9"/>
  <c r="I1116" i="9"/>
  <c r="I1117" i="9"/>
  <c r="I1118" i="9"/>
  <c r="I1119" i="9"/>
  <c r="I1120" i="9"/>
  <c r="I1121" i="9"/>
  <c r="I1122" i="9"/>
  <c r="I1123" i="9"/>
  <c r="I1124" i="9"/>
  <c r="I1125" i="9"/>
  <c r="I1126" i="9"/>
  <c r="I1127" i="9"/>
  <c r="I1128" i="9"/>
  <c r="I1129" i="9"/>
  <c r="I1130" i="9"/>
  <c r="I1131" i="9"/>
  <c r="I1132" i="9"/>
  <c r="I1133" i="9"/>
  <c r="I1134" i="9"/>
  <c r="I1135" i="9"/>
  <c r="I1136" i="9"/>
  <c r="I1137" i="9"/>
  <c r="I1138" i="9"/>
  <c r="I1139" i="9"/>
  <c r="I1140" i="9"/>
  <c r="I1141" i="9"/>
  <c r="I1142" i="9"/>
  <c r="I1143" i="9"/>
  <c r="I1144" i="9"/>
  <c r="I1145" i="9"/>
  <c r="I1146" i="9"/>
  <c r="I1147" i="9"/>
  <c r="I1148" i="9"/>
  <c r="I1149" i="9"/>
  <c r="I1150" i="9"/>
  <c r="I1151" i="9"/>
  <c r="I1152" i="9"/>
  <c r="I1153" i="9"/>
  <c r="I1154" i="9"/>
  <c r="I1155" i="9"/>
  <c r="I1156" i="9"/>
  <c r="I1157" i="9"/>
  <c r="I1158" i="9"/>
  <c r="I1159" i="9"/>
  <c r="I1160" i="9"/>
  <c r="I1161" i="9"/>
  <c r="I1162" i="9"/>
  <c r="I1163" i="9"/>
  <c r="I1164" i="9"/>
  <c r="I1165" i="9"/>
  <c r="I1166" i="9"/>
  <c r="I1167" i="9"/>
  <c r="I1168" i="9"/>
  <c r="I1169" i="9"/>
  <c r="I1170" i="9"/>
  <c r="I1171" i="9"/>
  <c r="I1172" i="9"/>
  <c r="I1173" i="9"/>
  <c r="I1174" i="9"/>
  <c r="I1175" i="9"/>
  <c r="I1176" i="9"/>
  <c r="I1177" i="9"/>
  <c r="I1178" i="9"/>
  <c r="I1179" i="9"/>
  <c r="I1180" i="9"/>
  <c r="I1181" i="9"/>
  <c r="I1182" i="9"/>
  <c r="I1183" i="9"/>
  <c r="I1184" i="9"/>
  <c r="I1185" i="9"/>
  <c r="I1186" i="9"/>
  <c r="I1187" i="9"/>
  <c r="I1188" i="9"/>
  <c r="I1189" i="9"/>
  <c r="I1190" i="9"/>
  <c r="I1191" i="9"/>
  <c r="I1192" i="9"/>
  <c r="I1193" i="9"/>
  <c r="I1194" i="9"/>
  <c r="I1195" i="9"/>
  <c r="I1196" i="9"/>
  <c r="I1197" i="9"/>
  <c r="I1198" i="9"/>
  <c r="I1199" i="9"/>
  <c r="I1200" i="9"/>
  <c r="I1201" i="9"/>
  <c r="I1202" i="9"/>
  <c r="I1203" i="9"/>
  <c r="I1204" i="9"/>
  <c r="I1205" i="9"/>
  <c r="I1206" i="9"/>
  <c r="I1207" i="9"/>
  <c r="I1208" i="9"/>
  <c r="I1209" i="9"/>
  <c r="I1210" i="9"/>
  <c r="I1211" i="9"/>
  <c r="I1212" i="9"/>
  <c r="I1213" i="9"/>
  <c r="I1214" i="9"/>
  <c r="I1215" i="9"/>
  <c r="I1216" i="9"/>
  <c r="I1217" i="9"/>
  <c r="I1218" i="9"/>
  <c r="I1219" i="9"/>
  <c r="I1220" i="9"/>
  <c r="I1221" i="9"/>
  <c r="I1222" i="9"/>
  <c r="I1223" i="9"/>
  <c r="I1224" i="9"/>
  <c r="I1225" i="9"/>
  <c r="I1226" i="9"/>
  <c r="I1227" i="9"/>
  <c r="I1228" i="9"/>
  <c r="I1229" i="9"/>
  <c r="I1230" i="9"/>
  <c r="I1231" i="9"/>
  <c r="I1232" i="9"/>
  <c r="I1233" i="9"/>
  <c r="I1234" i="9"/>
  <c r="I1235" i="9"/>
  <c r="I1236" i="9"/>
  <c r="I1237" i="9"/>
  <c r="I1238" i="9"/>
  <c r="I1239" i="9"/>
  <c r="I1240" i="9"/>
  <c r="I1241" i="9"/>
  <c r="I1242" i="9"/>
  <c r="I1243" i="9"/>
  <c r="I1244" i="9"/>
  <c r="I1245" i="9"/>
  <c r="I1246" i="9"/>
  <c r="I1247" i="9"/>
  <c r="I1248" i="9"/>
  <c r="I1249" i="9"/>
  <c r="I1250" i="9"/>
  <c r="I1251" i="9"/>
  <c r="I1252" i="9"/>
  <c r="I1253" i="9"/>
  <c r="I1254" i="9"/>
  <c r="I1255" i="9"/>
  <c r="I1256" i="9"/>
  <c r="I1257" i="9"/>
  <c r="I1258" i="9"/>
  <c r="I1259" i="9"/>
  <c r="I1260" i="9"/>
  <c r="I1261" i="9"/>
  <c r="I1262" i="9"/>
  <c r="I1263" i="9"/>
  <c r="I1264" i="9"/>
  <c r="I1265" i="9"/>
  <c r="I1266" i="9"/>
  <c r="I1267" i="9"/>
  <c r="I1268" i="9"/>
  <c r="I1269" i="9"/>
  <c r="I1270" i="9"/>
  <c r="I1271" i="9"/>
  <c r="I1272" i="9"/>
  <c r="I1273" i="9"/>
  <c r="I1274" i="9"/>
  <c r="I1275" i="9"/>
  <c r="I1276" i="9"/>
  <c r="I1277" i="9"/>
  <c r="I1278" i="9"/>
  <c r="I1279" i="9"/>
  <c r="I1280" i="9"/>
  <c r="I1281" i="9"/>
  <c r="I1282" i="9"/>
  <c r="I1283" i="9"/>
  <c r="I1284" i="9"/>
  <c r="I1285" i="9"/>
  <c r="I1286" i="9"/>
  <c r="I1287" i="9"/>
  <c r="I1288" i="9"/>
  <c r="I1289" i="9"/>
  <c r="I1290" i="9"/>
  <c r="I1291" i="9"/>
  <c r="I1292" i="9"/>
  <c r="I1293" i="9"/>
  <c r="I1294" i="9"/>
  <c r="I1295" i="9"/>
  <c r="I1296" i="9"/>
  <c r="I1297" i="9"/>
  <c r="I1298" i="9"/>
  <c r="I1299" i="9"/>
  <c r="I1300" i="9"/>
  <c r="I1301" i="9"/>
  <c r="I1302" i="9"/>
  <c r="I1303" i="9"/>
  <c r="I1304" i="9"/>
  <c r="I1305" i="9"/>
  <c r="I1306" i="9"/>
  <c r="I1307" i="9"/>
  <c r="I1308" i="9"/>
  <c r="I1309" i="9"/>
  <c r="I1310" i="9"/>
  <c r="I1311" i="9"/>
  <c r="I1312" i="9"/>
  <c r="I1313" i="9"/>
  <c r="I1314" i="9"/>
  <c r="I1315" i="9"/>
  <c r="I1316" i="9"/>
  <c r="I1317" i="9"/>
  <c r="I1318" i="9"/>
  <c r="I1319" i="9"/>
  <c r="I1320" i="9"/>
  <c r="I1321" i="9"/>
  <c r="I1322" i="9"/>
  <c r="I1323" i="9"/>
  <c r="I1324" i="9"/>
  <c r="I1325" i="9"/>
  <c r="I1326" i="9"/>
  <c r="I1327" i="9"/>
  <c r="I1328" i="9"/>
  <c r="I1329" i="9"/>
  <c r="I1330" i="9"/>
  <c r="I1331" i="9"/>
  <c r="I1332" i="9"/>
  <c r="I1333" i="9"/>
  <c r="I1334" i="9"/>
  <c r="I1335" i="9"/>
  <c r="I1336" i="9"/>
  <c r="I1337" i="9"/>
  <c r="I1338" i="9"/>
  <c r="I1339" i="9"/>
  <c r="I1340" i="9"/>
  <c r="I1341" i="9"/>
  <c r="I1342" i="9"/>
  <c r="I1343" i="9"/>
  <c r="I1344" i="9"/>
  <c r="I1345" i="9"/>
  <c r="I1346" i="9"/>
  <c r="I1347" i="9"/>
  <c r="I1348" i="9"/>
  <c r="I1349" i="9"/>
  <c r="I1350" i="9"/>
  <c r="I1351" i="9"/>
  <c r="I1352" i="9"/>
  <c r="I1353" i="9"/>
  <c r="I1354" i="9"/>
  <c r="I1355" i="9"/>
  <c r="I1356" i="9"/>
  <c r="I1357" i="9"/>
  <c r="I1358" i="9"/>
  <c r="I1359" i="9"/>
  <c r="I1360" i="9"/>
  <c r="I1361" i="9"/>
  <c r="I1362" i="9"/>
  <c r="I1363" i="9"/>
  <c r="I1364" i="9"/>
  <c r="I1365" i="9"/>
  <c r="I1366" i="9"/>
  <c r="I1367" i="9"/>
  <c r="I1368" i="9"/>
  <c r="I1369" i="9"/>
  <c r="I1370" i="9"/>
  <c r="I1371" i="9"/>
  <c r="I1372" i="9"/>
  <c r="I1373" i="9"/>
  <c r="I1374" i="9"/>
  <c r="I1375" i="9"/>
  <c r="I1376" i="9"/>
  <c r="I1377" i="9"/>
  <c r="I1378" i="9"/>
  <c r="I1379" i="9"/>
  <c r="I1380" i="9"/>
  <c r="I1381" i="9"/>
  <c r="I1382" i="9"/>
  <c r="I1383" i="9"/>
  <c r="I1384" i="9"/>
  <c r="I1385" i="9"/>
  <c r="I1386" i="9"/>
  <c r="I1387" i="9"/>
  <c r="I1388" i="9"/>
  <c r="I1389" i="9"/>
  <c r="I1390" i="9"/>
  <c r="I1391" i="9"/>
  <c r="I1392" i="9"/>
  <c r="I1393" i="9"/>
  <c r="I1394" i="9"/>
  <c r="I1395" i="9"/>
  <c r="I1396" i="9"/>
  <c r="I1397" i="9"/>
  <c r="I1398" i="9"/>
  <c r="I1399" i="9"/>
  <c r="I1400" i="9"/>
  <c r="I1401" i="9"/>
  <c r="I1402" i="9"/>
  <c r="I1403" i="9"/>
  <c r="I1404" i="9"/>
  <c r="I1405" i="9"/>
  <c r="I1406" i="9"/>
  <c r="I1407" i="9"/>
  <c r="I1408" i="9"/>
  <c r="I1409" i="9"/>
  <c r="I1410" i="9"/>
  <c r="I1411" i="9"/>
  <c r="I1412" i="9"/>
  <c r="I1413" i="9"/>
  <c r="I1414" i="9"/>
  <c r="I1415" i="9"/>
  <c r="I1416" i="9"/>
  <c r="I1417" i="9"/>
  <c r="I1418" i="9"/>
  <c r="I1419" i="9"/>
  <c r="I1420" i="9"/>
  <c r="I1421" i="9"/>
  <c r="I1422" i="9"/>
  <c r="I1423" i="9"/>
  <c r="I1424" i="9"/>
  <c r="I1425" i="9"/>
  <c r="I1426" i="9"/>
  <c r="I1427" i="9"/>
  <c r="I1428" i="9"/>
  <c r="I1429" i="9"/>
  <c r="I1430" i="9"/>
  <c r="I1431" i="9"/>
  <c r="I1432" i="9"/>
  <c r="I1433" i="9"/>
  <c r="I1434" i="9"/>
  <c r="I1435" i="9"/>
  <c r="I1436" i="9"/>
  <c r="I1437" i="9"/>
  <c r="I1438" i="9"/>
  <c r="I1439" i="9"/>
  <c r="I1440" i="9"/>
  <c r="I1441" i="9"/>
  <c r="I1442" i="9"/>
  <c r="I1443" i="9"/>
  <c r="I1444" i="9"/>
  <c r="I1445" i="9"/>
  <c r="I1446" i="9"/>
  <c r="I1447" i="9"/>
  <c r="I1448" i="9"/>
  <c r="I1449" i="9"/>
  <c r="I1450" i="9"/>
  <c r="I1451" i="9"/>
  <c r="I1452" i="9"/>
  <c r="I1453" i="9"/>
  <c r="I1454" i="9"/>
  <c r="I1455" i="9"/>
  <c r="I1456" i="9"/>
  <c r="I1457" i="9"/>
  <c r="I1458" i="9"/>
  <c r="I1459" i="9"/>
  <c r="I1460" i="9"/>
  <c r="I1461" i="9"/>
  <c r="I1462" i="9"/>
  <c r="I1463" i="9"/>
  <c r="I1464" i="9"/>
  <c r="I1465" i="9"/>
  <c r="I1466" i="9"/>
  <c r="I1467" i="9"/>
  <c r="I1468" i="9"/>
  <c r="I1469" i="9"/>
  <c r="I1470" i="9"/>
  <c r="I1471" i="9"/>
  <c r="I1472" i="9"/>
  <c r="I1473" i="9"/>
  <c r="I1474" i="9"/>
  <c r="I1475" i="9"/>
  <c r="I1476" i="9"/>
  <c r="I1477" i="9"/>
  <c r="I1478" i="9"/>
  <c r="I1479" i="9"/>
  <c r="I1480" i="9"/>
  <c r="I1481" i="9"/>
  <c r="I1482" i="9"/>
  <c r="I1483" i="9"/>
  <c r="I1484" i="9"/>
  <c r="I1485" i="9"/>
  <c r="I1486" i="9"/>
  <c r="I1487" i="9"/>
  <c r="I1488" i="9"/>
  <c r="I1489" i="9"/>
  <c r="I1490" i="9"/>
  <c r="I1491" i="9"/>
  <c r="I1492" i="9"/>
  <c r="I1493" i="9"/>
  <c r="I1494" i="9"/>
  <c r="I1495" i="9"/>
  <c r="I1496" i="9"/>
  <c r="I1497" i="9"/>
  <c r="I1498" i="9"/>
  <c r="I1499" i="9"/>
  <c r="I1500" i="9"/>
  <c r="I1501" i="9"/>
  <c r="I1502" i="9"/>
  <c r="I1503" i="9"/>
  <c r="I1504" i="9"/>
  <c r="I1505" i="9"/>
  <c r="I1506" i="9"/>
  <c r="I1507" i="9"/>
  <c r="I1508" i="9"/>
  <c r="I1509" i="9"/>
  <c r="I1510" i="9"/>
  <c r="I1511" i="9"/>
  <c r="I1512" i="9"/>
  <c r="I1513" i="9"/>
  <c r="I1514" i="9"/>
  <c r="I1515" i="9"/>
  <c r="I1516" i="9"/>
  <c r="I1517" i="9"/>
  <c r="I1518" i="9"/>
  <c r="I1519" i="9"/>
  <c r="I1520" i="9"/>
  <c r="I1521" i="9"/>
  <c r="I1522" i="9"/>
  <c r="I1523" i="9"/>
  <c r="I1524" i="9"/>
  <c r="I1525" i="9"/>
  <c r="I1526" i="9"/>
  <c r="I1527" i="9"/>
  <c r="I1528" i="9"/>
  <c r="I1529" i="9"/>
  <c r="I1530" i="9"/>
  <c r="I1531" i="9"/>
  <c r="I1532" i="9"/>
  <c r="I1533" i="9"/>
  <c r="I1534" i="9"/>
  <c r="I1535" i="9"/>
  <c r="I1536" i="9"/>
  <c r="I1537" i="9"/>
  <c r="I1538" i="9"/>
  <c r="I1539" i="9"/>
  <c r="I1540" i="9"/>
  <c r="I1541" i="9"/>
  <c r="I1542" i="9"/>
  <c r="I1543" i="9"/>
  <c r="I1544" i="9"/>
  <c r="I1545" i="9"/>
  <c r="I1546" i="9"/>
  <c r="I1547" i="9"/>
  <c r="I1548" i="9"/>
  <c r="I1549" i="9"/>
  <c r="I1550" i="9"/>
  <c r="I1551" i="9"/>
  <c r="I1552" i="9"/>
  <c r="I1553" i="9"/>
  <c r="I1554" i="9"/>
  <c r="I1555" i="9"/>
  <c r="I1556" i="9"/>
  <c r="I1557" i="9"/>
  <c r="I1558" i="9"/>
  <c r="I1559" i="9"/>
  <c r="I1560" i="9"/>
  <c r="I1561" i="9"/>
  <c r="I1562" i="9"/>
  <c r="I1563" i="9"/>
  <c r="I1564" i="9"/>
  <c r="I1565" i="9"/>
  <c r="I1566" i="9"/>
  <c r="I1567" i="9"/>
  <c r="I1568" i="9"/>
  <c r="I1569" i="9"/>
  <c r="I1570" i="9"/>
  <c r="I1571" i="9"/>
  <c r="I1572" i="9"/>
  <c r="I1573" i="9"/>
  <c r="I1574" i="9"/>
  <c r="I1575" i="9"/>
  <c r="I1576" i="9"/>
  <c r="I1577" i="9"/>
  <c r="I1578" i="9"/>
  <c r="I1579" i="9"/>
  <c r="I1580" i="9"/>
  <c r="I1581" i="9"/>
  <c r="I1582" i="9"/>
  <c r="I1583" i="9"/>
  <c r="I1584" i="9"/>
  <c r="I1585" i="9"/>
  <c r="I1586" i="9"/>
  <c r="I1587" i="9"/>
  <c r="I1588" i="9"/>
  <c r="I1589" i="9"/>
  <c r="I1590" i="9"/>
  <c r="I1591" i="9"/>
  <c r="I1592" i="9"/>
  <c r="I1593" i="9"/>
  <c r="I1594" i="9"/>
  <c r="I1595" i="9"/>
  <c r="I1596" i="9"/>
  <c r="I1597" i="9"/>
  <c r="I1598" i="9"/>
  <c r="I1599" i="9"/>
  <c r="I1600" i="9"/>
  <c r="I1601" i="9"/>
  <c r="I1602" i="9"/>
  <c r="I1603" i="9"/>
  <c r="I1604" i="9"/>
  <c r="I1605" i="9"/>
  <c r="I1606" i="9"/>
  <c r="I1607" i="9"/>
  <c r="I1608" i="9"/>
  <c r="I1609" i="9"/>
  <c r="I1610" i="9"/>
  <c r="I1611" i="9"/>
  <c r="I1612" i="9"/>
  <c r="I1613" i="9"/>
  <c r="I1614" i="9"/>
  <c r="I1615" i="9"/>
  <c r="I1616" i="9"/>
  <c r="I1617" i="9"/>
  <c r="I1618" i="9"/>
  <c r="I1619" i="9"/>
  <c r="I1620" i="9"/>
  <c r="I1621" i="9"/>
  <c r="I1622" i="9"/>
  <c r="I1623" i="9"/>
  <c r="I1624" i="9"/>
  <c r="I1625" i="9"/>
  <c r="I1626" i="9"/>
  <c r="I1627" i="9"/>
  <c r="I1628" i="9"/>
  <c r="I1629" i="9"/>
  <c r="I1630" i="9"/>
  <c r="I1631" i="9"/>
  <c r="I1632" i="9"/>
  <c r="I1633" i="9"/>
  <c r="I1634" i="9"/>
  <c r="I1635" i="9"/>
  <c r="I1636" i="9"/>
  <c r="I1637" i="9"/>
  <c r="I1638" i="9"/>
  <c r="I1639" i="9"/>
  <c r="I1640" i="9"/>
  <c r="I1641" i="9"/>
  <c r="I1642" i="9"/>
  <c r="I1643" i="9"/>
  <c r="I1644" i="9"/>
  <c r="I1645" i="9"/>
  <c r="I1646" i="9"/>
  <c r="I1647" i="9"/>
  <c r="I1648" i="9"/>
  <c r="I1649" i="9"/>
  <c r="I1650" i="9"/>
  <c r="I1651" i="9"/>
  <c r="I1652" i="9"/>
  <c r="I1653" i="9"/>
  <c r="I1654" i="9"/>
  <c r="I1655" i="9"/>
  <c r="I1656" i="9"/>
  <c r="I1657" i="9"/>
  <c r="I1658" i="9"/>
  <c r="I1659" i="9"/>
  <c r="I1660" i="9"/>
  <c r="I1661" i="9"/>
  <c r="I1662" i="9"/>
  <c r="I1663" i="9"/>
  <c r="I1664" i="9"/>
  <c r="I1665" i="9"/>
  <c r="I1666" i="9"/>
  <c r="I1667" i="9"/>
  <c r="I1668" i="9"/>
  <c r="I1669" i="9"/>
  <c r="I1670" i="9"/>
  <c r="I1671" i="9"/>
  <c r="I1672" i="9"/>
  <c r="I1673" i="9"/>
  <c r="I1674" i="9"/>
  <c r="I1675" i="9"/>
  <c r="I1676" i="9"/>
  <c r="I1677" i="9"/>
  <c r="I1678" i="9"/>
  <c r="I1679" i="9"/>
  <c r="I1680" i="9"/>
  <c r="I1681" i="9"/>
  <c r="I1682" i="9"/>
  <c r="I1683" i="9"/>
  <c r="I1684" i="9"/>
  <c r="I1685" i="9"/>
  <c r="I1686" i="9"/>
  <c r="I1687" i="9"/>
  <c r="I1688" i="9"/>
  <c r="I1689" i="9"/>
  <c r="I1690" i="9"/>
  <c r="I1691" i="9"/>
  <c r="I1692" i="9"/>
  <c r="I1693" i="9"/>
  <c r="I1694" i="9"/>
  <c r="I1695" i="9"/>
  <c r="I1696" i="9"/>
  <c r="I1697" i="9"/>
  <c r="I1698" i="9"/>
  <c r="I1699" i="9"/>
  <c r="I1700" i="9"/>
  <c r="I1701" i="9"/>
  <c r="I1702" i="9"/>
  <c r="I1703" i="9"/>
  <c r="I1704" i="9"/>
  <c r="I1705" i="9"/>
  <c r="I1706" i="9"/>
  <c r="I1707" i="9"/>
  <c r="I1708" i="9"/>
  <c r="I1709" i="9"/>
  <c r="I1710" i="9"/>
  <c r="I1711" i="9"/>
  <c r="I1712" i="9"/>
  <c r="I1713" i="9"/>
  <c r="I1714" i="9"/>
  <c r="I1715" i="9"/>
  <c r="I1716" i="9"/>
  <c r="I1717" i="9"/>
  <c r="I1718" i="9"/>
  <c r="I1719" i="9"/>
  <c r="I1720" i="9"/>
  <c r="I1721" i="9"/>
  <c r="I1722" i="9"/>
  <c r="I1723" i="9"/>
  <c r="I1724" i="9"/>
  <c r="I1725" i="9"/>
  <c r="I1726" i="9"/>
  <c r="I1727" i="9"/>
  <c r="I1728" i="9"/>
  <c r="I1729" i="9"/>
  <c r="I1730" i="9"/>
  <c r="I1731" i="9"/>
  <c r="I1732" i="9"/>
  <c r="I1733" i="9"/>
  <c r="I1734" i="9"/>
  <c r="I1735" i="9"/>
  <c r="I1736" i="9"/>
  <c r="I1737" i="9"/>
  <c r="I1738" i="9"/>
  <c r="I1739" i="9"/>
  <c r="I1740" i="9"/>
  <c r="I1741" i="9"/>
  <c r="I1742" i="9"/>
  <c r="I1743" i="9"/>
  <c r="I1744" i="9"/>
  <c r="I1745" i="9"/>
  <c r="I1746" i="9"/>
  <c r="I1747" i="9"/>
  <c r="I1748" i="9"/>
  <c r="I1749" i="9"/>
  <c r="I1750" i="9"/>
  <c r="I1751" i="9"/>
  <c r="I1752" i="9"/>
  <c r="I1753" i="9"/>
  <c r="I1754" i="9"/>
  <c r="I1755" i="9"/>
  <c r="I1756" i="9"/>
  <c r="I1757" i="9"/>
  <c r="I1758" i="9"/>
  <c r="I1759" i="9"/>
  <c r="I1760" i="9"/>
  <c r="I1761" i="9"/>
  <c r="I1762" i="9"/>
  <c r="I1763" i="9"/>
  <c r="I1764" i="9"/>
  <c r="I1765" i="9"/>
  <c r="I1766" i="9"/>
  <c r="I1767" i="9"/>
  <c r="I1768" i="9"/>
  <c r="I1769" i="9"/>
  <c r="I1770" i="9"/>
  <c r="I1771" i="9"/>
  <c r="I1772" i="9"/>
  <c r="I1773" i="9"/>
  <c r="I1774" i="9"/>
  <c r="I1775" i="9"/>
  <c r="I1776" i="9"/>
  <c r="I1777" i="9"/>
  <c r="I1778" i="9"/>
  <c r="I1779" i="9"/>
  <c r="I1780" i="9"/>
  <c r="I1781" i="9"/>
  <c r="I1782" i="9"/>
  <c r="I1783" i="9"/>
  <c r="I1784" i="9"/>
  <c r="I1785" i="9"/>
  <c r="I1786" i="9"/>
  <c r="I1787" i="9"/>
  <c r="I1788" i="9"/>
  <c r="I1789" i="9"/>
  <c r="I1790" i="9"/>
  <c r="I1791" i="9"/>
  <c r="I1792" i="9"/>
  <c r="I1793" i="9"/>
  <c r="I1794" i="9"/>
  <c r="I1795" i="9"/>
  <c r="I1796" i="9"/>
  <c r="I1797" i="9"/>
  <c r="I1798" i="9"/>
  <c r="I1799" i="9"/>
  <c r="I1800" i="9"/>
  <c r="I1801" i="9"/>
  <c r="I1802" i="9"/>
  <c r="I1803" i="9"/>
  <c r="I1804" i="9"/>
  <c r="I1805" i="9"/>
  <c r="I1806" i="9"/>
  <c r="I1807" i="9"/>
  <c r="I1808" i="9"/>
  <c r="I1809" i="9"/>
  <c r="I1810" i="9"/>
  <c r="I1811" i="9"/>
  <c r="I1812" i="9"/>
  <c r="I1813" i="9"/>
  <c r="I1814" i="9"/>
  <c r="I1815" i="9"/>
  <c r="I1816" i="9"/>
  <c r="I1817" i="9"/>
  <c r="I1818" i="9"/>
  <c r="I1819" i="9"/>
  <c r="I1820" i="9"/>
  <c r="I1821" i="9"/>
  <c r="I1822" i="9"/>
  <c r="I1823" i="9"/>
  <c r="I1824" i="9"/>
  <c r="I1825" i="9"/>
  <c r="I1826" i="9"/>
  <c r="I1827" i="9"/>
  <c r="I1828" i="9"/>
  <c r="I1829" i="9"/>
  <c r="I1830" i="9"/>
  <c r="I1831" i="9"/>
  <c r="I1832" i="9"/>
  <c r="I1833" i="9"/>
  <c r="I1834" i="9"/>
  <c r="I1835" i="9"/>
  <c r="I1836" i="9"/>
  <c r="I1837" i="9"/>
  <c r="I1838" i="9"/>
  <c r="I1839" i="9"/>
  <c r="I1840" i="9"/>
  <c r="I1841" i="9"/>
  <c r="I1842" i="9"/>
  <c r="I1843" i="9"/>
  <c r="I1844" i="9"/>
  <c r="I1845" i="9"/>
  <c r="I1846" i="9"/>
  <c r="I1847" i="9"/>
  <c r="I1848" i="9"/>
  <c r="I1849" i="9"/>
  <c r="I1850" i="9"/>
  <c r="I1851" i="9"/>
  <c r="I1852" i="9"/>
  <c r="I1853" i="9"/>
  <c r="I1854" i="9"/>
  <c r="I1855" i="9"/>
  <c r="I1856" i="9"/>
  <c r="I1857" i="9"/>
  <c r="I1858" i="9"/>
  <c r="I1859" i="9"/>
  <c r="I1860" i="9"/>
  <c r="I1861" i="9"/>
  <c r="I1862" i="9"/>
  <c r="I1863" i="9"/>
  <c r="I1864" i="9"/>
  <c r="I1865" i="9"/>
  <c r="I1866" i="9"/>
  <c r="I1867" i="9"/>
  <c r="I1868" i="9"/>
  <c r="I1869" i="9"/>
  <c r="I1870" i="9"/>
  <c r="I1871" i="9"/>
  <c r="I1872" i="9"/>
  <c r="I1873" i="9"/>
  <c r="I1874" i="9"/>
  <c r="I1875" i="9"/>
  <c r="I1876" i="9"/>
  <c r="I1877" i="9"/>
  <c r="I1878" i="9"/>
  <c r="I1879" i="9"/>
  <c r="I1880" i="9"/>
  <c r="I1881" i="9"/>
  <c r="I1882" i="9"/>
  <c r="I1883" i="9"/>
  <c r="I1884" i="9"/>
  <c r="I1885" i="9"/>
  <c r="I1886" i="9"/>
  <c r="I1887" i="9"/>
  <c r="I1888" i="9"/>
  <c r="I1889" i="9"/>
  <c r="I1890" i="9"/>
  <c r="I1891" i="9"/>
  <c r="I1892" i="9"/>
  <c r="I1893" i="9"/>
  <c r="I1894" i="9"/>
  <c r="I1895" i="9"/>
  <c r="I1896" i="9"/>
  <c r="I1897" i="9"/>
  <c r="I1898" i="9"/>
  <c r="I1899" i="9"/>
  <c r="I1900" i="9"/>
  <c r="I1901" i="9"/>
  <c r="I1902" i="9"/>
  <c r="I1903" i="9"/>
  <c r="I1904" i="9"/>
  <c r="I1905" i="9"/>
  <c r="I1906" i="9"/>
  <c r="I1907" i="9"/>
  <c r="I1908" i="9"/>
  <c r="I1909" i="9"/>
  <c r="I1910" i="9"/>
  <c r="I1911" i="9"/>
  <c r="I1912" i="9"/>
  <c r="I1913" i="9"/>
  <c r="I1914" i="9"/>
  <c r="I1915" i="9"/>
  <c r="I1916" i="9"/>
  <c r="I1917" i="9"/>
  <c r="I1918" i="9"/>
  <c r="I1919" i="9"/>
  <c r="I1920" i="9"/>
  <c r="I1921" i="9"/>
  <c r="I1922" i="9"/>
  <c r="I1923" i="9"/>
  <c r="I1924" i="9"/>
  <c r="I1925" i="9"/>
  <c r="I1926" i="9"/>
  <c r="I1927" i="9"/>
  <c r="I1928" i="9"/>
  <c r="I1929" i="9"/>
  <c r="I1930" i="9"/>
  <c r="I1931" i="9"/>
  <c r="I1932" i="9"/>
  <c r="I1933" i="9"/>
  <c r="I1934" i="9"/>
  <c r="I1935" i="9"/>
  <c r="I1936" i="9"/>
  <c r="I1937" i="9"/>
  <c r="I1938" i="9"/>
  <c r="I1939" i="9"/>
  <c r="I1940" i="9"/>
  <c r="I1941" i="9"/>
  <c r="I1942" i="9"/>
  <c r="I1943" i="9"/>
  <c r="I1944" i="9"/>
  <c r="I1945" i="9"/>
  <c r="I1946" i="9"/>
  <c r="I1947" i="9"/>
  <c r="I1948" i="9"/>
  <c r="I1949" i="9"/>
  <c r="I1950" i="9"/>
  <c r="I1951" i="9"/>
  <c r="I1952" i="9"/>
  <c r="I1953" i="9"/>
  <c r="I1954" i="9"/>
  <c r="I1955" i="9"/>
  <c r="I1956" i="9"/>
  <c r="I1957" i="9"/>
  <c r="I1958" i="9"/>
  <c r="I1959" i="9"/>
  <c r="I1960" i="9"/>
  <c r="I1961" i="9"/>
  <c r="I1962" i="9"/>
  <c r="I1963" i="9"/>
  <c r="I1964" i="9"/>
  <c r="I1965" i="9"/>
  <c r="I1966" i="9"/>
  <c r="I1967" i="9"/>
  <c r="I1968" i="9"/>
  <c r="I1969" i="9"/>
  <c r="I1970" i="9"/>
  <c r="I1971" i="9"/>
  <c r="I1972" i="9"/>
  <c r="I1973" i="9"/>
  <c r="I1974" i="9"/>
  <c r="I1975" i="9"/>
  <c r="I1976" i="9"/>
  <c r="I1977" i="9"/>
  <c r="I1978" i="9"/>
  <c r="I1979" i="9"/>
  <c r="I1980" i="9"/>
  <c r="I1981" i="9"/>
  <c r="I1982" i="9"/>
  <c r="I1983" i="9"/>
  <c r="I1984" i="9"/>
  <c r="I1985" i="9"/>
  <c r="I1986" i="9"/>
  <c r="I1987" i="9"/>
  <c r="I1988" i="9"/>
  <c r="I1989" i="9"/>
  <c r="I1990" i="9"/>
  <c r="I1991" i="9"/>
  <c r="I1992" i="9"/>
  <c r="I1993" i="9"/>
  <c r="I1994" i="9"/>
  <c r="I1995" i="9"/>
  <c r="I1996" i="9"/>
  <c r="I1997" i="9"/>
  <c r="I1998" i="9"/>
  <c r="I1999" i="9"/>
  <c r="I2000" i="9"/>
  <c r="I2001" i="9"/>
  <c r="I2002" i="9"/>
  <c r="I2003" i="9"/>
  <c r="I2004" i="9"/>
  <c r="I2005" i="9"/>
  <c r="I2006" i="9"/>
  <c r="I2007" i="9"/>
  <c r="I2008" i="9"/>
  <c r="I2009" i="9"/>
  <c r="I2010" i="9"/>
  <c r="I2011" i="9"/>
  <c r="I2012" i="9"/>
  <c r="I2013" i="9"/>
  <c r="I2014" i="9"/>
  <c r="I2015" i="9"/>
  <c r="I2016" i="9"/>
  <c r="I2017" i="9"/>
  <c r="I2018" i="9"/>
  <c r="I2019" i="9"/>
  <c r="I2020" i="9"/>
  <c r="I2021" i="9"/>
  <c r="I2022" i="9"/>
  <c r="I2023" i="9"/>
  <c r="I2024" i="9"/>
  <c r="I2025" i="9"/>
  <c r="I2026" i="9"/>
  <c r="I2027" i="9"/>
  <c r="I2028" i="9"/>
  <c r="I2029" i="9"/>
  <c r="I2030" i="9"/>
  <c r="I2031" i="9"/>
  <c r="I2032" i="9"/>
  <c r="I2033" i="9"/>
  <c r="I2034" i="9"/>
  <c r="I2035" i="9"/>
  <c r="I2036" i="9"/>
  <c r="I2037" i="9"/>
  <c r="I2038" i="9"/>
  <c r="I2039" i="9"/>
  <c r="I2040" i="9"/>
  <c r="I2041" i="9"/>
  <c r="I2042" i="9"/>
  <c r="I2043" i="9"/>
  <c r="I2044" i="9"/>
  <c r="I2045" i="9"/>
  <c r="I2046" i="9"/>
  <c r="I2047" i="9"/>
  <c r="I2048" i="9"/>
  <c r="I2049" i="9"/>
  <c r="I2050" i="9"/>
  <c r="I2051" i="9"/>
  <c r="I2052" i="9"/>
  <c r="I2053" i="9"/>
  <c r="I2054" i="9"/>
  <c r="I2055" i="9"/>
  <c r="I2056" i="9"/>
  <c r="I2057" i="9"/>
  <c r="I2058" i="9"/>
  <c r="I2059" i="9"/>
  <c r="I2060" i="9"/>
  <c r="I2061" i="9"/>
  <c r="I2062" i="9"/>
  <c r="I2063" i="9"/>
  <c r="I2064" i="9"/>
  <c r="I2065" i="9"/>
  <c r="I2066" i="9"/>
  <c r="I2067" i="9"/>
  <c r="I2068" i="9"/>
  <c r="I2069" i="9"/>
  <c r="I2070" i="9"/>
  <c r="I2071" i="9"/>
  <c r="I2072" i="9"/>
  <c r="I2073" i="9"/>
  <c r="I2074" i="9"/>
  <c r="I2075" i="9"/>
  <c r="I2076" i="9"/>
  <c r="I2077" i="9"/>
  <c r="I2078" i="9"/>
  <c r="I2079" i="9"/>
  <c r="I2080" i="9"/>
  <c r="I2081" i="9"/>
  <c r="I2082" i="9"/>
  <c r="I2083" i="9"/>
  <c r="I2084" i="9"/>
  <c r="I2085" i="9"/>
  <c r="I2086" i="9"/>
  <c r="I2087" i="9"/>
  <c r="I2088" i="9"/>
  <c r="I2089" i="9"/>
  <c r="I2090" i="9"/>
  <c r="I2091" i="9"/>
  <c r="I2092" i="9"/>
  <c r="I2093" i="9"/>
  <c r="I2094" i="9"/>
  <c r="I2095" i="9"/>
  <c r="I2096" i="9"/>
  <c r="I2097" i="9"/>
  <c r="I2098" i="9"/>
  <c r="I2099" i="9"/>
  <c r="I2100" i="9"/>
  <c r="I2101" i="9"/>
  <c r="I2102" i="9"/>
  <c r="I2103" i="9"/>
  <c r="I2104" i="9"/>
  <c r="I2105" i="9"/>
  <c r="I2106" i="9"/>
  <c r="I2107" i="9"/>
  <c r="I2108" i="9"/>
  <c r="I2109" i="9"/>
  <c r="I2110" i="9"/>
  <c r="I2111" i="9"/>
  <c r="I2112" i="9"/>
  <c r="I2113" i="9"/>
  <c r="I2114" i="9"/>
  <c r="I2115" i="9"/>
  <c r="I2116" i="9"/>
  <c r="I2117" i="9"/>
  <c r="I2118" i="9"/>
  <c r="I2119" i="9"/>
  <c r="I2120" i="9"/>
  <c r="I2121" i="9"/>
  <c r="I2122" i="9"/>
  <c r="I2123" i="9"/>
  <c r="I2124" i="9"/>
  <c r="I2125" i="9"/>
  <c r="I2126" i="9"/>
  <c r="I2127" i="9"/>
  <c r="I2128" i="9"/>
  <c r="I2129" i="9"/>
  <c r="I2130" i="9"/>
  <c r="I2131" i="9"/>
  <c r="I2132" i="9"/>
  <c r="I2133" i="9"/>
  <c r="I2134" i="9"/>
  <c r="I2135" i="9"/>
  <c r="I2136" i="9"/>
  <c r="I2137" i="9"/>
  <c r="I2138" i="9"/>
  <c r="I2139" i="9"/>
  <c r="I2140" i="9"/>
  <c r="I2141" i="9"/>
  <c r="I2142" i="9"/>
  <c r="I2143" i="9"/>
  <c r="I2144" i="9"/>
  <c r="I2145" i="9"/>
  <c r="I2146" i="9"/>
  <c r="I2147" i="9"/>
  <c r="I2148" i="9"/>
  <c r="I2149" i="9"/>
  <c r="I2150" i="9"/>
  <c r="I2151" i="9"/>
  <c r="I2152" i="9"/>
  <c r="I2153" i="9"/>
  <c r="I2154" i="9"/>
  <c r="I2155" i="9"/>
  <c r="I2156" i="9"/>
  <c r="I2157" i="9"/>
  <c r="I2158" i="9"/>
  <c r="I2159" i="9"/>
  <c r="I2160" i="9"/>
  <c r="I2161" i="9"/>
  <c r="I2162" i="9"/>
  <c r="I2163" i="9"/>
  <c r="I2164" i="9"/>
  <c r="I2165" i="9"/>
  <c r="I2166" i="9"/>
  <c r="I2167" i="9"/>
  <c r="I2168" i="9"/>
  <c r="I2169" i="9"/>
  <c r="I2170" i="9"/>
  <c r="I2171" i="9"/>
  <c r="I2172" i="9"/>
  <c r="I2173" i="9"/>
  <c r="I2174" i="9"/>
  <c r="I2175" i="9"/>
  <c r="I2176" i="9"/>
  <c r="I2177" i="9"/>
  <c r="I2178" i="9"/>
  <c r="I2179" i="9"/>
  <c r="I2180" i="9"/>
  <c r="I2181" i="9"/>
  <c r="I2182" i="9"/>
  <c r="I2183" i="9"/>
  <c r="I2184" i="9"/>
  <c r="I2185" i="9"/>
  <c r="I2186" i="9"/>
  <c r="I2187" i="9"/>
  <c r="I2188" i="9"/>
  <c r="I2189" i="9"/>
  <c r="I2190" i="9"/>
  <c r="I2191" i="9"/>
  <c r="I2192" i="9"/>
  <c r="I2193" i="9"/>
  <c r="I2194" i="9"/>
  <c r="I2195" i="9"/>
  <c r="I2196" i="9"/>
  <c r="I2197" i="9"/>
  <c r="I2198" i="9"/>
  <c r="I2199" i="9"/>
  <c r="I2200" i="9"/>
  <c r="I2201" i="9"/>
  <c r="I2202" i="9"/>
  <c r="I2203" i="9"/>
  <c r="I2204" i="9"/>
  <c r="I2205" i="9"/>
  <c r="I2206" i="9"/>
  <c r="I2207" i="9"/>
  <c r="I2208" i="9"/>
  <c r="I2209" i="9"/>
  <c r="I2210" i="9"/>
  <c r="I2211" i="9"/>
  <c r="I2212" i="9"/>
  <c r="I2213" i="9"/>
  <c r="I2214" i="9"/>
  <c r="I2215" i="9"/>
  <c r="I2216" i="9"/>
  <c r="I2217" i="9"/>
  <c r="I2218" i="9"/>
  <c r="I2219" i="9"/>
  <c r="I2220" i="9"/>
  <c r="I2221" i="9"/>
  <c r="I2222" i="9"/>
  <c r="I2223" i="9"/>
  <c r="I2224" i="9"/>
  <c r="I2225" i="9"/>
  <c r="I2226" i="9"/>
  <c r="I2227" i="9"/>
  <c r="I2228" i="9"/>
  <c r="I2229" i="9"/>
  <c r="I2230" i="9"/>
  <c r="I2231" i="9"/>
  <c r="I2232" i="9"/>
  <c r="I2233" i="9"/>
  <c r="I2234" i="9"/>
  <c r="I2235" i="9"/>
  <c r="I2236" i="9"/>
  <c r="I2237" i="9"/>
  <c r="I2238" i="9"/>
  <c r="I2239" i="9"/>
  <c r="I2240" i="9"/>
  <c r="I2241" i="9"/>
  <c r="I2242" i="9"/>
  <c r="I2243" i="9"/>
  <c r="I2244" i="9"/>
  <c r="I2245" i="9"/>
  <c r="I2246" i="9"/>
  <c r="I2247" i="9"/>
  <c r="I2248" i="9"/>
  <c r="I2249" i="9"/>
  <c r="I2250" i="9"/>
  <c r="I2251" i="9"/>
  <c r="I2252" i="9"/>
  <c r="I2253" i="9"/>
  <c r="I2254" i="9"/>
  <c r="I2255" i="9"/>
  <c r="I2256" i="9"/>
  <c r="I2257" i="9"/>
  <c r="I2258" i="9"/>
  <c r="I2259" i="9"/>
  <c r="I2260" i="9"/>
  <c r="I2261" i="9"/>
  <c r="I2262" i="9"/>
  <c r="I2263" i="9"/>
  <c r="I2264" i="9"/>
  <c r="I2265" i="9"/>
  <c r="I2266" i="9"/>
  <c r="I2267" i="9"/>
  <c r="I2268" i="9"/>
  <c r="I2269" i="9"/>
  <c r="I2270" i="9"/>
  <c r="I2271" i="9"/>
  <c r="I2272" i="9"/>
  <c r="I2273" i="9"/>
  <c r="I2274" i="9"/>
  <c r="I2275" i="9"/>
  <c r="I2276" i="9"/>
  <c r="I2277" i="9"/>
  <c r="I2278" i="9"/>
  <c r="I2279" i="9"/>
  <c r="I2280" i="9"/>
  <c r="I2281" i="9"/>
  <c r="I2282" i="9"/>
  <c r="I2283" i="9"/>
  <c r="I2284" i="9"/>
  <c r="I2285" i="9"/>
  <c r="I2286" i="9"/>
  <c r="I2287" i="9"/>
  <c r="I2288" i="9"/>
  <c r="I2289" i="9"/>
  <c r="I2290" i="9"/>
  <c r="I2291" i="9"/>
  <c r="I2292" i="9"/>
  <c r="I2293" i="9"/>
  <c r="I2294" i="9"/>
  <c r="I2295" i="9"/>
  <c r="I2296" i="9"/>
  <c r="I2297" i="9"/>
  <c r="I2298" i="9"/>
  <c r="I2299" i="9"/>
  <c r="I2300" i="9"/>
  <c r="I2301" i="9"/>
  <c r="I2302" i="9"/>
  <c r="I2303" i="9"/>
  <c r="I2304" i="9"/>
  <c r="I2305" i="9"/>
  <c r="I2306" i="9"/>
  <c r="I2307" i="9"/>
  <c r="I2308" i="9"/>
  <c r="I2309" i="9"/>
  <c r="I2310" i="9"/>
  <c r="I2311" i="9"/>
  <c r="I2312" i="9"/>
  <c r="I2313" i="9"/>
  <c r="I2314" i="9"/>
  <c r="I2315" i="9"/>
  <c r="I2316" i="9"/>
  <c r="I2317" i="9"/>
  <c r="I2318" i="9"/>
  <c r="I2319" i="9"/>
  <c r="I2320" i="9"/>
  <c r="I2321" i="9"/>
  <c r="I2322" i="9"/>
  <c r="I2323" i="9"/>
  <c r="I2324" i="9"/>
  <c r="I2325" i="9"/>
  <c r="I2326" i="9"/>
  <c r="I2327" i="9"/>
  <c r="I2328" i="9"/>
  <c r="I2329" i="9"/>
  <c r="I2330" i="9"/>
  <c r="I2331" i="9"/>
  <c r="I2332" i="9"/>
  <c r="I2333" i="9"/>
  <c r="I2334" i="9"/>
  <c r="I2335" i="9"/>
  <c r="I2336" i="9"/>
  <c r="I2337" i="9"/>
  <c r="I2338" i="9"/>
  <c r="I2339" i="9"/>
  <c r="I2340" i="9"/>
  <c r="I2341" i="9"/>
  <c r="I2342" i="9"/>
  <c r="I2343" i="9"/>
  <c r="I2344" i="9"/>
  <c r="I2345" i="9"/>
  <c r="I2346" i="9"/>
  <c r="I2347" i="9"/>
  <c r="I2348" i="9"/>
  <c r="I2349" i="9"/>
  <c r="I2350" i="9"/>
  <c r="I2351" i="9"/>
  <c r="I2352" i="9"/>
  <c r="I2353" i="9"/>
  <c r="I2354" i="9"/>
  <c r="I2355" i="9"/>
  <c r="I2356" i="9"/>
  <c r="I2357" i="9"/>
  <c r="I2358" i="9"/>
  <c r="I2359" i="9"/>
  <c r="I2360" i="9"/>
  <c r="I2361" i="9"/>
  <c r="I2362" i="9"/>
  <c r="I2363" i="9"/>
  <c r="I2364" i="9"/>
  <c r="I2365" i="9"/>
  <c r="I2366" i="9"/>
  <c r="I2367" i="9"/>
  <c r="I2368" i="9"/>
  <c r="I2369" i="9"/>
  <c r="I2370" i="9"/>
  <c r="I2371" i="9"/>
  <c r="I2372" i="9"/>
  <c r="I2373" i="9"/>
  <c r="I2374" i="9"/>
  <c r="I2375" i="9"/>
  <c r="I2376" i="9"/>
  <c r="I2377" i="9"/>
  <c r="I2378" i="9"/>
  <c r="I2379" i="9"/>
  <c r="I2380" i="9"/>
  <c r="I2381" i="9"/>
  <c r="I2382" i="9"/>
  <c r="I2383" i="9"/>
  <c r="I2384" i="9"/>
  <c r="I2385" i="9"/>
  <c r="I2386" i="9"/>
  <c r="I2387" i="9"/>
  <c r="I2388" i="9"/>
  <c r="I2389" i="9"/>
  <c r="I2390" i="9"/>
  <c r="I2391" i="9"/>
  <c r="I2392" i="9"/>
  <c r="I2393" i="9"/>
  <c r="I2394" i="9"/>
  <c r="I2395" i="9"/>
  <c r="I2396" i="9"/>
  <c r="I2397" i="9"/>
  <c r="I2398" i="9"/>
  <c r="I2399" i="9"/>
  <c r="I2400" i="9"/>
  <c r="I2401" i="9"/>
  <c r="I2402" i="9"/>
  <c r="I2403" i="9"/>
  <c r="I2404" i="9"/>
  <c r="I2405" i="9"/>
  <c r="I2406" i="9"/>
  <c r="I2407" i="9"/>
  <c r="I2408" i="9"/>
  <c r="I2409" i="9"/>
  <c r="I2410" i="9"/>
  <c r="I2411" i="9"/>
  <c r="I2412" i="9"/>
  <c r="I2413" i="9"/>
  <c r="I2414" i="9"/>
  <c r="I2415" i="9"/>
  <c r="I2416" i="9"/>
  <c r="I2417" i="9"/>
  <c r="I2418" i="9"/>
  <c r="I2419" i="9"/>
  <c r="I2420" i="9"/>
  <c r="I2421" i="9"/>
  <c r="I2422" i="9"/>
  <c r="I2423" i="9"/>
  <c r="I2424" i="9"/>
  <c r="I2425" i="9"/>
  <c r="I2426" i="9"/>
  <c r="I2427" i="9"/>
  <c r="I2428" i="9"/>
  <c r="I2429" i="9"/>
  <c r="I2430" i="9"/>
  <c r="I2431" i="9"/>
  <c r="I2432" i="9"/>
  <c r="I2433" i="9"/>
  <c r="I2434" i="9"/>
  <c r="I2435" i="9"/>
  <c r="I2436" i="9"/>
  <c r="I2437" i="9"/>
  <c r="I2438" i="9"/>
  <c r="I2439" i="9"/>
  <c r="I2440" i="9"/>
  <c r="I2441" i="9"/>
  <c r="I2442" i="9"/>
  <c r="I2443" i="9"/>
  <c r="I2444" i="9"/>
  <c r="I2445" i="9"/>
  <c r="I2446" i="9"/>
  <c r="I2447" i="9"/>
  <c r="I2448" i="9"/>
  <c r="I2449" i="9"/>
  <c r="I2450" i="9"/>
  <c r="I2451" i="9"/>
  <c r="I2452" i="9"/>
  <c r="I2453" i="9"/>
  <c r="I2454" i="9"/>
  <c r="I2455" i="9"/>
  <c r="I2456" i="9"/>
  <c r="I2457" i="9"/>
  <c r="I2458" i="9"/>
  <c r="I2459" i="9"/>
  <c r="I2460" i="9"/>
  <c r="I2461" i="9"/>
  <c r="I2462" i="9"/>
  <c r="I2463" i="9"/>
  <c r="I2464" i="9"/>
  <c r="I2465" i="9"/>
  <c r="I2466" i="9"/>
  <c r="I2467" i="9"/>
  <c r="I2468" i="9"/>
  <c r="I2469" i="9"/>
  <c r="I2470" i="9"/>
  <c r="I2471" i="9"/>
  <c r="I2472" i="9"/>
  <c r="I2473" i="9"/>
  <c r="I2474" i="9"/>
  <c r="I2475" i="9"/>
  <c r="I2476" i="9"/>
  <c r="I2477" i="9"/>
  <c r="I2478" i="9"/>
  <c r="I2479" i="9"/>
  <c r="I2480" i="9"/>
  <c r="I2481" i="9"/>
  <c r="I2482" i="9"/>
  <c r="I2483" i="9"/>
  <c r="I2484" i="9"/>
  <c r="I2485" i="9"/>
  <c r="I2486" i="9"/>
  <c r="I2487" i="9"/>
  <c r="I2488" i="9"/>
  <c r="I2489" i="9"/>
  <c r="I2490" i="9"/>
  <c r="I2491" i="9"/>
  <c r="I2492" i="9"/>
  <c r="I2493" i="9"/>
  <c r="I2494" i="9"/>
  <c r="I2495" i="9"/>
  <c r="I2496" i="9"/>
  <c r="I2497" i="9"/>
  <c r="I2498" i="9"/>
  <c r="I2499" i="9"/>
  <c r="I2500" i="9"/>
  <c r="I2501" i="9"/>
  <c r="I2502" i="9"/>
  <c r="I2503" i="9"/>
  <c r="I2504" i="9"/>
  <c r="I2505" i="9"/>
  <c r="I2506" i="9"/>
  <c r="I2507" i="9"/>
  <c r="I2508" i="9"/>
  <c r="I2509" i="9"/>
  <c r="I2510" i="9"/>
  <c r="I2511" i="9"/>
  <c r="I2512" i="9"/>
  <c r="I2513" i="9"/>
  <c r="I2514" i="9"/>
  <c r="I2515" i="9"/>
  <c r="I2516" i="9"/>
  <c r="I2517" i="9"/>
  <c r="I2518" i="9"/>
  <c r="I2519" i="9"/>
  <c r="I2520" i="9"/>
  <c r="I2521" i="9"/>
  <c r="I2522" i="9"/>
  <c r="I2523" i="9"/>
  <c r="I2524" i="9"/>
  <c r="I2525" i="9"/>
  <c r="I2526" i="9"/>
  <c r="I2527" i="9"/>
  <c r="I2528" i="9"/>
  <c r="I2529" i="9"/>
  <c r="I2530" i="9"/>
  <c r="I2531" i="9"/>
  <c r="I2532" i="9"/>
  <c r="I2533" i="9"/>
  <c r="I2534" i="9"/>
  <c r="I2535" i="9"/>
  <c r="I2536" i="9"/>
  <c r="I2537" i="9"/>
  <c r="I2538" i="9"/>
  <c r="I2539" i="9"/>
  <c r="I2540" i="9"/>
  <c r="I2541" i="9"/>
  <c r="I2542" i="9"/>
  <c r="I2543" i="9"/>
  <c r="I2544" i="9"/>
  <c r="I2545" i="9"/>
  <c r="I2546" i="9"/>
  <c r="I2547" i="9"/>
  <c r="I2548" i="9"/>
  <c r="I2549" i="9"/>
  <c r="I2550" i="9"/>
  <c r="I2551" i="9"/>
  <c r="I2552" i="9"/>
  <c r="I2553" i="9"/>
  <c r="I2554" i="9"/>
  <c r="I2555" i="9"/>
  <c r="I2556" i="9"/>
  <c r="I2557" i="9"/>
  <c r="I2558" i="9"/>
  <c r="I2559" i="9"/>
  <c r="I2560" i="9"/>
  <c r="I2561" i="9"/>
  <c r="I2562" i="9"/>
  <c r="I2563" i="9"/>
  <c r="I2564" i="9"/>
  <c r="I2565" i="9"/>
  <c r="I2566" i="9"/>
  <c r="I2567" i="9"/>
  <c r="I2568" i="9"/>
  <c r="I2569" i="9"/>
  <c r="I2570" i="9"/>
  <c r="I2571" i="9"/>
  <c r="I2572" i="9"/>
  <c r="I2573" i="9"/>
  <c r="I2574" i="9"/>
  <c r="I2575" i="9"/>
  <c r="I2576" i="9"/>
  <c r="I2577" i="9"/>
  <c r="I2578" i="9"/>
  <c r="I2579" i="9"/>
  <c r="I2580" i="9"/>
  <c r="I2581" i="9"/>
  <c r="I2582" i="9"/>
  <c r="I2583" i="9"/>
  <c r="I2584" i="9"/>
  <c r="I2585" i="9"/>
  <c r="I2586" i="9"/>
  <c r="I2587" i="9"/>
  <c r="I2588" i="9"/>
  <c r="I2589" i="9"/>
  <c r="I2590" i="9"/>
  <c r="I2591" i="9"/>
  <c r="I2592" i="9"/>
  <c r="I2593" i="9"/>
  <c r="I2594" i="9"/>
  <c r="I2595" i="9"/>
  <c r="I2596" i="9"/>
  <c r="I2597" i="9"/>
  <c r="I2598" i="9"/>
  <c r="I2599" i="9"/>
  <c r="I2600" i="9"/>
  <c r="I2601" i="9"/>
  <c r="I2602" i="9"/>
  <c r="I2603" i="9"/>
  <c r="I2604" i="9"/>
  <c r="I2605" i="9"/>
  <c r="I2606" i="9"/>
  <c r="I2607" i="9"/>
  <c r="I2608" i="9"/>
  <c r="I2609" i="9"/>
  <c r="I2610" i="9"/>
  <c r="I2611" i="9"/>
  <c r="I2612" i="9"/>
  <c r="I2613" i="9"/>
  <c r="I2614" i="9"/>
  <c r="I2615" i="9"/>
  <c r="I2616" i="9"/>
  <c r="I2617" i="9"/>
  <c r="I2618" i="9"/>
  <c r="I2619" i="9"/>
  <c r="I2620" i="9"/>
  <c r="I2621" i="9"/>
  <c r="I2622" i="9"/>
  <c r="I2623" i="9"/>
  <c r="I2624" i="9"/>
  <c r="I2625" i="9"/>
  <c r="I2626" i="9"/>
  <c r="I2627" i="9"/>
  <c r="I2628" i="9"/>
  <c r="I2629" i="9"/>
  <c r="I2630" i="9"/>
  <c r="I2631" i="9"/>
  <c r="I2632" i="9"/>
  <c r="I2633" i="9"/>
  <c r="I2634" i="9"/>
  <c r="I2635" i="9"/>
  <c r="I2636" i="9"/>
  <c r="I2637" i="9"/>
  <c r="I2638" i="9"/>
  <c r="I2639" i="9"/>
  <c r="I2640" i="9"/>
  <c r="I2641" i="9"/>
  <c r="I2642" i="9"/>
  <c r="I2643" i="9"/>
  <c r="I2644" i="9"/>
  <c r="I2645" i="9"/>
  <c r="I2646" i="9"/>
  <c r="I2647" i="9"/>
  <c r="I2648" i="9"/>
  <c r="I2649" i="9"/>
  <c r="I2650" i="9"/>
  <c r="I2651" i="9"/>
  <c r="I2652" i="9"/>
  <c r="I2653" i="9"/>
  <c r="I2654" i="9"/>
  <c r="I2655" i="9"/>
  <c r="I2656" i="9"/>
  <c r="I2657" i="9"/>
  <c r="I2658" i="9"/>
  <c r="I2659" i="9"/>
  <c r="I2660" i="9"/>
  <c r="I2661" i="9"/>
  <c r="I2662" i="9"/>
  <c r="I2663" i="9"/>
  <c r="I2664" i="9"/>
  <c r="I2665" i="9"/>
  <c r="I2666" i="9"/>
  <c r="I2667" i="9"/>
  <c r="I2668" i="9"/>
  <c r="I2669" i="9"/>
  <c r="I2670" i="9"/>
  <c r="I2671" i="9"/>
  <c r="I2672" i="9"/>
  <c r="I2673" i="9"/>
  <c r="I2674" i="9"/>
  <c r="I2675" i="9"/>
  <c r="I2676" i="9"/>
  <c r="I2677" i="9"/>
  <c r="I2678" i="9"/>
  <c r="I2679" i="9"/>
  <c r="I2680" i="9"/>
  <c r="I2681" i="9"/>
  <c r="I2682" i="9"/>
  <c r="I2683" i="9"/>
  <c r="I2684" i="9"/>
  <c r="I2685" i="9"/>
  <c r="I2686" i="9"/>
  <c r="I2687" i="9"/>
  <c r="I2688" i="9"/>
  <c r="I2689" i="9"/>
  <c r="I2690" i="9"/>
  <c r="I2691" i="9"/>
  <c r="I2692" i="9"/>
  <c r="I2693" i="9"/>
  <c r="I2694" i="9"/>
  <c r="I2695" i="9"/>
  <c r="I2696" i="9"/>
  <c r="I2697" i="9"/>
  <c r="I2698" i="9"/>
  <c r="I2699" i="9"/>
  <c r="I2700" i="9"/>
  <c r="I2701" i="9"/>
  <c r="I2702" i="9"/>
  <c r="I2703" i="9"/>
  <c r="I2704" i="9"/>
  <c r="I2705" i="9"/>
  <c r="I2706" i="9"/>
  <c r="I2707" i="9"/>
  <c r="I2708" i="9"/>
  <c r="I2709" i="9"/>
  <c r="I2710" i="9"/>
  <c r="I2711" i="9"/>
  <c r="I2712" i="9"/>
  <c r="I2713" i="9"/>
  <c r="I2714" i="9"/>
  <c r="I2715" i="9"/>
  <c r="I2716" i="9"/>
  <c r="I2717" i="9"/>
  <c r="I2718" i="9"/>
  <c r="I2719" i="9"/>
  <c r="I2720" i="9"/>
  <c r="I2721" i="9"/>
  <c r="I2722" i="9"/>
  <c r="I2723" i="9"/>
  <c r="I2724" i="9"/>
  <c r="I2725" i="9"/>
  <c r="I2726" i="9"/>
  <c r="I2727" i="9"/>
  <c r="I2728" i="9"/>
  <c r="I2729" i="9"/>
  <c r="I2730" i="9"/>
  <c r="I2731" i="9"/>
  <c r="I2732" i="9"/>
  <c r="I2733" i="9"/>
  <c r="I2734" i="9"/>
  <c r="I2735" i="9"/>
  <c r="I2736" i="9"/>
  <c r="I2737" i="9"/>
  <c r="I2738" i="9"/>
  <c r="I2739" i="9"/>
  <c r="I2740" i="9"/>
  <c r="I2741" i="9"/>
  <c r="I2742" i="9"/>
  <c r="I2743" i="9"/>
  <c r="I2744" i="9"/>
  <c r="I2745" i="9"/>
  <c r="I2746" i="9"/>
  <c r="I2747" i="9"/>
  <c r="I2748" i="9"/>
  <c r="I2749" i="9"/>
  <c r="I2750" i="9"/>
  <c r="I2751" i="9"/>
  <c r="I2752" i="9"/>
  <c r="I2753" i="9"/>
  <c r="I2754" i="9"/>
  <c r="I2755" i="9"/>
  <c r="I2756" i="9"/>
  <c r="I2757" i="9"/>
  <c r="I2758" i="9"/>
  <c r="I2759" i="9"/>
  <c r="I2760" i="9"/>
  <c r="I2761" i="9"/>
  <c r="I2762" i="9"/>
  <c r="I2763" i="9"/>
  <c r="I2764" i="9"/>
  <c r="I2765" i="9"/>
  <c r="I2766" i="9"/>
  <c r="I2767" i="9"/>
  <c r="I2768" i="9"/>
  <c r="I2769" i="9"/>
  <c r="I2770" i="9"/>
  <c r="I2771" i="9"/>
  <c r="I2772" i="9"/>
  <c r="I2773" i="9"/>
  <c r="I2774" i="9"/>
  <c r="I2775" i="9"/>
  <c r="I2776" i="9"/>
  <c r="I2777" i="9"/>
  <c r="I2778" i="9"/>
  <c r="I2779" i="9"/>
  <c r="I2780" i="9"/>
  <c r="I2781" i="9"/>
  <c r="I2782" i="9"/>
  <c r="I2783" i="9"/>
  <c r="I2784" i="9"/>
  <c r="I2785" i="9"/>
  <c r="I2786" i="9"/>
  <c r="I2787" i="9"/>
  <c r="I2788" i="9"/>
  <c r="I2789" i="9"/>
  <c r="I2790" i="9"/>
  <c r="I2791" i="9"/>
  <c r="I2792" i="9"/>
  <c r="I2793" i="9"/>
  <c r="I2794" i="9"/>
  <c r="I2795" i="9"/>
  <c r="I2796" i="9"/>
  <c r="I2797" i="9"/>
  <c r="I2798" i="9"/>
  <c r="I2799" i="9"/>
  <c r="I2800" i="9"/>
  <c r="I2801" i="9"/>
  <c r="I2802" i="9"/>
  <c r="I2803" i="9"/>
  <c r="I2804" i="9"/>
  <c r="I2805" i="9"/>
  <c r="I2806" i="9"/>
  <c r="I2807" i="9"/>
  <c r="I2808" i="9"/>
  <c r="I2809" i="9"/>
  <c r="I2810" i="9"/>
  <c r="I2811" i="9"/>
  <c r="I2812" i="9"/>
  <c r="I2813" i="9"/>
  <c r="I2814" i="9"/>
  <c r="I2815" i="9"/>
  <c r="I2816" i="9"/>
  <c r="I2817" i="9"/>
  <c r="I2818" i="9"/>
  <c r="I2819" i="9"/>
  <c r="I2820" i="9"/>
  <c r="I2821" i="9"/>
  <c r="I2822" i="9"/>
  <c r="I2823" i="9"/>
  <c r="I2824" i="9"/>
  <c r="I2825" i="9"/>
  <c r="I2826" i="9"/>
  <c r="I2827" i="9"/>
  <c r="I2828" i="9"/>
  <c r="I2829" i="9"/>
  <c r="I2830" i="9"/>
  <c r="I2831" i="9"/>
  <c r="I2832" i="9"/>
  <c r="I2833" i="9"/>
  <c r="I2834" i="9"/>
  <c r="I2835" i="9"/>
  <c r="I2836" i="9"/>
  <c r="I2837" i="9"/>
  <c r="I2838" i="9"/>
  <c r="I2839" i="9"/>
  <c r="I2840" i="9"/>
  <c r="I2841" i="9"/>
  <c r="I2842" i="9"/>
  <c r="I2843" i="9"/>
  <c r="I2844" i="9"/>
  <c r="I2845" i="9"/>
  <c r="I2846" i="9"/>
  <c r="I2847" i="9"/>
  <c r="I2848" i="9"/>
  <c r="I2849" i="9"/>
  <c r="I2850" i="9"/>
  <c r="I2851" i="9"/>
  <c r="I2852" i="9"/>
  <c r="I2853" i="9"/>
  <c r="I2854" i="9"/>
  <c r="I2855" i="9"/>
  <c r="I2856" i="9"/>
  <c r="I2857" i="9"/>
  <c r="I2858" i="9"/>
  <c r="I2859" i="9"/>
  <c r="I2860" i="9"/>
  <c r="I2861" i="9"/>
  <c r="I2862" i="9"/>
  <c r="I2863" i="9"/>
  <c r="I2864" i="9"/>
  <c r="I2865" i="9"/>
  <c r="I2866" i="9"/>
  <c r="I2867" i="9"/>
  <c r="I2868" i="9"/>
  <c r="I2869" i="9"/>
  <c r="I2870" i="9"/>
  <c r="I2871" i="9"/>
  <c r="I2872" i="9"/>
  <c r="I2873" i="9"/>
  <c r="I2874" i="9"/>
  <c r="I2875" i="9"/>
  <c r="I2876" i="9"/>
  <c r="I2877" i="9"/>
  <c r="I2878" i="9"/>
  <c r="I2879" i="9"/>
  <c r="I2880" i="9"/>
  <c r="I2881" i="9"/>
  <c r="I2882" i="9"/>
  <c r="I2883" i="9"/>
  <c r="I2884" i="9"/>
  <c r="I2885" i="9"/>
  <c r="I2886" i="9"/>
  <c r="I2887" i="9"/>
  <c r="I2888" i="9"/>
  <c r="I2889" i="9"/>
  <c r="I2890" i="9"/>
  <c r="I2891" i="9"/>
  <c r="I2892" i="9"/>
  <c r="I2893" i="9"/>
  <c r="I2894" i="9"/>
  <c r="I2895" i="9"/>
  <c r="I2896" i="9"/>
  <c r="I2897" i="9"/>
  <c r="I2898" i="9"/>
  <c r="I2899" i="9"/>
  <c r="I2900" i="9"/>
  <c r="I2901" i="9"/>
  <c r="I2902" i="9"/>
  <c r="I2903" i="9"/>
  <c r="I2904" i="9"/>
  <c r="I2905" i="9"/>
  <c r="I2906" i="9"/>
  <c r="I2907" i="9"/>
  <c r="I2908" i="9"/>
  <c r="I2909" i="9"/>
  <c r="I2910" i="9"/>
  <c r="I2911" i="9"/>
  <c r="I2912" i="9"/>
  <c r="I2913" i="9"/>
  <c r="I2914" i="9"/>
  <c r="I2915" i="9"/>
  <c r="I2916" i="9"/>
  <c r="I2917" i="9"/>
  <c r="I2918" i="9"/>
  <c r="I2919" i="9"/>
  <c r="I2920" i="9"/>
  <c r="I2921" i="9"/>
  <c r="I2922" i="9"/>
  <c r="I2923" i="9"/>
  <c r="I2924" i="9"/>
  <c r="I2925" i="9"/>
  <c r="I2926" i="9"/>
  <c r="I2927" i="9"/>
  <c r="I2928" i="9"/>
  <c r="I2929" i="9"/>
  <c r="I2930" i="9"/>
  <c r="I2931" i="9"/>
  <c r="I2932" i="9"/>
  <c r="I2933" i="9"/>
  <c r="I2934" i="9"/>
  <c r="I2935" i="9"/>
  <c r="I2936" i="9"/>
  <c r="I2937" i="9"/>
  <c r="I2938" i="9"/>
  <c r="I2939" i="9"/>
  <c r="I2940" i="9"/>
  <c r="I2941" i="9"/>
  <c r="I2942" i="9"/>
  <c r="I2943" i="9"/>
  <c r="I2944" i="9"/>
  <c r="I2945" i="9"/>
  <c r="I2946" i="9"/>
  <c r="I2947" i="9"/>
  <c r="I2948" i="9"/>
  <c r="I2949" i="9"/>
  <c r="I2950" i="9"/>
  <c r="I2951" i="9"/>
  <c r="I2952" i="9"/>
  <c r="I2953" i="9"/>
  <c r="I2954" i="9"/>
  <c r="I2955" i="9"/>
  <c r="I2956" i="9"/>
  <c r="I2957" i="9"/>
  <c r="I2958" i="9"/>
  <c r="I2959" i="9"/>
  <c r="I2960" i="9"/>
  <c r="I2961" i="9"/>
  <c r="I2962" i="9"/>
  <c r="I2963" i="9"/>
  <c r="I2964" i="9"/>
  <c r="I2965" i="9"/>
  <c r="I2966" i="9"/>
  <c r="I2967" i="9"/>
  <c r="I2968" i="9"/>
  <c r="I2969" i="9"/>
  <c r="I2970" i="9"/>
  <c r="I2971" i="9"/>
  <c r="I2972" i="9"/>
  <c r="I2973" i="9"/>
  <c r="I2974" i="9"/>
  <c r="I2975" i="9"/>
  <c r="I2976" i="9"/>
  <c r="I2977" i="9"/>
  <c r="I2978" i="9"/>
  <c r="I2979" i="9"/>
  <c r="I2980" i="9"/>
  <c r="I2981" i="9"/>
  <c r="I2982" i="9"/>
  <c r="I2983" i="9"/>
  <c r="I2984" i="9"/>
  <c r="I2985" i="9"/>
  <c r="I2986" i="9"/>
  <c r="I2987" i="9"/>
  <c r="I2988" i="9"/>
  <c r="I2989" i="9"/>
  <c r="I2990" i="9"/>
  <c r="I2991" i="9"/>
  <c r="I2992" i="9"/>
  <c r="I2993" i="9"/>
  <c r="I2994" i="9"/>
  <c r="I2995" i="9"/>
  <c r="I2996" i="9"/>
  <c r="I2997" i="9"/>
  <c r="I2998" i="9"/>
  <c r="I2999" i="9"/>
  <c r="I3000" i="9"/>
  <c r="I3001" i="9"/>
  <c r="I3002" i="9"/>
  <c r="I3003" i="9"/>
  <c r="I3004" i="9"/>
  <c r="I3005" i="9"/>
  <c r="I3006" i="9"/>
  <c r="I3007" i="9"/>
  <c r="I3008" i="9"/>
  <c r="I3009" i="9"/>
  <c r="I3010" i="9"/>
  <c r="I3011" i="9"/>
  <c r="I3012" i="9"/>
  <c r="I3013" i="9"/>
  <c r="I3014" i="9"/>
  <c r="I3015" i="9"/>
  <c r="I3016" i="9"/>
  <c r="I3017" i="9"/>
  <c r="I3018" i="9"/>
  <c r="I3019" i="9"/>
  <c r="I3020" i="9"/>
  <c r="I3021" i="9"/>
  <c r="I3022" i="9"/>
  <c r="I3023" i="9"/>
  <c r="I3024" i="9"/>
  <c r="I3025" i="9"/>
  <c r="I3026" i="9"/>
  <c r="I3027" i="9"/>
  <c r="I3028" i="9"/>
  <c r="I3029" i="9"/>
  <c r="I3030" i="9"/>
  <c r="I3031" i="9"/>
  <c r="I3032" i="9"/>
  <c r="I3033" i="9"/>
  <c r="I3034" i="9"/>
  <c r="I3035" i="9"/>
  <c r="I3036" i="9"/>
  <c r="I3037" i="9"/>
  <c r="I3038" i="9"/>
  <c r="I3039" i="9"/>
  <c r="I3040" i="9"/>
  <c r="I3041" i="9"/>
  <c r="I3042" i="9"/>
  <c r="I3043" i="9"/>
  <c r="I3044" i="9"/>
  <c r="I3045" i="9"/>
  <c r="I3046" i="9"/>
  <c r="I3047" i="9"/>
  <c r="I3048" i="9"/>
  <c r="I3049" i="9"/>
  <c r="I3050" i="9"/>
  <c r="I3051" i="9"/>
  <c r="I3052" i="9"/>
  <c r="I3053" i="9"/>
  <c r="I3054" i="9"/>
  <c r="I3055" i="9"/>
  <c r="I3056" i="9"/>
  <c r="I3057" i="9"/>
  <c r="I3058" i="9"/>
  <c r="I3059" i="9"/>
  <c r="I3060" i="9"/>
  <c r="I3061" i="9"/>
  <c r="I3062" i="9"/>
  <c r="I3063" i="9"/>
  <c r="I3064" i="9"/>
  <c r="I3065" i="9"/>
  <c r="I3066" i="9"/>
  <c r="I3067" i="9"/>
  <c r="I3068" i="9"/>
  <c r="I3069" i="9"/>
  <c r="I307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2" i="9"/>
  <c r="H2" i="9"/>
  <c r="H3" i="9"/>
  <c r="H4" i="9"/>
  <c r="H5" i="9"/>
  <c r="H6" i="9"/>
  <c r="H7" i="9"/>
  <c r="H8" i="9"/>
  <c r="H9" i="9"/>
  <c r="H10" i="9"/>
  <c r="H11" i="9"/>
  <c r="H12" i="9"/>
  <c r="H13" i="9"/>
  <c r="H14" i="9"/>
  <c r="H15" i="9"/>
  <c r="H16" i="9"/>
  <c r="H17" i="9"/>
  <c r="H18" i="9"/>
  <c r="H19" i="9"/>
  <c r="H20" i="9"/>
  <c r="H21" i="9"/>
  <c r="H22" i="9"/>
  <c r="H23" i="9"/>
  <c r="H24" i="9"/>
  <c r="H25" i="9"/>
  <c r="H26" i="9"/>
  <c r="H27" i="9"/>
  <c r="H28" i="9"/>
  <c r="H29" i="9"/>
  <c r="H30" i="9"/>
  <c r="H31" i="9"/>
  <c r="H32" i="9"/>
  <c r="H33" i="9"/>
  <c r="H34" i="9"/>
  <c r="H35" i="9"/>
  <c r="H36" i="9"/>
  <c r="H37" i="9"/>
  <c r="H38" i="9"/>
  <c r="H39" i="9"/>
  <c r="H40" i="9"/>
  <c r="H41" i="9"/>
  <c r="H42" i="9"/>
  <c r="H43" i="9"/>
  <c r="H44" i="9"/>
  <c r="H45" i="9"/>
  <c r="H46" i="9"/>
  <c r="H47" i="9"/>
  <c r="H48" i="9"/>
  <c r="H49" i="9"/>
  <c r="H50" i="9"/>
  <c r="H51" i="9"/>
  <c r="H52" i="9"/>
  <c r="H53" i="9"/>
  <c r="H54" i="9"/>
  <c r="H55" i="9"/>
  <c r="H56" i="9"/>
  <c r="H57" i="9"/>
  <c r="H58" i="9"/>
  <c r="H59" i="9"/>
  <c r="H60" i="9"/>
  <c r="H61" i="9"/>
  <c r="H62" i="9"/>
  <c r="H63" i="9"/>
  <c r="H64" i="9"/>
  <c r="H65" i="9"/>
  <c r="H66" i="9"/>
  <c r="H67" i="9"/>
  <c r="H68" i="9"/>
  <c r="H69" i="9"/>
  <c r="H70" i="9"/>
  <c r="H71" i="9"/>
  <c r="H72" i="9"/>
  <c r="H73" i="9"/>
  <c r="H74" i="9"/>
  <c r="H75" i="9"/>
  <c r="H76" i="9"/>
  <c r="H77" i="9"/>
  <c r="H78" i="9"/>
  <c r="H79" i="9"/>
  <c r="H80" i="9"/>
  <c r="H81" i="9"/>
  <c r="H82" i="9"/>
  <c r="H83" i="9"/>
  <c r="H84" i="9"/>
  <c r="H85" i="9"/>
  <c r="H86" i="9"/>
  <c r="H87" i="9"/>
  <c r="H88" i="9"/>
  <c r="H89" i="9"/>
  <c r="H90" i="9"/>
  <c r="H91" i="9"/>
  <c r="H92" i="9"/>
  <c r="H93" i="9"/>
  <c r="H94" i="9"/>
  <c r="H95" i="9"/>
  <c r="H96" i="9"/>
  <c r="H97" i="9"/>
  <c r="H98" i="9"/>
  <c r="H99" i="9"/>
  <c r="H100" i="9"/>
  <c r="H101" i="9"/>
  <c r="H102" i="9"/>
  <c r="H103" i="9"/>
  <c r="H104" i="9"/>
  <c r="H105" i="9"/>
  <c r="H106" i="9"/>
  <c r="H107" i="9"/>
  <c r="H108" i="9"/>
  <c r="H109" i="9"/>
  <c r="H110" i="9"/>
  <c r="H111" i="9"/>
  <c r="H112" i="9"/>
  <c r="H113"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H141" i="9"/>
  <c r="H142" i="9"/>
  <c r="H143" i="9"/>
  <c r="H144" i="9"/>
  <c r="H145" i="9"/>
  <c r="H146" i="9"/>
  <c r="H147" i="9"/>
  <c r="H148" i="9"/>
  <c r="H149" i="9"/>
  <c r="H150" i="9"/>
  <c r="H151" i="9"/>
  <c r="H152" i="9"/>
  <c r="H153" i="9"/>
  <c r="H154" i="9"/>
  <c r="H155" i="9"/>
  <c r="H156" i="9"/>
  <c r="H157" i="9"/>
  <c r="H158" i="9"/>
  <c r="H159" i="9"/>
  <c r="H160" i="9"/>
  <c r="H161" i="9"/>
  <c r="H162" i="9"/>
  <c r="H163" i="9"/>
  <c r="H164" i="9"/>
  <c r="H165" i="9"/>
  <c r="H166" i="9"/>
  <c r="H167" i="9"/>
  <c r="H168" i="9"/>
  <c r="H169" i="9"/>
  <c r="H170" i="9"/>
  <c r="H171" i="9"/>
  <c r="H172" i="9"/>
  <c r="H173" i="9"/>
  <c r="H174" i="9"/>
  <c r="H175" i="9"/>
  <c r="H176" i="9"/>
  <c r="H177" i="9"/>
  <c r="H178" i="9"/>
  <c r="H179" i="9"/>
  <c r="H180" i="9"/>
  <c r="H181" i="9"/>
  <c r="H182" i="9"/>
  <c r="H183" i="9"/>
  <c r="H184" i="9"/>
  <c r="H185" i="9"/>
  <c r="H186" i="9"/>
  <c r="H187" i="9"/>
  <c r="H188" i="9"/>
  <c r="H189" i="9"/>
  <c r="H190" i="9"/>
  <c r="H191" i="9"/>
  <c r="H192" i="9"/>
  <c r="H193" i="9"/>
  <c r="H194" i="9"/>
  <c r="H195" i="9"/>
  <c r="H196" i="9"/>
  <c r="H197" i="9"/>
  <c r="H198" i="9"/>
  <c r="H199" i="9"/>
  <c r="H200" i="9"/>
  <c r="H201" i="9"/>
  <c r="H202" i="9"/>
  <c r="H203" i="9"/>
  <c r="H204" i="9"/>
  <c r="H205" i="9"/>
  <c r="H206" i="9"/>
  <c r="H207" i="9"/>
  <c r="H208" i="9"/>
  <c r="H209" i="9"/>
  <c r="H210" i="9"/>
  <c r="H211" i="9"/>
  <c r="H212" i="9"/>
  <c r="H213" i="9"/>
  <c r="H214" i="9"/>
  <c r="H215" i="9"/>
  <c r="H216" i="9"/>
  <c r="H217" i="9"/>
  <c r="H218" i="9"/>
  <c r="H219" i="9"/>
  <c r="H220" i="9"/>
  <c r="H221" i="9"/>
  <c r="H222" i="9"/>
  <c r="H223" i="9"/>
  <c r="H224" i="9"/>
  <c r="H225" i="9"/>
  <c r="H226" i="9"/>
  <c r="H227" i="9"/>
  <c r="H228" i="9"/>
  <c r="H229" i="9"/>
  <c r="H230" i="9"/>
  <c r="H231" i="9"/>
  <c r="H232" i="9"/>
  <c r="H233" i="9"/>
  <c r="H234" i="9"/>
  <c r="H235" i="9"/>
  <c r="H236" i="9"/>
  <c r="H237" i="9"/>
  <c r="H238" i="9"/>
  <c r="H239" i="9"/>
  <c r="H240" i="9"/>
  <c r="H241" i="9"/>
  <c r="H242" i="9"/>
  <c r="H243" i="9"/>
  <c r="H244" i="9"/>
  <c r="H245" i="9"/>
  <c r="H246" i="9"/>
  <c r="H247" i="9"/>
  <c r="H248" i="9"/>
  <c r="H249" i="9"/>
  <c r="H250" i="9"/>
  <c r="H251" i="9"/>
  <c r="H252" i="9"/>
  <c r="H253" i="9"/>
  <c r="H254" i="9"/>
  <c r="H255" i="9"/>
  <c r="H256" i="9"/>
  <c r="H257" i="9"/>
  <c r="H258" i="9"/>
  <c r="H259" i="9"/>
  <c r="H260" i="9"/>
  <c r="H261" i="9"/>
  <c r="H262" i="9"/>
  <c r="H263" i="9"/>
  <c r="H264" i="9"/>
  <c r="H265" i="9"/>
  <c r="H266" i="9"/>
  <c r="H267" i="9"/>
  <c r="H268" i="9"/>
  <c r="H269" i="9"/>
  <c r="H270" i="9"/>
  <c r="H271" i="9"/>
  <c r="H272" i="9"/>
  <c r="H273" i="9"/>
  <c r="H274" i="9"/>
  <c r="H275" i="9"/>
  <c r="H276" i="9"/>
  <c r="H277" i="9"/>
  <c r="H278" i="9"/>
  <c r="H279" i="9"/>
  <c r="H280" i="9"/>
  <c r="H281" i="9"/>
  <c r="H282" i="9"/>
  <c r="H283" i="9"/>
  <c r="H284" i="9"/>
  <c r="H285" i="9"/>
  <c r="H286" i="9"/>
  <c r="H287" i="9"/>
  <c r="H288" i="9"/>
  <c r="H289" i="9"/>
  <c r="H290" i="9"/>
  <c r="H291" i="9"/>
  <c r="H292" i="9"/>
  <c r="H293" i="9"/>
  <c r="H294" i="9"/>
  <c r="H295" i="9"/>
  <c r="H296" i="9"/>
  <c r="H297" i="9"/>
  <c r="H298" i="9"/>
  <c r="H299" i="9"/>
  <c r="H300" i="9"/>
  <c r="H301" i="9"/>
  <c r="H302" i="9"/>
  <c r="H303" i="9"/>
  <c r="H304" i="9"/>
  <c r="H305" i="9"/>
  <c r="H306" i="9"/>
  <c r="H307" i="9"/>
  <c r="H308" i="9"/>
  <c r="H309" i="9"/>
  <c r="H310" i="9"/>
  <c r="H311" i="9"/>
  <c r="H312" i="9"/>
  <c r="H313" i="9"/>
  <c r="H314" i="9"/>
  <c r="H315" i="9"/>
  <c r="H316" i="9"/>
  <c r="H317" i="9"/>
  <c r="H318" i="9"/>
  <c r="H319" i="9"/>
  <c r="H320" i="9"/>
  <c r="H321" i="9"/>
  <c r="H322" i="9"/>
  <c r="H323" i="9"/>
  <c r="H324" i="9"/>
  <c r="H325" i="9"/>
  <c r="H326" i="9"/>
  <c r="H327" i="9"/>
  <c r="H328" i="9"/>
  <c r="H329" i="9"/>
  <c r="H330" i="9"/>
  <c r="H331" i="9"/>
  <c r="H332" i="9"/>
  <c r="H333" i="9"/>
  <c r="H334" i="9"/>
  <c r="H335" i="9"/>
  <c r="H336" i="9"/>
  <c r="H337" i="9"/>
  <c r="H338" i="9"/>
  <c r="H339" i="9"/>
  <c r="H340" i="9"/>
  <c r="H341" i="9"/>
  <c r="H342" i="9"/>
  <c r="H343" i="9"/>
  <c r="H344" i="9"/>
  <c r="H345" i="9"/>
  <c r="H346" i="9"/>
  <c r="H347" i="9"/>
  <c r="H348" i="9"/>
  <c r="H349" i="9"/>
  <c r="H350" i="9"/>
  <c r="H351" i="9"/>
  <c r="H352" i="9"/>
  <c r="H353" i="9"/>
  <c r="H354" i="9"/>
  <c r="H355" i="9"/>
  <c r="H356" i="9"/>
  <c r="H357" i="9"/>
  <c r="H358" i="9"/>
  <c r="H359" i="9"/>
  <c r="H360" i="9"/>
  <c r="H361" i="9"/>
  <c r="H362" i="9"/>
  <c r="H363" i="9"/>
  <c r="H364" i="9"/>
  <c r="H365" i="9"/>
  <c r="H366" i="9"/>
  <c r="H367" i="9"/>
  <c r="H368" i="9"/>
  <c r="H369" i="9"/>
  <c r="H370" i="9"/>
  <c r="H371" i="9"/>
  <c r="H372" i="9"/>
  <c r="H373" i="9"/>
  <c r="H374" i="9"/>
  <c r="H375" i="9"/>
  <c r="H376" i="9"/>
  <c r="H377" i="9"/>
  <c r="H378" i="9"/>
  <c r="H379" i="9"/>
  <c r="H380" i="9"/>
  <c r="H381" i="9"/>
  <c r="H382" i="9"/>
  <c r="H383" i="9"/>
  <c r="H384" i="9"/>
  <c r="H385" i="9"/>
  <c r="H386" i="9"/>
  <c r="H387" i="9"/>
  <c r="H388" i="9"/>
  <c r="H389" i="9"/>
  <c r="H390" i="9"/>
  <c r="H391" i="9"/>
  <c r="H392" i="9"/>
  <c r="H393" i="9"/>
  <c r="H394" i="9"/>
  <c r="H395" i="9"/>
  <c r="H396" i="9"/>
  <c r="H397" i="9"/>
  <c r="H398" i="9"/>
  <c r="H399" i="9"/>
  <c r="H400" i="9"/>
  <c r="H401" i="9"/>
  <c r="H402" i="9"/>
  <c r="H403" i="9"/>
  <c r="H404" i="9"/>
  <c r="H405" i="9"/>
  <c r="H406" i="9"/>
  <c r="H407" i="9"/>
  <c r="H408" i="9"/>
  <c r="H409" i="9"/>
  <c r="H410" i="9"/>
  <c r="H411" i="9"/>
  <c r="H412" i="9"/>
  <c r="H413" i="9"/>
  <c r="H414" i="9"/>
  <c r="H415" i="9"/>
  <c r="H416" i="9"/>
  <c r="H417" i="9"/>
  <c r="H418" i="9"/>
  <c r="H419" i="9"/>
  <c r="H420" i="9"/>
  <c r="H421" i="9"/>
  <c r="H422" i="9"/>
  <c r="H423" i="9"/>
  <c r="H424" i="9"/>
  <c r="H425" i="9"/>
  <c r="H426" i="9"/>
  <c r="H427" i="9"/>
  <c r="H428" i="9"/>
  <c r="H429" i="9"/>
  <c r="H430" i="9"/>
  <c r="H431" i="9"/>
  <c r="H432" i="9"/>
  <c r="H433" i="9"/>
  <c r="H434" i="9"/>
  <c r="H435" i="9"/>
  <c r="H436" i="9"/>
  <c r="H437" i="9"/>
  <c r="H438" i="9"/>
  <c r="H439" i="9"/>
  <c r="H440" i="9"/>
  <c r="H441" i="9"/>
  <c r="H442" i="9"/>
  <c r="H443" i="9"/>
  <c r="H444" i="9"/>
  <c r="H445" i="9"/>
  <c r="H446" i="9"/>
  <c r="H447" i="9"/>
  <c r="H448" i="9"/>
  <c r="H449" i="9"/>
  <c r="H450" i="9"/>
  <c r="H451" i="9"/>
  <c r="H452" i="9"/>
  <c r="H453" i="9"/>
  <c r="H454" i="9"/>
  <c r="H455" i="9"/>
  <c r="H456" i="9"/>
  <c r="H457" i="9"/>
  <c r="H458" i="9"/>
  <c r="H459" i="9"/>
  <c r="H460" i="9"/>
  <c r="H461" i="9"/>
  <c r="H462" i="9"/>
  <c r="H463" i="9"/>
  <c r="H464" i="9"/>
  <c r="H465" i="9"/>
  <c r="H466" i="9"/>
  <c r="H467" i="9"/>
  <c r="H468" i="9"/>
  <c r="H469" i="9"/>
  <c r="H470" i="9"/>
  <c r="H471" i="9"/>
  <c r="H472" i="9"/>
  <c r="H473" i="9"/>
  <c r="H474" i="9"/>
  <c r="H475" i="9"/>
  <c r="H476" i="9"/>
  <c r="H477" i="9"/>
  <c r="H478" i="9"/>
  <c r="H479" i="9"/>
  <c r="H480" i="9"/>
  <c r="H481" i="9"/>
  <c r="H482" i="9"/>
  <c r="H483" i="9"/>
  <c r="H484" i="9"/>
  <c r="H485" i="9"/>
  <c r="H486" i="9"/>
  <c r="H487" i="9"/>
  <c r="H488" i="9"/>
  <c r="H489" i="9"/>
  <c r="H490" i="9"/>
  <c r="H491" i="9"/>
  <c r="H492" i="9"/>
  <c r="H493" i="9"/>
  <c r="H494" i="9"/>
  <c r="H495" i="9"/>
  <c r="H496" i="9"/>
  <c r="H497" i="9"/>
  <c r="H498" i="9"/>
  <c r="H499" i="9"/>
  <c r="H500" i="9"/>
  <c r="H501" i="9"/>
  <c r="H502" i="9"/>
  <c r="H503" i="9"/>
  <c r="H504" i="9"/>
  <c r="H505" i="9"/>
  <c r="H506" i="9"/>
  <c r="H507" i="9"/>
  <c r="H508" i="9"/>
  <c r="H509" i="9"/>
  <c r="H510" i="9"/>
  <c r="H511" i="9"/>
  <c r="H512" i="9"/>
  <c r="H513" i="9"/>
  <c r="H514" i="9"/>
  <c r="H515" i="9"/>
  <c r="H516" i="9"/>
  <c r="H517" i="9"/>
  <c r="H518" i="9"/>
  <c r="H519" i="9"/>
  <c r="H520" i="9"/>
  <c r="H521" i="9"/>
  <c r="H522" i="9"/>
  <c r="H523" i="9"/>
  <c r="H524" i="9"/>
  <c r="H525" i="9"/>
  <c r="H526" i="9"/>
  <c r="H527" i="9"/>
  <c r="H528" i="9"/>
  <c r="H529" i="9"/>
  <c r="H530" i="9"/>
  <c r="H531" i="9"/>
  <c r="H532" i="9"/>
  <c r="H533" i="9"/>
  <c r="H534" i="9"/>
  <c r="H535" i="9"/>
  <c r="H536" i="9"/>
  <c r="H537" i="9"/>
  <c r="H538" i="9"/>
  <c r="H539" i="9"/>
  <c r="H540" i="9"/>
  <c r="H541" i="9"/>
  <c r="H542" i="9"/>
  <c r="H543" i="9"/>
  <c r="H544" i="9"/>
  <c r="H545" i="9"/>
  <c r="H546" i="9"/>
  <c r="H547" i="9"/>
  <c r="H548" i="9"/>
  <c r="H549" i="9"/>
  <c r="H550" i="9"/>
  <c r="H551" i="9"/>
  <c r="H552" i="9"/>
  <c r="H553" i="9"/>
  <c r="H554" i="9"/>
  <c r="H555" i="9"/>
  <c r="H556" i="9"/>
  <c r="H557" i="9"/>
  <c r="H558" i="9"/>
  <c r="H559" i="9"/>
  <c r="H560" i="9"/>
  <c r="H561" i="9"/>
  <c r="H562" i="9"/>
  <c r="H563" i="9"/>
  <c r="H564" i="9"/>
  <c r="H565" i="9"/>
  <c r="H566" i="9"/>
  <c r="H567" i="9"/>
  <c r="H568" i="9"/>
  <c r="H569" i="9"/>
  <c r="H570" i="9"/>
  <c r="H571" i="9"/>
  <c r="H572" i="9"/>
  <c r="H573" i="9"/>
  <c r="H574" i="9"/>
  <c r="H575" i="9"/>
  <c r="H576" i="9"/>
  <c r="H577" i="9"/>
  <c r="H578" i="9"/>
  <c r="H579" i="9"/>
  <c r="H580" i="9"/>
  <c r="H581" i="9"/>
  <c r="H582" i="9"/>
  <c r="H583" i="9"/>
  <c r="H584" i="9"/>
  <c r="H585" i="9"/>
  <c r="H586" i="9"/>
  <c r="H587" i="9"/>
  <c r="H588" i="9"/>
  <c r="H589" i="9"/>
  <c r="H590" i="9"/>
  <c r="H591" i="9"/>
  <c r="H592" i="9"/>
  <c r="H593" i="9"/>
  <c r="H594" i="9"/>
  <c r="H595" i="9"/>
  <c r="H596" i="9"/>
  <c r="H597" i="9"/>
  <c r="H598" i="9"/>
  <c r="H599" i="9"/>
  <c r="H600" i="9"/>
  <c r="H601" i="9"/>
  <c r="H602" i="9"/>
  <c r="H603" i="9"/>
  <c r="H604" i="9"/>
  <c r="H605" i="9"/>
  <c r="H606" i="9"/>
  <c r="H607" i="9"/>
  <c r="H608" i="9"/>
  <c r="H609" i="9"/>
  <c r="H610" i="9"/>
  <c r="H611" i="9"/>
  <c r="H612" i="9"/>
  <c r="H613" i="9"/>
  <c r="H614" i="9"/>
  <c r="H615" i="9"/>
  <c r="H616" i="9"/>
  <c r="H617" i="9"/>
  <c r="H618" i="9"/>
  <c r="H619" i="9"/>
  <c r="H620" i="9"/>
  <c r="H621" i="9"/>
  <c r="H622" i="9"/>
  <c r="H623" i="9"/>
  <c r="H624" i="9"/>
  <c r="H625" i="9"/>
  <c r="H626" i="9"/>
  <c r="H627" i="9"/>
  <c r="H628" i="9"/>
  <c r="H629" i="9"/>
  <c r="H630" i="9"/>
  <c r="H631" i="9"/>
  <c r="H632" i="9"/>
  <c r="H633" i="9"/>
  <c r="H634" i="9"/>
  <c r="H635" i="9"/>
  <c r="H636" i="9"/>
  <c r="H637" i="9"/>
  <c r="H638" i="9"/>
  <c r="H639" i="9"/>
  <c r="H640" i="9"/>
  <c r="H641" i="9"/>
  <c r="H642" i="9"/>
  <c r="H643" i="9"/>
  <c r="H644" i="9"/>
  <c r="H645" i="9"/>
  <c r="H646" i="9"/>
  <c r="H647" i="9"/>
  <c r="H648" i="9"/>
  <c r="H649" i="9"/>
  <c r="H650" i="9"/>
  <c r="H651" i="9"/>
  <c r="H652" i="9"/>
  <c r="H653" i="9"/>
  <c r="H654" i="9"/>
  <c r="H655" i="9"/>
  <c r="H656" i="9"/>
  <c r="H657" i="9"/>
  <c r="H658" i="9"/>
  <c r="H659" i="9"/>
  <c r="H660" i="9"/>
  <c r="H661" i="9"/>
  <c r="H662" i="9"/>
  <c r="H663" i="9"/>
  <c r="H664" i="9"/>
  <c r="H665" i="9"/>
  <c r="H666" i="9"/>
  <c r="H667" i="9"/>
  <c r="H668" i="9"/>
  <c r="H669" i="9"/>
  <c r="H670" i="9"/>
  <c r="H671" i="9"/>
  <c r="H672" i="9"/>
  <c r="H673" i="9"/>
  <c r="H674" i="9"/>
  <c r="H675" i="9"/>
  <c r="H676" i="9"/>
  <c r="H677" i="9"/>
  <c r="H678" i="9"/>
  <c r="H679" i="9"/>
  <c r="H680" i="9"/>
  <c r="H681" i="9"/>
  <c r="H682" i="9"/>
  <c r="H683" i="9"/>
  <c r="H684" i="9"/>
  <c r="H685" i="9"/>
  <c r="H686" i="9"/>
  <c r="H687" i="9"/>
  <c r="H688" i="9"/>
  <c r="H689" i="9"/>
  <c r="H690" i="9"/>
  <c r="H691" i="9"/>
  <c r="H692" i="9"/>
  <c r="H693" i="9"/>
  <c r="H694" i="9"/>
  <c r="H695" i="9"/>
  <c r="H696" i="9"/>
  <c r="H697" i="9"/>
  <c r="H698" i="9"/>
  <c r="H699" i="9"/>
  <c r="H700" i="9"/>
  <c r="H701" i="9"/>
  <c r="H702" i="9"/>
  <c r="H703" i="9"/>
  <c r="H704" i="9"/>
  <c r="H705" i="9"/>
  <c r="H706" i="9"/>
  <c r="H707" i="9"/>
  <c r="H708" i="9"/>
  <c r="H709" i="9"/>
  <c r="H710" i="9"/>
  <c r="H711" i="9"/>
  <c r="H712" i="9"/>
  <c r="H713" i="9"/>
  <c r="H714" i="9"/>
  <c r="H715" i="9"/>
  <c r="H716" i="9"/>
  <c r="H717" i="9"/>
  <c r="H718" i="9"/>
  <c r="H719" i="9"/>
  <c r="H720" i="9"/>
  <c r="H721" i="9"/>
  <c r="H722" i="9"/>
  <c r="H723" i="9"/>
  <c r="H724" i="9"/>
  <c r="H725" i="9"/>
  <c r="H726" i="9"/>
  <c r="H727" i="9"/>
  <c r="H728" i="9"/>
  <c r="H729" i="9"/>
  <c r="H730" i="9"/>
  <c r="H731" i="9"/>
  <c r="H732" i="9"/>
  <c r="H733" i="9"/>
  <c r="H734" i="9"/>
  <c r="H735" i="9"/>
  <c r="H736" i="9"/>
  <c r="H737" i="9"/>
  <c r="H738" i="9"/>
  <c r="H739" i="9"/>
  <c r="H740" i="9"/>
  <c r="H741" i="9"/>
  <c r="H742" i="9"/>
  <c r="H743" i="9"/>
  <c r="H744" i="9"/>
  <c r="H745" i="9"/>
  <c r="H746" i="9"/>
  <c r="H747" i="9"/>
  <c r="H748" i="9"/>
  <c r="H749" i="9"/>
  <c r="H750" i="9"/>
  <c r="H751" i="9"/>
  <c r="H752" i="9"/>
  <c r="H753" i="9"/>
  <c r="H754" i="9"/>
  <c r="H755" i="9"/>
  <c r="H756" i="9"/>
  <c r="H757" i="9"/>
  <c r="H758" i="9"/>
  <c r="H759" i="9"/>
  <c r="H760" i="9"/>
  <c r="H761" i="9"/>
  <c r="H762" i="9"/>
  <c r="H763" i="9"/>
  <c r="H764" i="9"/>
  <c r="H765" i="9"/>
  <c r="H766" i="9"/>
  <c r="H767" i="9"/>
  <c r="H768" i="9"/>
  <c r="H769" i="9"/>
  <c r="H770" i="9"/>
  <c r="H771" i="9"/>
  <c r="H772" i="9"/>
  <c r="H773" i="9"/>
  <c r="H774" i="9"/>
  <c r="H775" i="9"/>
  <c r="H776" i="9"/>
  <c r="H777" i="9"/>
  <c r="H778" i="9"/>
  <c r="H779" i="9"/>
  <c r="H780" i="9"/>
  <c r="H781" i="9"/>
  <c r="H782" i="9"/>
  <c r="H783" i="9"/>
  <c r="H784" i="9"/>
  <c r="H785" i="9"/>
  <c r="H786" i="9"/>
  <c r="H787" i="9"/>
  <c r="H788" i="9"/>
  <c r="H789" i="9"/>
  <c r="H790" i="9"/>
  <c r="H791" i="9"/>
  <c r="H792" i="9"/>
  <c r="H793" i="9"/>
  <c r="H794" i="9"/>
  <c r="H795" i="9"/>
  <c r="H796" i="9"/>
  <c r="H797" i="9"/>
  <c r="H798" i="9"/>
  <c r="H799" i="9"/>
  <c r="H800" i="9"/>
  <c r="H801" i="9"/>
  <c r="H802" i="9"/>
  <c r="H803" i="9"/>
  <c r="H804" i="9"/>
  <c r="H805" i="9"/>
  <c r="H806" i="9"/>
  <c r="H807" i="9"/>
  <c r="H808" i="9"/>
  <c r="H809" i="9"/>
  <c r="H810" i="9"/>
  <c r="H811" i="9"/>
  <c r="H812" i="9"/>
  <c r="H813" i="9"/>
  <c r="H814" i="9"/>
  <c r="H815" i="9"/>
  <c r="H816" i="9"/>
  <c r="H817" i="9"/>
  <c r="H818" i="9"/>
  <c r="H819" i="9"/>
  <c r="H820" i="9"/>
  <c r="H821" i="9"/>
  <c r="H822" i="9"/>
  <c r="H823" i="9"/>
  <c r="H824" i="9"/>
  <c r="H825" i="9"/>
  <c r="H826" i="9"/>
  <c r="H827" i="9"/>
  <c r="H828" i="9"/>
  <c r="H829" i="9"/>
  <c r="H830" i="9"/>
  <c r="H831" i="9"/>
  <c r="H832" i="9"/>
  <c r="H833" i="9"/>
  <c r="H834" i="9"/>
  <c r="H835" i="9"/>
  <c r="H836" i="9"/>
  <c r="H837" i="9"/>
  <c r="H838" i="9"/>
  <c r="H839" i="9"/>
  <c r="H840" i="9"/>
  <c r="H841" i="9"/>
  <c r="H842" i="9"/>
  <c r="H843" i="9"/>
  <c r="H844" i="9"/>
  <c r="H845" i="9"/>
  <c r="H846" i="9"/>
  <c r="H847" i="9"/>
  <c r="H848" i="9"/>
  <c r="H849" i="9"/>
  <c r="H850" i="9"/>
  <c r="H851" i="9"/>
  <c r="H852" i="9"/>
  <c r="H853" i="9"/>
  <c r="H854" i="9"/>
  <c r="H855" i="9"/>
  <c r="H856" i="9"/>
  <c r="H857" i="9"/>
  <c r="H858" i="9"/>
  <c r="H859" i="9"/>
  <c r="H860" i="9"/>
  <c r="H861" i="9"/>
  <c r="H862" i="9"/>
  <c r="H863" i="9"/>
  <c r="H864" i="9"/>
  <c r="H865" i="9"/>
  <c r="H866" i="9"/>
  <c r="H867" i="9"/>
  <c r="H868" i="9"/>
  <c r="H869" i="9"/>
  <c r="H870" i="9"/>
  <c r="H871" i="9"/>
  <c r="H872" i="9"/>
  <c r="H873" i="9"/>
  <c r="H874" i="9"/>
  <c r="H875" i="9"/>
  <c r="H876" i="9"/>
  <c r="H877" i="9"/>
  <c r="H878" i="9"/>
  <c r="H879" i="9"/>
  <c r="H880" i="9"/>
  <c r="H881" i="9"/>
  <c r="H882" i="9"/>
  <c r="H883" i="9"/>
  <c r="H884" i="9"/>
  <c r="H885" i="9"/>
  <c r="H886" i="9"/>
  <c r="H887" i="9"/>
  <c r="H888" i="9"/>
  <c r="H889" i="9"/>
  <c r="H890" i="9"/>
  <c r="H891" i="9"/>
  <c r="H892" i="9"/>
  <c r="H893" i="9"/>
  <c r="H894" i="9"/>
  <c r="H895" i="9"/>
  <c r="H896" i="9"/>
  <c r="H897" i="9"/>
  <c r="H898" i="9"/>
  <c r="H899" i="9"/>
  <c r="H900" i="9"/>
  <c r="H901" i="9"/>
  <c r="H902" i="9"/>
  <c r="H903" i="9"/>
  <c r="H904" i="9"/>
  <c r="H905" i="9"/>
  <c r="H906" i="9"/>
  <c r="H907" i="9"/>
  <c r="H908" i="9"/>
  <c r="H909" i="9"/>
  <c r="H910" i="9"/>
  <c r="H911" i="9"/>
  <c r="H912" i="9"/>
  <c r="H913" i="9"/>
  <c r="H914" i="9"/>
  <c r="H915" i="9"/>
  <c r="H916" i="9"/>
  <c r="H917" i="9"/>
  <c r="H918" i="9"/>
  <c r="H919" i="9"/>
  <c r="H920" i="9"/>
  <c r="H921" i="9"/>
  <c r="H922" i="9"/>
  <c r="H923" i="9"/>
  <c r="H924" i="9"/>
  <c r="H925" i="9"/>
  <c r="H926" i="9"/>
  <c r="H927" i="9"/>
  <c r="H928" i="9"/>
  <c r="H929" i="9"/>
  <c r="H930" i="9"/>
  <c r="H931" i="9"/>
  <c r="H932" i="9"/>
  <c r="H933" i="9"/>
  <c r="H934" i="9"/>
  <c r="H935" i="9"/>
  <c r="H936" i="9"/>
  <c r="H937" i="9"/>
  <c r="H938" i="9"/>
  <c r="H939" i="9"/>
  <c r="H940" i="9"/>
  <c r="H941" i="9"/>
  <c r="H942" i="9"/>
  <c r="H943" i="9"/>
  <c r="H944" i="9"/>
  <c r="H945" i="9"/>
  <c r="H946" i="9"/>
  <c r="H947" i="9"/>
  <c r="H948" i="9"/>
  <c r="H949" i="9"/>
  <c r="H950" i="9"/>
  <c r="H951" i="9"/>
  <c r="H952" i="9"/>
  <c r="H953" i="9"/>
  <c r="H954" i="9"/>
  <c r="H955" i="9"/>
  <c r="H956" i="9"/>
  <c r="H957" i="9"/>
  <c r="H958" i="9"/>
  <c r="H959" i="9"/>
  <c r="H960" i="9"/>
  <c r="H961" i="9"/>
  <c r="H962" i="9"/>
  <c r="H963" i="9"/>
  <c r="H964" i="9"/>
  <c r="H965" i="9"/>
  <c r="H966" i="9"/>
  <c r="H967" i="9"/>
  <c r="H968" i="9"/>
  <c r="H969" i="9"/>
  <c r="H970" i="9"/>
  <c r="H971" i="9"/>
  <c r="H972" i="9"/>
  <c r="H973" i="9"/>
  <c r="H974" i="9"/>
  <c r="H975" i="9"/>
  <c r="H976" i="9"/>
  <c r="H977" i="9"/>
  <c r="H978" i="9"/>
  <c r="H979" i="9"/>
  <c r="H980" i="9"/>
  <c r="H981" i="9"/>
  <c r="H982" i="9"/>
  <c r="H983" i="9"/>
  <c r="H984" i="9"/>
  <c r="H985" i="9"/>
  <c r="H986" i="9"/>
  <c r="H987" i="9"/>
  <c r="H988" i="9"/>
  <c r="H989" i="9"/>
  <c r="H990" i="9"/>
  <c r="H991" i="9"/>
  <c r="H992" i="9"/>
  <c r="H993" i="9"/>
  <c r="H994" i="9"/>
  <c r="H995" i="9"/>
  <c r="H996" i="9"/>
  <c r="H997" i="9"/>
  <c r="H998" i="9"/>
  <c r="H999" i="9"/>
  <c r="H1000" i="9"/>
  <c r="H1001" i="9"/>
  <c r="H1002" i="9"/>
  <c r="H1003" i="9"/>
  <c r="H1004" i="9"/>
  <c r="H1005" i="9"/>
  <c r="H1006" i="9"/>
  <c r="H1007" i="9"/>
  <c r="H1008" i="9"/>
  <c r="H1009" i="9"/>
  <c r="H1010" i="9"/>
  <c r="H1011" i="9"/>
  <c r="H1012" i="9"/>
  <c r="H1013" i="9"/>
  <c r="H1014" i="9"/>
  <c r="H1015" i="9"/>
  <c r="H1016" i="9"/>
  <c r="H1017" i="9"/>
  <c r="H1018" i="9"/>
  <c r="H1019" i="9"/>
  <c r="H1020" i="9"/>
  <c r="H1021" i="9"/>
  <c r="H1022" i="9"/>
  <c r="H1023" i="9"/>
  <c r="H1024" i="9"/>
  <c r="H1025" i="9"/>
  <c r="H1026" i="9"/>
  <c r="H1027" i="9"/>
  <c r="H1028" i="9"/>
  <c r="H1029" i="9"/>
  <c r="H1030" i="9"/>
  <c r="H1031" i="9"/>
  <c r="H1032" i="9"/>
  <c r="H1033" i="9"/>
  <c r="H1034" i="9"/>
  <c r="H1035" i="9"/>
  <c r="H1036" i="9"/>
  <c r="H1037" i="9"/>
  <c r="H1038" i="9"/>
  <c r="H1039" i="9"/>
  <c r="H1040" i="9"/>
  <c r="H1041" i="9"/>
  <c r="H1042" i="9"/>
  <c r="H1043" i="9"/>
  <c r="H1044" i="9"/>
  <c r="H1045" i="9"/>
  <c r="H1046" i="9"/>
  <c r="H1047" i="9"/>
  <c r="H1048" i="9"/>
  <c r="H1049" i="9"/>
  <c r="H1050" i="9"/>
  <c r="H1051" i="9"/>
  <c r="H1052" i="9"/>
  <c r="H1053" i="9"/>
  <c r="H1054" i="9"/>
  <c r="H1055" i="9"/>
  <c r="H1056" i="9"/>
  <c r="H1057" i="9"/>
  <c r="H1058" i="9"/>
  <c r="H1059" i="9"/>
  <c r="H1060" i="9"/>
  <c r="H1061" i="9"/>
  <c r="H1062" i="9"/>
  <c r="H1063" i="9"/>
  <c r="H1064" i="9"/>
  <c r="H1065" i="9"/>
  <c r="H1066" i="9"/>
  <c r="H1067" i="9"/>
  <c r="H1068" i="9"/>
  <c r="H1069" i="9"/>
  <c r="H1070" i="9"/>
  <c r="H1071" i="9"/>
  <c r="H1072" i="9"/>
  <c r="H1073" i="9"/>
  <c r="H1074" i="9"/>
  <c r="H1075" i="9"/>
  <c r="H1076" i="9"/>
  <c r="H1077" i="9"/>
  <c r="H1078" i="9"/>
  <c r="H1079" i="9"/>
  <c r="H1080" i="9"/>
  <c r="H1081" i="9"/>
  <c r="H1082" i="9"/>
  <c r="H1083" i="9"/>
  <c r="H1084" i="9"/>
  <c r="H1085" i="9"/>
  <c r="H1086" i="9"/>
  <c r="H1087" i="9"/>
  <c r="H1088" i="9"/>
  <c r="H1089" i="9"/>
  <c r="H1090" i="9"/>
  <c r="H1091" i="9"/>
  <c r="H1092" i="9"/>
  <c r="H1093" i="9"/>
  <c r="H1094" i="9"/>
  <c r="H1095" i="9"/>
  <c r="H1096" i="9"/>
  <c r="H1097" i="9"/>
  <c r="H1098" i="9"/>
  <c r="H1099" i="9"/>
  <c r="H1100" i="9"/>
  <c r="H1101" i="9"/>
  <c r="H1102" i="9"/>
  <c r="H1103" i="9"/>
  <c r="H1104" i="9"/>
  <c r="H1105" i="9"/>
  <c r="H1106" i="9"/>
  <c r="H1107" i="9"/>
  <c r="H1108" i="9"/>
  <c r="H1109" i="9"/>
  <c r="H1110" i="9"/>
  <c r="H1111" i="9"/>
  <c r="H1112" i="9"/>
  <c r="H1113" i="9"/>
  <c r="H1114" i="9"/>
  <c r="H1115" i="9"/>
  <c r="H1116" i="9"/>
  <c r="H1117" i="9"/>
  <c r="H1118" i="9"/>
  <c r="H1119" i="9"/>
  <c r="H1120" i="9"/>
  <c r="H1121" i="9"/>
  <c r="H1122" i="9"/>
  <c r="H1123" i="9"/>
  <c r="H1124" i="9"/>
  <c r="H1125" i="9"/>
  <c r="H1126" i="9"/>
  <c r="H1127" i="9"/>
  <c r="H1128" i="9"/>
  <c r="H1129" i="9"/>
  <c r="H1130" i="9"/>
  <c r="H1131" i="9"/>
  <c r="H1132" i="9"/>
  <c r="H1133" i="9"/>
  <c r="H1134" i="9"/>
  <c r="H1135" i="9"/>
  <c r="H1136" i="9"/>
  <c r="H1137" i="9"/>
  <c r="H1138" i="9"/>
  <c r="H1139" i="9"/>
  <c r="H1140" i="9"/>
  <c r="H1141" i="9"/>
  <c r="H1142" i="9"/>
  <c r="H1143" i="9"/>
  <c r="H1144" i="9"/>
  <c r="H1145" i="9"/>
  <c r="H1146" i="9"/>
  <c r="H1147" i="9"/>
  <c r="H1148" i="9"/>
  <c r="H1149" i="9"/>
  <c r="H1150" i="9"/>
  <c r="H1151" i="9"/>
  <c r="H1152" i="9"/>
  <c r="H1153" i="9"/>
  <c r="H1154" i="9"/>
  <c r="H1155" i="9"/>
  <c r="H1156" i="9"/>
  <c r="H1157" i="9"/>
  <c r="H1158" i="9"/>
  <c r="H1159" i="9"/>
  <c r="H1160" i="9"/>
  <c r="H1161" i="9"/>
  <c r="H1162" i="9"/>
  <c r="H1163" i="9"/>
  <c r="H1164" i="9"/>
  <c r="H1165" i="9"/>
  <c r="H1166" i="9"/>
  <c r="H1167" i="9"/>
  <c r="H1168" i="9"/>
  <c r="H1169" i="9"/>
  <c r="H1170" i="9"/>
  <c r="H1171" i="9"/>
  <c r="H1172" i="9"/>
  <c r="H1173" i="9"/>
  <c r="H1174" i="9"/>
  <c r="H1175" i="9"/>
  <c r="H1176" i="9"/>
  <c r="H1177" i="9"/>
  <c r="H1178" i="9"/>
  <c r="H1179" i="9"/>
  <c r="H1180" i="9"/>
  <c r="H1181" i="9"/>
  <c r="H1182" i="9"/>
  <c r="H1183" i="9"/>
  <c r="H1184" i="9"/>
  <c r="H1185" i="9"/>
  <c r="H1186" i="9"/>
  <c r="H1187" i="9"/>
  <c r="H1188" i="9"/>
  <c r="H1189" i="9"/>
  <c r="H1190" i="9"/>
  <c r="H1191" i="9"/>
  <c r="H1192" i="9"/>
  <c r="H1193" i="9"/>
  <c r="H1194" i="9"/>
  <c r="H1195" i="9"/>
  <c r="H1196" i="9"/>
  <c r="H1197" i="9"/>
  <c r="H1198" i="9"/>
  <c r="H1199" i="9"/>
  <c r="H1200" i="9"/>
  <c r="H1201" i="9"/>
  <c r="H1202" i="9"/>
  <c r="H1203" i="9"/>
  <c r="H1204" i="9"/>
  <c r="H1205" i="9"/>
  <c r="H1206" i="9"/>
  <c r="H1207" i="9"/>
  <c r="H1208" i="9"/>
  <c r="H1209" i="9"/>
  <c r="H1210" i="9"/>
  <c r="H1211" i="9"/>
  <c r="H1212" i="9"/>
  <c r="H1213" i="9"/>
  <c r="H1214" i="9"/>
  <c r="H1215" i="9"/>
  <c r="H1216" i="9"/>
  <c r="H1217" i="9"/>
  <c r="H1218" i="9"/>
  <c r="H1219" i="9"/>
  <c r="H1220" i="9"/>
  <c r="H1221" i="9"/>
  <c r="H1222" i="9"/>
  <c r="H1223" i="9"/>
  <c r="H1224" i="9"/>
  <c r="H1225" i="9"/>
  <c r="H1226" i="9"/>
  <c r="H1227" i="9"/>
  <c r="H1228" i="9"/>
  <c r="H1229" i="9"/>
  <c r="H1230" i="9"/>
  <c r="H1231" i="9"/>
  <c r="H1232" i="9"/>
  <c r="H1233" i="9"/>
  <c r="H1234" i="9"/>
  <c r="H1235" i="9"/>
  <c r="H1236" i="9"/>
  <c r="H1237" i="9"/>
  <c r="H1238" i="9"/>
  <c r="H1239" i="9"/>
  <c r="H1240" i="9"/>
  <c r="H1241" i="9"/>
  <c r="H1242" i="9"/>
  <c r="H1243" i="9"/>
  <c r="H1244" i="9"/>
  <c r="H1245" i="9"/>
  <c r="H1246" i="9"/>
  <c r="H1247" i="9"/>
  <c r="H1248" i="9"/>
  <c r="H1249" i="9"/>
  <c r="H1250" i="9"/>
  <c r="H1251" i="9"/>
  <c r="H1252" i="9"/>
  <c r="H1253" i="9"/>
  <c r="H1254" i="9"/>
  <c r="H1255" i="9"/>
  <c r="H1256" i="9"/>
  <c r="H1257" i="9"/>
  <c r="H1258" i="9"/>
  <c r="H1259" i="9"/>
  <c r="H1260" i="9"/>
  <c r="H1261" i="9"/>
  <c r="H1262" i="9"/>
  <c r="H1263" i="9"/>
  <c r="H1264" i="9"/>
  <c r="H1265" i="9"/>
  <c r="H1266" i="9"/>
  <c r="H1267" i="9"/>
  <c r="H1268" i="9"/>
  <c r="H1269" i="9"/>
  <c r="H1270" i="9"/>
  <c r="H1271" i="9"/>
  <c r="H1272" i="9"/>
  <c r="H1273" i="9"/>
  <c r="H1274" i="9"/>
  <c r="H1275" i="9"/>
  <c r="H1276" i="9"/>
  <c r="H1277" i="9"/>
  <c r="H1278" i="9"/>
  <c r="H1279" i="9"/>
  <c r="H1280" i="9"/>
  <c r="H1281" i="9"/>
  <c r="H1282" i="9"/>
  <c r="H1283" i="9"/>
  <c r="H1284" i="9"/>
  <c r="H1285" i="9"/>
  <c r="H1286" i="9"/>
  <c r="H1287" i="9"/>
  <c r="H1288" i="9"/>
  <c r="H1289" i="9"/>
  <c r="H1290" i="9"/>
  <c r="H1291" i="9"/>
  <c r="H1292" i="9"/>
  <c r="H1293" i="9"/>
  <c r="H1294" i="9"/>
  <c r="H1295" i="9"/>
  <c r="H1296" i="9"/>
  <c r="H1297" i="9"/>
  <c r="H1298" i="9"/>
  <c r="H1299" i="9"/>
  <c r="H1300" i="9"/>
  <c r="H1301" i="9"/>
  <c r="H1302" i="9"/>
  <c r="H1303" i="9"/>
  <c r="H1304" i="9"/>
  <c r="H1305" i="9"/>
  <c r="H1306" i="9"/>
  <c r="H1307" i="9"/>
  <c r="H1308" i="9"/>
  <c r="H1309" i="9"/>
  <c r="H1310" i="9"/>
  <c r="H1311" i="9"/>
  <c r="H1312" i="9"/>
  <c r="H1313" i="9"/>
  <c r="H1314" i="9"/>
  <c r="H1315" i="9"/>
  <c r="H1316" i="9"/>
  <c r="H1317" i="9"/>
  <c r="H1318" i="9"/>
  <c r="H1319" i="9"/>
  <c r="H1320" i="9"/>
  <c r="H1321" i="9"/>
  <c r="H1322" i="9"/>
  <c r="H1323" i="9"/>
  <c r="H1324" i="9"/>
  <c r="H1325" i="9"/>
  <c r="H1326" i="9"/>
  <c r="H1327" i="9"/>
  <c r="H1328" i="9"/>
  <c r="H1329" i="9"/>
  <c r="H1330" i="9"/>
  <c r="H1331" i="9"/>
  <c r="H1332" i="9"/>
  <c r="H1333" i="9"/>
  <c r="H1334" i="9"/>
  <c r="H1335" i="9"/>
  <c r="H1336" i="9"/>
  <c r="H1337" i="9"/>
  <c r="H1338" i="9"/>
  <c r="H1339" i="9"/>
  <c r="H1340" i="9"/>
  <c r="H1341" i="9"/>
  <c r="H1342" i="9"/>
  <c r="H1343" i="9"/>
  <c r="H1344" i="9"/>
  <c r="H1345" i="9"/>
  <c r="H1346" i="9"/>
  <c r="H1347" i="9"/>
  <c r="H1348" i="9"/>
  <c r="H1349" i="9"/>
  <c r="H1350" i="9"/>
  <c r="H1351" i="9"/>
  <c r="H1352" i="9"/>
  <c r="H1353" i="9"/>
  <c r="H1354" i="9"/>
  <c r="H1355" i="9"/>
  <c r="H1356" i="9"/>
  <c r="H1357" i="9"/>
  <c r="H1358" i="9"/>
  <c r="H1359" i="9"/>
  <c r="H1360" i="9"/>
  <c r="H1361" i="9"/>
  <c r="H1362" i="9"/>
  <c r="H1363" i="9"/>
  <c r="H1364" i="9"/>
  <c r="H1365" i="9"/>
  <c r="H1366" i="9"/>
  <c r="H1367" i="9"/>
  <c r="H1368" i="9"/>
  <c r="H1369" i="9"/>
  <c r="H1370" i="9"/>
  <c r="H1371" i="9"/>
  <c r="H1372" i="9"/>
  <c r="H1373" i="9"/>
  <c r="H1374" i="9"/>
  <c r="H1375" i="9"/>
  <c r="H1376" i="9"/>
  <c r="H1377" i="9"/>
  <c r="H1378" i="9"/>
  <c r="H1379" i="9"/>
  <c r="H1380" i="9"/>
  <c r="H1381" i="9"/>
  <c r="H1382" i="9"/>
  <c r="H1383" i="9"/>
  <c r="H1384" i="9"/>
  <c r="H1385" i="9"/>
  <c r="H1386" i="9"/>
  <c r="H1387" i="9"/>
  <c r="H1388" i="9"/>
  <c r="H1389" i="9"/>
  <c r="H1390" i="9"/>
  <c r="H1391" i="9"/>
  <c r="H1392" i="9"/>
  <c r="H1393" i="9"/>
  <c r="H1394" i="9"/>
  <c r="H1395" i="9"/>
  <c r="H1396" i="9"/>
  <c r="H1397" i="9"/>
  <c r="H1398" i="9"/>
  <c r="H1399" i="9"/>
  <c r="H1400" i="9"/>
  <c r="H1401" i="9"/>
  <c r="H1402" i="9"/>
  <c r="H1403" i="9"/>
  <c r="H1404" i="9"/>
  <c r="H1405" i="9"/>
  <c r="H1406" i="9"/>
  <c r="H1407" i="9"/>
  <c r="H1408" i="9"/>
  <c r="H1409" i="9"/>
  <c r="H1410" i="9"/>
  <c r="H1411" i="9"/>
  <c r="H1412" i="9"/>
  <c r="H1413" i="9"/>
  <c r="H1414" i="9"/>
  <c r="H1415" i="9"/>
  <c r="H1416" i="9"/>
  <c r="H1417" i="9"/>
  <c r="H1418" i="9"/>
  <c r="H1419" i="9"/>
  <c r="H1420" i="9"/>
  <c r="H1421" i="9"/>
  <c r="H1422" i="9"/>
  <c r="H1423" i="9"/>
  <c r="H1424" i="9"/>
  <c r="H1425" i="9"/>
  <c r="H1426" i="9"/>
  <c r="H1427" i="9"/>
  <c r="H1428" i="9"/>
  <c r="H1429" i="9"/>
  <c r="H1430" i="9"/>
  <c r="H1431" i="9"/>
  <c r="H1432" i="9"/>
  <c r="H1433" i="9"/>
  <c r="H1434" i="9"/>
  <c r="H1435" i="9"/>
  <c r="H1436" i="9"/>
  <c r="H1437" i="9"/>
  <c r="H1438" i="9"/>
  <c r="H1439" i="9"/>
  <c r="H1440" i="9"/>
  <c r="H1441" i="9"/>
  <c r="H1442" i="9"/>
  <c r="H1443" i="9"/>
  <c r="H1444" i="9"/>
  <c r="H1445" i="9"/>
  <c r="H1446" i="9"/>
  <c r="H1447" i="9"/>
  <c r="H1448" i="9"/>
  <c r="H1449" i="9"/>
  <c r="H1450" i="9"/>
  <c r="H1451" i="9"/>
  <c r="H1452" i="9"/>
  <c r="H1453" i="9"/>
  <c r="H1454" i="9"/>
  <c r="H1455" i="9"/>
  <c r="H1456" i="9"/>
  <c r="H1457" i="9"/>
  <c r="H1458" i="9"/>
  <c r="H1459" i="9"/>
  <c r="H1460" i="9"/>
  <c r="H1461" i="9"/>
  <c r="H1462" i="9"/>
  <c r="H1463" i="9"/>
  <c r="H1464" i="9"/>
  <c r="H1465" i="9"/>
  <c r="H1466" i="9"/>
  <c r="H1467" i="9"/>
  <c r="H1468" i="9"/>
  <c r="H1469" i="9"/>
  <c r="H1470" i="9"/>
  <c r="H1471" i="9"/>
  <c r="H1472" i="9"/>
  <c r="H1473" i="9"/>
  <c r="H1474" i="9"/>
  <c r="H1475" i="9"/>
  <c r="H1476" i="9"/>
  <c r="H1477" i="9"/>
  <c r="H1478" i="9"/>
  <c r="H1479" i="9"/>
  <c r="H1480" i="9"/>
  <c r="H1481" i="9"/>
  <c r="H1482" i="9"/>
  <c r="H1483" i="9"/>
  <c r="H1484" i="9"/>
  <c r="H1485" i="9"/>
  <c r="H1486" i="9"/>
  <c r="H1487" i="9"/>
  <c r="H1488" i="9"/>
  <c r="H1489" i="9"/>
  <c r="H1490" i="9"/>
  <c r="H1491" i="9"/>
  <c r="H1492" i="9"/>
  <c r="H1493" i="9"/>
  <c r="H1494" i="9"/>
  <c r="H1495" i="9"/>
  <c r="H1496" i="9"/>
  <c r="H1497" i="9"/>
  <c r="H1498" i="9"/>
  <c r="H1499" i="9"/>
  <c r="H1500" i="9"/>
  <c r="H1501" i="9"/>
  <c r="H1502" i="9"/>
  <c r="H1503" i="9"/>
  <c r="H1504" i="9"/>
  <c r="H1505" i="9"/>
  <c r="H1506" i="9"/>
  <c r="H1507" i="9"/>
  <c r="H1508" i="9"/>
  <c r="H1509" i="9"/>
  <c r="H1510" i="9"/>
  <c r="H1511" i="9"/>
  <c r="H1512" i="9"/>
  <c r="H1513" i="9"/>
  <c r="H1514" i="9"/>
  <c r="H1515" i="9"/>
  <c r="H1516" i="9"/>
  <c r="H1517" i="9"/>
  <c r="H1518" i="9"/>
  <c r="H1519" i="9"/>
  <c r="H1520" i="9"/>
  <c r="H1521" i="9"/>
  <c r="H1522" i="9"/>
  <c r="H1523" i="9"/>
  <c r="H1524" i="9"/>
  <c r="H1525" i="9"/>
  <c r="H1526" i="9"/>
  <c r="H1527" i="9"/>
  <c r="H1528" i="9"/>
  <c r="H1529" i="9"/>
  <c r="H1530" i="9"/>
  <c r="H1531" i="9"/>
  <c r="H1532" i="9"/>
  <c r="H1533" i="9"/>
  <c r="H1534" i="9"/>
  <c r="H1535" i="9"/>
  <c r="H1536" i="9"/>
  <c r="H1537" i="9"/>
  <c r="H1538" i="9"/>
  <c r="H1539" i="9"/>
  <c r="H1540" i="9"/>
  <c r="H1541" i="9"/>
  <c r="H1542" i="9"/>
  <c r="H1543" i="9"/>
  <c r="H1544" i="9"/>
  <c r="H1545" i="9"/>
  <c r="H1546" i="9"/>
  <c r="H1547" i="9"/>
  <c r="H1548" i="9"/>
  <c r="H1549" i="9"/>
  <c r="H1550" i="9"/>
  <c r="H1551" i="9"/>
  <c r="H1552" i="9"/>
  <c r="H1553" i="9"/>
  <c r="H1554" i="9"/>
  <c r="H1555" i="9"/>
  <c r="H1556" i="9"/>
  <c r="H1557" i="9"/>
  <c r="H1558" i="9"/>
  <c r="H1559" i="9"/>
  <c r="H1560" i="9"/>
  <c r="H1561" i="9"/>
  <c r="H1562" i="9"/>
  <c r="H1563" i="9"/>
  <c r="H1564" i="9"/>
  <c r="H1565" i="9"/>
  <c r="H1566" i="9"/>
  <c r="H1567" i="9"/>
  <c r="H1568" i="9"/>
  <c r="H1569" i="9"/>
  <c r="H1570" i="9"/>
  <c r="H1571" i="9"/>
  <c r="H1572" i="9"/>
  <c r="H1573" i="9"/>
  <c r="H1574" i="9"/>
  <c r="H1575" i="9"/>
  <c r="H1576" i="9"/>
  <c r="H1577" i="9"/>
  <c r="H1578" i="9"/>
  <c r="H1579" i="9"/>
  <c r="H1580" i="9"/>
  <c r="H1581" i="9"/>
  <c r="H1582" i="9"/>
  <c r="H1583" i="9"/>
  <c r="H1584" i="9"/>
  <c r="H1585" i="9"/>
  <c r="H1586" i="9"/>
  <c r="H1587" i="9"/>
  <c r="H1588" i="9"/>
  <c r="H1589" i="9"/>
  <c r="H1590" i="9"/>
  <c r="H1591" i="9"/>
  <c r="H1592" i="9"/>
  <c r="H1593" i="9"/>
  <c r="H1594" i="9"/>
  <c r="H1595" i="9"/>
  <c r="H1596" i="9"/>
  <c r="H1597" i="9"/>
  <c r="H1598" i="9"/>
  <c r="H1599" i="9"/>
  <c r="H1600" i="9"/>
  <c r="H1601" i="9"/>
  <c r="H1602" i="9"/>
  <c r="H1603" i="9"/>
  <c r="H1604" i="9"/>
  <c r="H1605" i="9"/>
  <c r="H1606" i="9"/>
  <c r="H1607" i="9"/>
  <c r="H1608" i="9"/>
  <c r="H1609" i="9"/>
  <c r="H1610" i="9"/>
  <c r="H1611" i="9"/>
  <c r="H1612" i="9"/>
  <c r="H1613" i="9"/>
  <c r="H1614" i="9"/>
  <c r="H1615" i="9"/>
  <c r="H1616" i="9"/>
  <c r="H1617" i="9"/>
  <c r="H1618" i="9"/>
  <c r="H1619" i="9"/>
  <c r="H1620" i="9"/>
  <c r="H1621" i="9"/>
  <c r="H1622" i="9"/>
  <c r="H1623" i="9"/>
  <c r="H1624" i="9"/>
  <c r="H1625" i="9"/>
  <c r="H1626" i="9"/>
  <c r="H1627" i="9"/>
  <c r="H1628" i="9"/>
  <c r="H1629" i="9"/>
  <c r="H1630" i="9"/>
  <c r="H1631" i="9"/>
  <c r="H1632" i="9"/>
  <c r="H1633" i="9"/>
  <c r="H1634" i="9"/>
  <c r="H1635" i="9"/>
  <c r="H1636" i="9"/>
  <c r="H1637" i="9"/>
  <c r="H1638" i="9"/>
  <c r="H1639" i="9"/>
  <c r="H1640" i="9"/>
  <c r="H1641" i="9"/>
  <c r="H1642" i="9"/>
  <c r="H1643" i="9"/>
  <c r="H1644" i="9"/>
  <c r="H1645" i="9"/>
  <c r="H1646" i="9"/>
  <c r="H1647" i="9"/>
  <c r="H1648" i="9"/>
  <c r="H1649" i="9"/>
  <c r="H1650" i="9"/>
  <c r="H1651" i="9"/>
  <c r="H1652" i="9"/>
  <c r="H1653" i="9"/>
  <c r="H1654" i="9"/>
  <c r="H1655" i="9"/>
  <c r="H1656" i="9"/>
  <c r="H1657" i="9"/>
  <c r="H1658" i="9"/>
  <c r="H1659" i="9"/>
  <c r="H1660" i="9"/>
  <c r="H1661" i="9"/>
  <c r="H1662" i="9"/>
  <c r="H1663" i="9"/>
  <c r="H1664" i="9"/>
  <c r="H1665" i="9"/>
  <c r="H1666" i="9"/>
  <c r="H1667" i="9"/>
  <c r="H1668" i="9"/>
  <c r="H1669" i="9"/>
  <c r="H1670" i="9"/>
  <c r="H1671" i="9"/>
  <c r="H1672" i="9"/>
  <c r="H1673" i="9"/>
  <c r="H1674" i="9"/>
  <c r="H1675" i="9"/>
  <c r="H1676" i="9"/>
  <c r="H1677" i="9"/>
  <c r="H1678" i="9"/>
  <c r="H1679" i="9"/>
  <c r="H1680" i="9"/>
  <c r="H1681" i="9"/>
  <c r="H1682" i="9"/>
  <c r="H1683" i="9"/>
  <c r="H1684" i="9"/>
  <c r="H1685" i="9"/>
  <c r="H1686" i="9"/>
  <c r="H1687" i="9"/>
  <c r="H1688" i="9"/>
  <c r="H1689" i="9"/>
  <c r="H1690" i="9"/>
  <c r="H1691" i="9"/>
  <c r="H1692" i="9"/>
  <c r="H1693" i="9"/>
  <c r="H1694" i="9"/>
  <c r="H1695" i="9"/>
  <c r="H1696" i="9"/>
  <c r="H1697" i="9"/>
  <c r="H1698" i="9"/>
  <c r="H1699" i="9"/>
  <c r="H1700" i="9"/>
  <c r="H1701" i="9"/>
  <c r="H1702" i="9"/>
  <c r="H1703" i="9"/>
  <c r="H1704" i="9"/>
  <c r="H1705" i="9"/>
  <c r="H1706" i="9"/>
  <c r="H1707" i="9"/>
  <c r="H1708" i="9"/>
  <c r="H1709" i="9"/>
  <c r="H1710" i="9"/>
  <c r="H1711" i="9"/>
  <c r="H1712" i="9"/>
  <c r="H1713" i="9"/>
  <c r="H1714" i="9"/>
  <c r="H1715" i="9"/>
  <c r="H1716" i="9"/>
  <c r="H1717" i="9"/>
  <c r="H1718" i="9"/>
  <c r="H1719" i="9"/>
  <c r="H1720" i="9"/>
  <c r="H1721" i="9"/>
  <c r="H1722" i="9"/>
  <c r="H1723" i="9"/>
  <c r="H1724" i="9"/>
  <c r="H1725" i="9"/>
  <c r="H1726" i="9"/>
  <c r="H1727" i="9"/>
  <c r="H1728" i="9"/>
  <c r="H1729" i="9"/>
  <c r="H1730" i="9"/>
  <c r="H1731" i="9"/>
  <c r="H1732" i="9"/>
  <c r="H1733" i="9"/>
  <c r="H1734" i="9"/>
  <c r="H1735" i="9"/>
  <c r="H1736" i="9"/>
  <c r="H1737" i="9"/>
  <c r="H1738" i="9"/>
  <c r="H1739" i="9"/>
  <c r="H1740" i="9"/>
  <c r="H1741" i="9"/>
  <c r="H1742" i="9"/>
  <c r="H1743" i="9"/>
  <c r="H1744" i="9"/>
  <c r="H1745" i="9"/>
  <c r="H1746" i="9"/>
  <c r="H1747" i="9"/>
  <c r="H1748" i="9"/>
  <c r="H1749" i="9"/>
  <c r="H1750" i="9"/>
  <c r="H1751" i="9"/>
  <c r="H1752" i="9"/>
  <c r="H1753" i="9"/>
  <c r="H1754" i="9"/>
  <c r="H1755" i="9"/>
  <c r="H1756" i="9"/>
  <c r="H1757" i="9"/>
  <c r="H1758" i="9"/>
  <c r="H1759" i="9"/>
  <c r="H1760" i="9"/>
  <c r="H1761" i="9"/>
  <c r="H1762" i="9"/>
  <c r="H1763" i="9"/>
  <c r="H1764" i="9"/>
  <c r="H1765" i="9"/>
  <c r="H1766" i="9"/>
  <c r="H1767" i="9"/>
  <c r="H1768" i="9"/>
  <c r="H1769" i="9"/>
  <c r="H1770" i="9"/>
  <c r="H1771" i="9"/>
  <c r="H1772" i="9"/>
  <c r="H1773" i="9"/>
  <c r="H1774" i="9"/>
  <c r="H1775" i="9"/>
  <c r="H1776" i="9"/>
  <c r="H1777" i="9"/>
  <c r="H1778" i="9"/>
  <c r="H1779" i="9"/>
  <c r="H1780" i="9"/>
  <c r="H1781" i="9"/>
  <c r="H1782" i="9"/>
  <c r="H1783" i="9"/>
  <c r="H1784" i="9"/>
  <c r="H1785" i="9"/>
  <c r="H1786" i="9"/>
  <c r="H1787" i="9"/>
  <c r="H1788" i="9"/>
  <c r="H1789" i="9"/>
  <c r="H1790" i="9"/>
  <c r="H1791" i="9"/>
  <c r="H1792" i="9"/>
  <c r="H1793" i="9"/>
  <c r="H1794" i="9"/>
  <c r="H1795" i="9"/>
  <c r="H1796" i="9"/>
  <c r="H1797" i="9"/>
  <c r="H1798" i="9"/>
  <c r="H1799" i="9"/>
  <c r="H1800" i="9"/>
  <c r="H1801" i="9"/>
  <c r="H1802" i="9"/>
  <c r="H1803" i="9"/>
  <c r="H1804" i="9"/>
  <c r="H1805" i="9"/>
  <c r="H1806" i="9"/>
  <c r="H1807" i="9"/>
  <c r="H1808" i="9"/>
  <c r="H1809" i="9"/>
  <c r="H1810" i="9"/>
  <c r="H1811" i="9"/>
  <c r="H1812" i="9"/>
  <c r="H1813" i="9"/>
  <c r="H1814" i="9"/>
  <c r="H1815" i="9"/>
  <c r="H1816" i="9"/>
  <c r="H1817" i="9"/>
  <c r="H1818" i="9"/>
  <c r="H1819" i="9"/>
  <c r="H1820" i="9"/>
  <c r="H1821" i="9"/>
  <c r="H1822" i="9"/>
  <c r="H1823" i="9"/>
  <c r="H1824" i="9"/>
  <c r="H1825" i="9"/>
  <c r="H1826" i="9"/>
  <c r="H1827" i="9"/>
  <c r="H1828" i="9"/>
  <c r="H1829" i="9"/>
  <c r="H1830" i="9"/>
  <c r="H1831" i="9"/>
  <c r="H1832" i="9"/>
  <c r="H1833" i="9"/>
  <c r="H1834" i="9"/>
  <c r="H1835" i="9"/>
  <c r="H1836" i="9"/>
  <c r="H1837" i="9"/>
  <c r="H1838" i="9"/>
  <c r="H1839" i="9"/>
  <c r="H1840" i="9"/>
  <c r="H1841" i="9"/>
  <c r="H1842" i="9"/>
  <c r="H1843" i="9"/>
  <c r="H1844" i="9"/>
  <c r="H1845" i="9"/>
  <c r="H1846" i="9"/>
  <c r="H1847" i="9"/>
  <c r="H1848" i="9"/>
  <c r="H1849" i="9"/>
  <c r="H1850" i="9"/>
  <c r="H1851" i="9"/>
  <c r="H1852" i="9"/>
  <c r="H1853" i="9"/>
  <c r="H1854" i="9"/>
  <c r="H1855" i="9"/>
  <c r="H1856" i="9"/>
  <c r="H1857" i="9"/>
  <c r="H1858" i="9"/>
  <c r="H1859" i="9"/>
  <c r="H1860" i="9"/>
  <c r="H1861" i="9"/>
  <c r="H1862" i="9"/>
  <c r="H1863" i="9"/>
  <c r="H1864" i="9"/>
  <c r="H1865" i="9"/>
  <c r="H1866" i="9"/>
  <c r="H1867" i="9"/>
  <c r="H1868" i="9"/>
  <c r="H1869" i="9"/>
  <c r="H1870" i="9"/>
  <c r="H1871" i="9"/>
  <c r="H1872" i="9"/>
  <c r="H1873" i="9"/>
  <c r="H1874" i="9"/>
  <c r="H1875" i="9"/>
  <c r="H1876" i="9"/>
  <c r="H1877" i="9"/>
  <c r="H1878" i="9"/>
  <c r="H1879" i="9"/>
  <c r="H1880" i="9"/>
  <c r="H1881" i="9"/>
  <c r="H1882" i="9"/>
  <c r="H1883" i="9"/>
  <c r="H1884" i="9"/>
  <c r="H1885" i="9"/>
  <c r="H1886" i="9"/>
  <c r="H1887" i="9"/>
  <c r="H1888" i="9"/>
  <c r="H1889" i="9"/>
  <c r="H1890" i="9"/>
  <c r="H1891" i="9"/>
  <c r="H1892" i="9"/>
  <c r="H1893" i="9"/>
  <c r="H1894" i="9"/>
  <c r="H1895" i="9"/>
  <c r="H1896" i="9"/>
  <c r="H1897" i="9"/>
  <c r="H1898" i="9"/>
  <c r="H1899" i="9"/>
  <c r="H1900" i="9"/>
  <c r="H1901" i="9"/>
  <c r="H1902" i="9"/>
  <c r="H1903" i="9"/>
  <c r="H1904" i="9"/>
  <c r="H1905" i="9"/>
  <c r="H1906" i="9"/>
  <c r="H1907" i="9"/>
  <c r="H1908" i="9"/>
  <c r="H1909" i="9"/>
  <c r="H1910" i="9"/>
  <c r="H1911" i="9"/>
  <c r="H1912" i="9"/>
  <c r="H1913" i="9"/>
  <c r="H1914" i="9"/>
  <c r="H1915" i="9"/>
  <c r="H1916" i="9"/>
  <c r="H1917" i="9"/>
  <c r="H1918" i="9"/>
  <c r="H1919" i="9"/>
  <c r="H1920" i="9"/>
  <c r="H1921" i="9"/>
  <c r="H1922" i="9"/>
  <c r="H1923" i="9"/>
  <c r="H1924" i="9"/>
  <c r="H1925" i="9"/>
  <c r="H1926" i="9"/>
  <c r="H1927" i="9"/>
  <c r="H1928" i="9"/>
  <c r="H1929" i="9"/>
  <c r="H1930" i="9"/>
  <c r="H1931" i="9"/>
  <c r="H1932" i="9"/>
  <c r="H1933" i="9"/>
  <c r="H1934" i="9"/>
  <c r="H1935" i="9"/>
  <c r="H1936" i="9"/>
  <c r="H1937" i="9"/>
  <c r="H1938" i="9"/>
  <c r="H1939" i="9"/>
  <c r="H1940" i="9"/>
  <c r="H1941" i="9"/>
  <c r="H1942" i="9"/>
  <c r="H1943" i="9"/>
  <c r="H1944" i="9"/>
  <c r="H1945" i="9"/>
  <c r="H1946" i="9"/>
  <c r="H1947" i="9"/>
  <c r="H1948" i="9"/>
  <c r="H1949" i="9"/>
  <c r="H1950" i="9"/>
  <c r="H1951" i="9"/>
  <c r="H1952" i="9"/>
  <c r="H1953" i="9"/>
  <c r="H1954" i="9"/>
  <c r="H1955" i="9"/>
  <c r="H1956" i="9"/>
  <c r="H1957" i="9"/>
  <c r="H1958" i="9"/>
  <c r="H1959" i="9"/>
  <c r="H1960" i="9"/>
  <c r="H1961" i="9"/>
  <c r="H1962" i="9"/>
  <c r="H1963" i="9"/>
  <c r="H1964" i="9"/>
  <c r="H1965" i="9"/>
  <c r="H1966" i="9"/>
  <c r="H1967" i="9"/>
  <c r="H1968" i="9"/>
  <c r="H1969" i="9"/>
  <c r="H1970" i="9"/>
  <c r="H1971" i="9"/>
  <c r="H1972" i="9"/>
  <c r="H1973" i="9"/>
  <c r="H1974" i="9"/>
  <c r="H1975" i="9"/>
  <c r="H1976" i="9"/>
  <c r="H1977" i="9"/>
  <c r="H1978" i="9"/>
  <c r="H1979" i="9"/>
  <c r="H1980" i="9"/>
  <c r="H1981" i="9"/>
  <c r="H1982" i="9"/>
  <c r="H1983" i="9"/>
  <c r="H1984" i="9"/>
  <c r="H1985" i="9"/>
  <c r="H1986" i="9"/>
  <c r="H1987" i="9"/>
  <c r="H1988" i="9"/>
  <c r="H1989" i="9"/>
  <c r="H1990" i="9"/>
  <c r="H1991" i="9"/>
  <c r="H1992" i="9"/>
  <c r="H1993" i="9"/>
  <c r="H1994" i="9"/>
  <c r="H1995" i="9"/>
  <c r="H1996" i="9"/>
  <c r="H1997" i="9"/>
  <c r="H1998" i="9"/>
  <c r="H1999" i="9"/>
  <c r="H2000" i="9"/>
  <c r="H2001" i="9"/>
  <c r="H2002" i="9"/>
  <c r="H2003" i="9"/>
  <c r="H2004" i="9"/>
  <c r="H2005" i="9"/>
  <c r="H2006" i="9"/>
  <c r="H2007" i="9"/>
  <c r="H2008" i="9"/>
  <c r="H2009" i="9"/>
  <c r="H2010" i="9"/>
  <c r="H2011" i="9"/>
  <c r="H2012" i="9"/>
  <c r="H2013" i="9"/>
  <c r="H2014" i="9"/>
  <c r="H2015" i="9"/>
  <c r="H2016" i="9"/>
  <c r="H2017" i="9"/>
  <c r="H2018" i="9"/>
  <c r="H2019" i="9"/>
  <c r="H2020" i="9"/>
  <c r="H2021" i="9"/>
  <c r="H2022" i="9"/>
  <c r="H2023" i="9"/>
  <c r="H2024" i="9"/>
  <c r="H2025" i="9"/>
  <c r="H2026" i="9"/>
  <c r="H2027" i="9"/>
  <c r="H2028" i="9"/>
  <c r="H2029" i="9"/>
  <c r="H2030" i="9"/>
  <c r="H2031" i="9"/>
  <c r="H2032" i="9"/>
  <c r="H2033" i="9"/>
  <c r="H2034" i="9"/>
  <c r="H2035" i="9"/>
  <c r="H2036" i="9"/>
  <c r="H2037" i="9"/>
  <c r="H2038" i="9"/>
  <c r="H2039" i="9"/>
  <c r="H2040" i="9"/>
  <c r="H2041" i="9"/>
  <c r="H2042" i="9"/>
  <c r="H2043" i="9"/>
  <c r="H2044" i="9"/>
  <c r="H2045" i="9"/>
  <c r="H2046" i="9"/>
  <c r="H2047" i="9"/>
  <c r="H2048" i="9"/>
  <c r="H2049" i="9"/>
  <c r="H2050" i="9"/>
  <c r="H2051" i="9"/>
  <c r="H2052" i="9"/>
  <c r="H2053" i="9"/>
  <c r="H2054" i="9"/>
  <c r="H2055" i="9"/>
  <c r="H2056" i="9"/>
  <c r="H2057" i="9"/>
  <c r="H2058" i="9"/>
  <c r="H2059" i="9"/>
  <c r="H2060" i="9"/>
  <c r="H2061" i="9"/>
  <c r="H2062" i="9"/>
  <c r="H2063" i="9"/>
  <c r="H2064" i="9"/>
  <c r="H2065" i="9"/>
  <c r="H2066" i="9"/>
  <c r="H2067" i="9"/>
  <c r="H2068" i="9"/>
  <c r="H2069" i="9"/>
  <c r="H2070" i="9"/>
  <c r="H2071" i="9"/>
  <c r="H2072" i="9"/>
  <c r="H2073" i="9"/>
  <c r="H2074" i="9"/>
  <c r="H2075" i="9"/>
  <c r="H2076" i="9"/>
  <c r="H2077" i="9"/>
  <c r="H2078" i="9"/>
  <c r="H2079" i="9"/>
  <c r="H2080" i="9"/>
  <c r="H2081" i="9"/>
  <c r="H2082" i="9"/>
  <c r="H2083" i="9"/>
  <c r="H2084" i="9"/>
  <c r="H2085" i="9"/>
  <c r="H2086" i="9"/>
  <c r="H2087" i="9"/>
  <c r="H2088" i="9"/>
  <c r="H2089" i="9"/>
  <c r="H2090" i="9"/>
  <c r="H2091" i="9"/>
  <c r="H2092" i="9"/>
  <c r="H2093" i="9"/>
  <c r="H2094" i="9"/>
  <c r="H2095" i="9"/>
  <c r="H2096" i="9"/>
  <c r="H2097" i="9"/>
  <c r="H2098" i="9"/>
  <c r="H2099" i="9"/>
  <c r="H2100" i="9"/>
  <c r="H2101" i="9"/>
  <c r="H2102" i="9"/>
  <c r="H2103" i="9"/>
  <c r="H2104" i="9"/>
  <c r="H2105" i="9"/>
  <c r="H2106" i="9"/>
  <c r="H2107" i="9"/>
  <c r="H2108" i="9"/>
  <c r="H2109" i="9"/>
  <c r="H2110" i="9"/>
  <c r="H2111" i="9"/>
  <c r="H2112" i="9"/>
  <c r="H2113" i="9"/>
  <c r="H2114" i="9"/>
  <c r="H2115" i="9"/>
  <c r="H2116" i="9"/>
  <c r="H2117" i="9"/>
  <c r="H2118" i="9"/>
  <c r="H2119" i="9"/>
  <c r="H2120" i="9"/>
  <c r="H2121" i="9"/>
  <c r="H2122" i="9"/>
  <c r="H2123" i="9"/>
  <c r="H2124" i="9"/>
  <c r="H2125" i="9"/>
  <c r="H2126" i="9"/>
  <c r="H2127" i="9"/>
  <c r="H2128" i="9"/>
  <c r="H2129" i="9"/>
  <c r="H2130" i="9"/>
  <c r="H2131" i="9"/>
  <c r="H2132" i="9"/>
  <c r="H2133" i="9"/>
  <c r="H2134" i="9"/>
  <c r="H2135" i="9"/>
  <c r="H2136" i="9"/>
  <c r="H2137" i="9"/>
  <c r="H2138" i="9"/>
  <c r="H2139" i="9"/>
  <c r="H2140" i="9"/>
  <c r="H2141" i="9"/>
  <c r="H2142" i="9"/>
  <c r="H2143" i="9"/>
  <c r="H2144" i="9"/>
  <c r="H2145" i="9"/>
  <c r="H2146" i="9"/>
  <c r="H2147" i="9"/>
  <c r="H2148" i="9"/>
  <c r="H2149" i="9"/>
  <c r="H2150" i="9"/>
  <c r="H2151" i="9"/>
  <c r="H2152" i="9"/>
  <c r="H2153" i="9"/>
  <c r="H2154" i="9"/>
  <c r="H2155" i="9"/>
  <c r="H2156" i="9"/>
  <c r="H2157" i="9"/>
  <c r="H2158" i="9"/>
  <c r="H2159" i="9"/>
  <c r="H2160" i="9"/>
  <c r="H2161" i="9"/>
  <c r="H2162" i="9"/>
  <c r="H2163" i="9"/>
  <c r="H2164" i="9"/>
  <c r="H2165" i="9"/>
  <c r="H2166" i="9"/>
  <c r="H2167" i="9"/>
  <c r="H2168" i="9"/>
  <c r="H2169" i="9"/>
  <c r="H2170" i="9"/>
  <c r="H2171" i="9"/>
  <c r="H2172" i="9"/>
  <c r="H2173" i="9"/>
  <c r="H2174" i="9"/>
  <c r="H2175" i="9"/>
  <c r="H2176" i="9"/>
  <c r="H2177" i="9"/>
  <c r="H2178" i="9"/>
  <c r="H2179" i="9"/>
  <c r="H2180" i="9"/>
  <c r="H2181" i="9"/>
  <c r="H2182" i="9"/>
  <c r="H2183" i="9"/>
  <c r="H2184" i="9"/>
  <c r="H2185" i="9"/>
  <c r="H2186" i="9"/>
  <c r="H2187" i="9"/>
  <c r="H2188" i="9"/>
  <c r="H2189" i="9"/>
  <c r="H2190" i="9"/>
  <c r="H2191" i="9"/>
  <c r="H2192" i="9"/>
  <c r="H2193" i="9"/>
  <c r="H2194" i="9"/>
  <c r="H2195" i="9"/>
  <c r="H2196" i="9"/>
  <c r="H2197" i="9"/>
  <c r="H2198" i="9"/>
  <c r="H2199" i="9"/>
  <c r="H2200" i="9"/>
  <c r="H2201" i="9"/>
  <c r="H2202" i="9"/>
  <c r="H2203" i="9"/>
  <c r="H2204" i="9"/>
  <c r="H2205" i="9"/>
  <c r="H2206" i="9"/>
  <c r="H2207" i="9"/>
  <c r="H2208" i="9"/>
  <c r="H2209" i="9"/>
  <c r="H2210" i="9"/>
  <c r="H2211" i="9"/>
  <c r="H2212" i="9"/>
  <c r="H2213" i="9"/>
  <c r="H2214" i="9"/>
  <c r="H2215" i="9"/>
  <c r="H2216" i="9"/>
  <c r="H2217" i="9"/>
  <c r="H2218" i="9"/>
  <c r="H2219" i="9"/>
  <c r="H2220" i="9"/>
  <c r="H2221" i="9"/>
  <c r="H2222" i="9"/>
  <c r="H2223" i="9"/>
  <c r="H2224" i="9"/>
  <c r="H2225" i="9"/>
  <c r="H2226" i="9"/>
  <c r="H2227" i="9"/>
  <c r="H2228" i="9"/>
  <c r="H2229" i="9"/>
  <c r="H2230" i="9"/>
  <c r="H2231" i="9"/>
  <c r="H2232" i="9"/>
  <c r="H2233" i="9"/>
  <c r="H2234" i="9"/>
  <c r="H2235" i="9"/>
  <c r="H2236" i="9"/>
  <c r="H2237" i="9"/>
  <c r="H2238" i="9"/>
  <c r="H2239" i="9"/>
  <c r="H2240" i="9"/>
  <c r="H2241" i="9"/>
  <c r="H2242" i="9"/>
  <c r="H2243" i="9"/>
  <c r="H2244" i="9"/>
  <c r="H2245" i="9"/>
  <c r="H2246" i="9"/>
  <c r="H2247" i="9"/>
  <c r="H2248" i="9"/>
  <c r="H2249" i="9"/>
  <c r="H2250" i="9"/>
  <c r="H2251" i="9"/>
  <c r="H2252" i="9"/>
  <c r="H2253" i="9"/>
  <c r="H2254" i="9"/>
  <c r="H2255" i="9"/>
  <c r="H2256" i="9"/>
  <c r="H2257" i="9"/>
  <c r="H2258" i="9"/>
  <c r="H2259" i="9"/>
  <c r="H2260" i="9"/>
  <c r="H2261" i="9"/>
  <c r="H2262" i="9"/>
  <c r="H2263" i="9"/>
  <c r="H2264" i="9"/>
  <c r="H2265" i="9"/>
  <c r="H2266" i="9"/>
  <c r="H2267" i="9"/>
  <c r="H2268" i="9"/>
  <c r="H2269" i="9"/>
  <c r="H2270" i="9"/>
  <c r="H2271" i="9"/>
  <c r="H2272" i="9"/>
  <c r="H2273" i="9"/>
  <c r="H2274" i="9"/>
  <c r="H2275" i="9"/>
  <c r="H2276" i="9"/>
  <c r="H2277" i="9"/>
  <c r="H2278" i="9"/>
  <c r="H2279" i="9"/>
  <c r="H2280" i="9"/>
  <c r="H2281" i="9"/>
  <c r="H2282" i="9"/>
  <c r="H2283" i="9"/>
  <c r="H2284" i="9"/>
  <c r="H2285" i="9"/>
  <c r="H2286" i="9"/>
  <c r="H2287" i="9"/>
  <c r="H2288" i="9"/>
  <c r="H2289" i="9"/>
  <c r="H2290" i="9"/>
  <c r="H2291" i="9"/>
  <c r="H2292" i="9"/>
  <c r="H2293" i="9"/>
  <c r="H2294" i="9"/>
  <c r="H2295" i="9"/>
  <c r="H2296" i="9"/>
  <c r="H2297" i="9"/>
  <c r="H2298" i="9"/>
  <c r="H2299" i="9"/>
  <c r="H2300" i="9"/>
  <c r="H2301" i="9"/>
  <c r="H2302" i="9"/>
  <c r="H2303" i="9"/>
  <c r="H2304" i="9"/>
  <c r="H2305" i="9"/>
  <c r="H2306" i="9"/>
  <c r="H2307" i="9"/>
  <c r="H2308" i="9"/>
  <c r="H2309" i="9"/>
  <c r="H2310" i="9"/>
  <c r="H2311" i="9"/>
  <c r="H2312" i="9"/>
  <c r="H2313" i="9"/>
  <c r="H2314" i="9"/>
  <c r="H2315" i="9"/>
  <c r="H2316" i="9"/>
  <c r="H2317" i="9"/>
  <c r="H2318" i="9"/>
  <c r="H2319" i="9"/>
  <c r="H2320" i="9"/>
  <c r="H2321" i="9"/>
  <c r="H2322" i="9"/>
  <c r="H2323" i="9"/>
  <c r="H2324" i="9"/>
  <c r="H2325" i="9"/>
  <c r="H2326" i="9"/>
  <c r="H2327" i="9"/>
  <c r="H2328" i="9"/>
  <c r="H2329" i="9"/>
  <c r="H2330" i="9"/>
  <c r="H2331" i="9"/>
  <c r="H2332" i="9"/>
  <c r="H2333" i="9"/>
  <c r="H2334" i="9"/>
  <c r="H2335" i="9"/>
  <c r="H2336" i="9"/>
  <c r="H2337" i="9"/>
  <c r="H2338" i="9"/>
  <c r="H2339" i="9"/>
  <c r="H2340" i="9"/>
  <c r="H2341" i="9"/>
  <c r="H2342" i="9"/>
  <c r="H2343" i="9"/>
  <c r="H2344" i="9"/>
  <c r="H2345" i="9"/>
  <c r="H2346" i="9"/>
  <c r="H2347" i="9"/>
  <c r="H2348" i="9"/>
  <c r="H2349" i="9"/>
  <c r="H2350" i="9"/>
  <c r="H2351" i="9"/>
  <c r="H2352" i="9"/>
  <c r="H2353" i="9"/>
  <c r="H2354" i="9"/>
  <c r="H2355" i="9"/>
  <c r="H2356" i="9"/>
  <c r="H2357" i="9"/>
  <c r="H2358" i="9"/>
  <c r="H2359" i="9"/>
  <c r="H2360" i="9"/>
  <c r="H2361" i="9"/>
  <c r="H2362" i="9"/>
  <c r="H2363" i="9"/>
  <c r="H2364" i="9"/>
  <c r="H2365" i="9"/>
  <c r="H2366" i="9"/>
  <c r="H2367" i="9"/>
  <c r="H2368" i="9"/>
  <c r="H2369" i="9"/>
  <c r="H2370" i="9"/>
  <c r="H2371" i="9"/>
  <c r="H2372" i="9"/>
  <c r="H2373" i="9"/>
  <c r="H2374" i="9"/>
  <c r="H2375" i="9"/>
  <c r="H2376" i="9"/>
  <c r="H2377" i="9"/>
  <c r="H2378" i="9"/>
  <c r="H2379" i="9"/>
  <c r="H2380" i="9"/>
  <c r="H2381" i="9"/>
  <c r="H2382" i="9"/>
  <c r="H2383" i="9"/>
  <c r="H2384" i="9"/>
  <c r="H2385" i="9"/>
  <c r="H2386" i="9"/>
  <c r="H2387" i="9"/>
  <c r="H2388" i="9"/>
  <c r="H2389" i="9"/>
  <c r="H2390" i="9"/>
  <c r="H2391" i="9"/>
  <c r="H2392" i="9"/>
  <c r="H2393" i="9"/>
  <c r="H2394" i="9"/>
  <c r="H2395" i="9"/>
  <c r="H2396" i="9"/>
  <c r="H2397" i="9"/>
  <c r="H2398" i="9"/>
  <c r="H2399" i="9"/>
  <c r="H2400" i="9"/>
  <c r="H2401" i="9"/>
  <c r="H2402" i="9"/>
  <c r="H2403" i="9"/>
  <c r="H2404" i="9"/>
  <c r="H2405" i="9"/>
  <c r="H2406" i="9"/>
  <c r="H2407" i="9"/>
  <c r="H2408" i="9"/>
  <c r="H2409" i="9"/>
  <c r="H2410" i="9"/>
  <c r="H2411" i="9"/>
  <c r="H2412" i="9"/>
  <c r="H2413" i="9"/>
  <c r="H2414" i="9"/>
  <c r="H2415" i="9"/>
  <c r="H2416" i="9"/>
  <c r="H2417" i="9"/>
  <c r="H2418" i="9"/>
  <c r="H2419" i="9"/>
  <c r="H2420" i="9"/>
  <c r="H2421" i="9"/>
  <c r="H2422" i="9"/>
  <c r="H2423" i="9"/>
  <c r="H2424" i="9"/>
  <c r="H2425" i="9"/>
  <c r="H2426" i="9"/>
  <c r="H2427" i="9"/>
  <c r="H2428" i="9"/>
  <c r="H2429" i="9"/>
  <c r="H2430" i="9"/>
  <c r="H2431" i="9"/>
  <c r="H2432" i="9"/>
  <c r="H2433" i="9"/>
  <c r="H2434" i="9"/>
  <c r="H2435" i="9"/>
  <c r="H2436" i="9"/>
  <c r="H2437" i="9"/>
  <c r="H2438" i="9"/>
  <c r="H2439" i="9"/>
  <c r="H2440" i="9"/>
  <c r="H2441" i="9"/>
  <c r="H2442" i="9"/>
  <c r="H2443" i="9"/>
  <c r="H2444" i="9"/>
  <c r="H2445" i="9"/>
  <c r="H2446" i="9"/>
  <c r="H2447" i="9"/>
  <c r="H2448" i="9"/>
  <c r="H2449" i="9"/>
  <c r="H2450" i="9"/>
  <c r="H2451" i="9"/>
  <c r="H2452" i="9"/>
  <c r="H2453" i="9"/>
  <c r="H2454" i="9"/>
  <c r="H2455" i="9"/>
  <c r="H2456" i="9"/>
  <c r="H2457" i="9"/>
  <c r="H2458" i="9"/>
  <c r="H2459" i="9"/>
  <c r="H2460" i="9"/>
  <c r="H2461" i="9"/>
  <c r="H2462" i="9"/>
  <c r="H2463" i="9"/>
  <c r="H2464" i="9"/>
  <c r="H2465" i="9"/>
  <c r="H2466" i="9"/>
  <c r="H2467" i="9"/>
  <c r="H2468" i="9"/>
  <c r="H2469" i="9"/>
  <c r="H2470" i="9"/>
  <c r="H2471" i="9"/>
  <c r="H2472" i="9"/>
  <c r="H2473" i="9"/>
  <c r="H2474" i="9"/>
  <c r="H2475" i="9"/>
  <c r="H2476" i="9"/>
  <c r="H2477" i="9"/>
  <c r="H2478" i="9"/>
  <c r="H2479" i="9"/>
  <c r="H2480" i="9"/>
  <c r="H2481" i="9"/>
  <c r="H2482" i="9"/>
  <c r="H2483" i="9"/>
  <c r="H2484" i="9"/>
  <c r="H2485" i="9"/>
  <c r="H2486" i="9"/>
  <c r="H2487" i="9"/>
  <c r="H2488" i="9"/>
  <c r="H2489" i="9"/>
  <c r="H2490" i="9"/>
  <c r="H2491" i="9"/>
  <c r="H2492" i="9"/>
  <c r="H2493" i="9"/>
  <c r="H2494" i="9"/>
  <c r="H2495" i="9"/>
  <c r="H2496" i="9"/>
  <c r="H2497" i="9"/>
  <c r="H2498" i="9"/>
  <c r="H2499" i="9"/>
  <c r="H2500" i="9"/>
  <c r="H2501" i="9"/>
  <c r="H2502" i="9"/>
  <c r="H2503" i="9"/>
  <c r="H2504" i="9"/>
  <c r="H2505" i="9"/>
  <c r="H2506" i="9"/>
  <c r="H2507" i="9"/>
  <c r="H2508" i="9"/>
  <c r="H2509" i="9"/>
  <c r="H2510" i="9"/>
  <c r="H2511" i="9"/>
  <c r="H2512" i="9"/>
  <c r="H2513" i="9"/>
  <c r="H2514" i="9"/>
  <c r="H2515" i="9"/>
  <c r="H2516" i="9"/>
  <c r="H2517" i="9"/>
  <c r="H2518" i="9"/>
  <c r="H2519" i="9"/>
  <c r="H2520" i="9"/>
  <c r="H2521" i="9"/>
  <c r="H2522" i="9"/>
  <c r="H2523" i="9"/>
  <c r="H2524" i="9"/>
  <c r="H2525" i="9"/>
  <c r="H2526" i="9"/>
  <c r="H2527" i="9"/>
  <c r="H2528" i="9"/>
  <c r="H2529" i="9"/>
  <c r="H2530" i="9"/>
  <c r="H2531" i="9"/>
  <c r="H2532" i="9"/>
  <c r="H2533" i="9"/>
  <c r="H2534" i="9"/>
  <c r="H2535" i="9"/>
  <c r="H2536" i="9"/>
  <c r="H2537" i="9"/>
  <c r="H2538" i="9"/>
  <c r="H2539" i="9"/>
  <c r="H2540" i="9"/>
  <c r="H2541" i="9"/>
  <c r="H2542" i="9"/>
  <c r="H2543" i="9"/>
  <c r="H2544" i="9"/>
  <c r="H2545" i="9"/>
  <c r="H2546" i="9"/>
  <c r="H2547" i="9"/>
  <c r="H2548" i="9"/>
  <c r="H2549" i="9"/>
  <c r="H2550" i="9"/>
  <c r="H2551" i="9"/>
  <c r="H2552" i="9"/>
  <c r="H2553" i="9"/>
  <c r="H2554" i="9"/>
  <c r="H2555" i="9"/>
  <c r="H2556" i="9"/>
  <c r="H2557" i="9"/>
  <c r="H2558" i="9"/>
  <c r="H2559" i="9"/>
  <c r="H2560" i="9"/>
  <c r="H2561" i="9"/>
  <c r="H2562" i="9"/>
  <c r="H2563" i="9"/>
  <c r="H2564" i="9"/>
  <c r="H2565" i="9"/>
  <c r="H2566" i="9"/>
  <c r="H2567" i="9"/>
  <c r="H2568" i="9"/>
  <c r="H2569" i="9"/>
  <c r="H2570" i="9"/>
  <c r="H2571" i="9"/>
  <c r="H2572" i="9"/>
  <c r="H2573" i="9"/>
  <c r="H2574" i="9"/>
  <c r="H2575" i="9"/>
  <c r="H2576" i="9"/>
  <c r="H2577" i="9"/>
  <c r="H2578" i="9"/>
  <c r="H2579" i="9"/>
  <c r="H2580" i="9"/>
  <c r="H2581" i="9"/>
  <c r="H2582" i="9"/>
  <c r="H2583" i="9"/>
  <c r="H2584" i="9"/>
  <c r="H2585" i="9"/>
  <c r="H2586" i="9"/>
  <c r="H2587" i="9"/>
  <c r="H2588" i="9"/>
  <c r="H2589" i="9"/>
  <c r="H2590" i="9"/>
  <c r="H2591" i="9"/>
  <c r="H2592" i="9"/>
  <c r="H2593" i="9"/>
  <c r="H2594" i="9"/>
  <c r="H2595" i="9"/>
  <c r="H2596" i="9"/>
  <c r="H2597" i="9"/>
  <c r="H2598" i="9"/>
  <c r="H2599" i="9"/>
  <c r="H2600" i="9"/>
  <c r="H2601" i="9"/>
  <c r="H2602" i="9"/>
  <c r="H2603" i="9"/>
  <c r="H2604" i="9"/>
  <c r="H2605" i="9"/>
  <c r="H2606" i="9"/>
  <c r="H2607" i="9"/>
  <c r="H2608" i="9"/>
  <c r="H2609" i="9"/>
  <c r="H2610" i="9"/>
  <c r="H2611" i="9"/>
  <c r="H2612" i="9"/>
  <c r="H2613" i="9"/>
  <c r="H2614" i="9"/>
  <c r="H2615" i="9"/>
  <c r="H2616" i="9"/>
  <c r="H2617" i="9"/>
  <c r="H2618" i="9"/>
  <c r="H2619" i="9"/>
  <c r="H2620" i="9"/>
  <c r="H2621" i="9"/>
  <c r="H2622" i="9"/>
  <c r="H2623" i="9"/>
  <c r="H2624" i="9"/>
  <c r="H2625" i="9"/>
  <c r="H2626" i="9"/>
  <c r="H2627" i="9"/>
  <c r="H2628" i="9"/>
  <c r="H2629" i="9"/>
  <c r="H2630" i="9"/>
  <c r="H2631" i="9"/>
  <c r="H2632" i="9"/>
  <c r="H2633" i="9"/>
  <c r="H2634" i="9"/>
  <c r="H2635" i="9"/>
  <c r="H2636" i="9"/>
  <c r="H2637" i="9"/>
  <c r="H2638" i="9"/>
  <c r="H2639" i="9"/>
  <c r="H2640" i="9"/>
  <c r="H2641" i="9"/>
  <c r="H2642" i="9"/>
  <c r="H2643" i="9"/>
  <c r="H2644" i="9"/>
  <c r="H2645" i="9"/>
  <c r="H2646" i="9"/>
  <c r="H2647" i="9"/>
  <c r="H2648" i="9"/>
  <c r="H2649" i="9"/>
  <c r="H2650" i="9"/>
  <c r="H2651" i="9"/>
  <c r="H2652" i="9"/>
  <c r="H2653" i="9"/>
  <c r="H2654" i="9"/>
  <c r="H2655" i="9"/>
  <c r="H2656" i="9"/>
  <c r="H2657" i="9"/>
  <c r="H2658" i="9"/>
  <c r="H2659" i="9"/>
  <c r="H2660" i="9"/>
  <c r="H2661" i="9"/>
  <c r="H2662" i="9"/>
  <c r="H2663" i="9"/>
  <c r="H2664" i="9"/>
  <c r="H2665" i="9"/>
  <c r="H2666" i="9"/>
  <c r="H2667" i="9"/>
  <c r="H2668" i="9"/>
  <c r="H2669" i="9"/>
  <c r="H2670" i="9"/>
  <c r="H2671" i="9"/>
  <c r="H2672" i="9"/>
  <c r="H2673" i="9"/>
  <c r="H2674" i="9"/>
  <c r="H2675" i="9"/>
  <c r="H2676" i="9"/>
  <c r="H2677" i="9"/>
  <c r="H2678" i="9"/>
  <c r="H2679" i="9"/>
  <c r="H2680" i="9"/>
  <c r="H2681" i="9"/>
  <c r="H2682" i="9"/>
  <c r="H2683" i="9"/>
  <c r="H2684" i="9"/>
  <c r="H2685" i="9"/>
  <c r="H2686" i="9"/>
  <c r="H2687" i="9"/>
  <c r="H2688" i="9"/>
  <c r="H2689" i="9"/>
  <c r="H2690" i="9"/>
  <c r="H2691" i="9"/>
  <c r="H2692" i="9"/>
  <c r="H2693" i="9"/>
  <c r="H2694" i="9"/>
  <c r="H2695" i="9"/>
  <c r="H2696" i="9"/>
  <c r="H2697" i="9"/>
  <c r="H2698" i="9"/>
  <c r="H2699" i="9"/>
  <c r="H2700" i="9"/>
  <c r="H2701" i="9"/>
  <c r="H2702" i="9"/>
  <c r="H2703" i="9"/>
  <c r="H2704" i="9"/>
  <c r="H2705" i="9"/>
  <c r="H2706" i="9"/>
  <c r="H2707" i="9"/>
  <c r="H2708" i="9"/>
  <c r="H2709" i="9"/>
  <c r="H2710" i="9"/>
  <c r="H2711" i="9"/>
  <c r="H2712" i="9"/>
  <c r="H2713" i="9"/>
  <c r="H2714" i="9"/>
  <c r="H2715" i="9"/>
  <c r="H2716" i="9"/>
  <c r="H2717" i="9"/>
  <c r="H2718" i="9"/>
  <c r="H2719" i="9"/>
  <c r="H2720" i="9"/>
  <c r="H2721" i="9"/>
  <c r="H2722" i="9"/>
  <c r="H2723" i="9"/>
  <c r="H2724" i="9"/>
  <c r="H2725" i="9"/>
  <c r="H2726" i="9"/>
  <c r="H2727" i="9"/>
  <c r="H2728" i="9"/>
  <c r="H2729" i="9"/>
  <c r="H2730" i="9"/>
  <c r="H2731" i="9"/>
  <c r="H2732" i="9"/>
  <c r="H2733" i="9"/>
  <c r="H2734" i="9"/>
  <c r="H2735" i="9"/>
  <c r="H2736" i="9"/>
  <c r="H2737" i="9"/>
  <c r="H2738" i="9"/>
  <c r="H2739" i="9"/>
  <c r="H2740" i="9"/>
  <c r="H2741" i="9"/>
  <c r="H2742" i="9"/>
  <c r="H2743" i="9"/>
  <c r="H2744" i="9"/>
  <c r="H2745" i="9"/>
  <c r="H2746" i="9"/>
  <c r="H2747" i="9"/>
  <c r="H2748" i="9"/>
  <c r="H2749" i="9"/>
  <c r="H2750" i="9"/>
  <c r="H2751" i="9"/>
  <c r="H2752" i="9"/>
  <c r="H2753" i="9"/>
  <c r="H2754" i="9"/>
  <c r="H2755" i="9"/>
  <c r="H2756" i="9"/>
  <c r="H2757" i="9"/>
  <c r="H2758" i="9"/>
  <c r="H2759" i="9"/>
  <c r="H2760" i="9"/>
  <c r="H2761" i="9"/>
  <c r="H2762" i="9"/>
  <c r="H2763" i="9"/>
  <c r="H2764" i="9"/>
  <c r="H2765" i="9"/>
  <c r="H2766" i="9"/>
  <c r="H2767" i="9"/>
  <c r="H2768" i="9"/>
  <c r="H2769" i="9"/>
  <c r="H2770" i="9"/>
  <c r="H2771" i="9"/>
  <c r="H2772" i="9"/>
  <c r="H2773" i="9"/>
  <c r="H2774" i="9"/>
  <c r="H2775" i="9"/>
  <c r="H2776" i="9"/>
  <c r="H2777" i="9"/>
  <c r="H2778" i="9"/>
  <c r="H2779" i="9"/>
  <c r="H2780" i="9"/>
  <c r="H2781" i="9"/>
  <c r="H2782" i="9"/>
  <c r="H2783" i="9"/>
  <c r="H2784" i="9"/>
  <c r="H2785" i="9"/>
  <c r="H2786" i="9"/>
  <c r="H2787" i="9"/>
  <c r="H2788" i="9"/>
  <c r="H2789" i="9"/>
  <c r="H2790" i="9"/>
  <c r="H2791" i="9"/>
  <c r="H2792" i="9"/>
  <c r="H2793" i="9"/>
  <c r="H2794" i="9"/>
  <c r="H2795" i="9"/>
  <c r="H2796" i="9"/>
  <c r="H2797" i="9"/>
  <c r="H2798" i="9"/>
  <c r="H2799" i="9"/>
  <c r="H2800" i="9"/>
  <c r="H2801" i="9"/>
  <c r="H2802" i="9"/>
  <c r="H2803" i="9"/>
  <c r="H2804" i="9"/>
  <c r="H2805" i="9"/>
  <c r="H2806" i="9"/>
  <c r="H2807" i="9"/>
  <c r="H2808" i="9"/>
  <c r="H2809" i="9"/>
  <c r="H2810" i="9"/>
  <c r="H2811" i="9"/>
  <c r="H2812" i="9"/>
  <c r="H2813" i="9"/>
  <c r="H2814" i="9"/>
  <c r="H2815" i="9"/>
  <c r="H2816" i="9"/>
  <c r="H2817" i="9"/>
  <c r="H2818" i="9"/>
  <c r="H2819" i="9"/>
  <c r="H2820" i="9"/>
  <c r="H2821" i="9"/>
  <c r="H2822" i="9"/>
  <c r="H2823" i="9"/>
  <c r="H2824" i="9"/>
  <c r="H2825" i="9"/>
  <c r="H2826" i="9"/>
  <c r="H2827" i="9"/>
  <c r="H2828" i="9"/>
  <c r="H2829" i="9"/>
  <c r="H2830" i="9"/>
  <c r="H2831" i="9"/>
  <c r="H2832" i="9"/>
  <c r="H2833" i="9"/>
  <c r="H2834" i="9"/>
  <c r="H2835" i="9"/>
  <c r="H2836" i="9"/>
  <c r="H2837" i="9"/>
  <c r="H2838" i="9"/>
  <c r="H2839" i="9"/>
  <c r="H2840" i="9"/>
  <c r="H2841" i="9"/>
  <c r="H2842" i="9"/>
  <c r="H2843" i="9"/>
  <c r="H2844" i="9"/>
  <c r="H2845" i="9"/>
  <c r="H2846" i="9"/>
  <c r="H2847" i="9"/>
  <c r="H2848" i="9"/>
  <c r="H2849" i="9"/>
  <c r="H2850" i="9"/>
  <c r="H2851" i="9"/>
  <c r="H2852" i="9"/>
  <c r="H2853" i="9"/>
  <c r="H2854" i="9"/>
  <c r="H2855" i="9"/>
  <c r="H2856" i="9"/>
  <c r="H2857" i="9"/>
  <c r="H2858" i="9"/>
  <c r="H2859" i="9"/>
  <c r="H2860" i="9"/>
  <c r="H2861" i="9"/>
  <c r="H2862" i="9"/>
  <c r="H2863" i="9"/>
  <c r="H2864" i="9"/>
  <c r="H2865" i="9"/>
  <c r="H2866" i="9"/>
  <c r="H2867" i="9"/>
  <c r="H2868" i="9"/>
  <c r="H2869" i="9"/>
  <c r="H2870" i="9"/>
  <c r="H2871" i="9"/>
  <c r="H2872" i="9"/>
  <c r="H2873" i="9"/>
  <c r="H2874" i="9"/>
  <c r="H2875" i="9"/>
  <c r="H2876" i="9"/>
  <c r="H2877" i="9"/>
  <c r="H2878" i="9"/>
  <c r="H2879" i="9"/>
  <c r="H2880" i="9"/>
  <c r="H2881" i="9"/>
  <c r="H2882" i="9"/>
  <c r="H2883" i="9"/>
  <c r="H2884" i="9"/>
  <c r="H2885" i="9"/>
  <c r="H2886" i="9"/>
  <c r="H2887" i="9"/>
  <c r="H2888" i="9"/>
  <c r="H2889" i="9"/>
  <c r="H2890" i="9"/>
  <c r="H2891" i="9"/>
  <c r="H2892" i="9"/>
  <c r="H2893" i="9"/>
  <c r="H2894" i="9"/>
  <c r="H2895" i="9"/>
  <c r="H2896" i="9"/>
  <c r="H2897" i="9"/>
  <c r="H2898" i="9"/>
  <c r="H2899" i="9"/>
  <c r="H2900" i="9"/>
  <c r="H2901" i="9"/>
  <c r="H2902" i="9"/>
  <c r="H2903" i="9"/>
  <c r="H2904" i="9"/>
  <c r="H2905" i="9"/>
  <c r="H2906" i="9"/>
  <c r="H2907" i="9"/>
  <c r="H2908" i="9"/>
  <c r="H2909" i="9"/>
  <c r="H2910" i="9"/>
  <c r="H2911" i="9"/>
  <c r="H2912" i="9"/>
  <c r="H2913" i="9"/>
  <c r="H2914" i="9"/>
  <c r="H2915" i="9"/>
  <c r="H2916" i="9"/>
  <c r="H2917" i="9"/>
  <c r="H2918" i="9"/>
  <c r="H2919" i="9"/>
  <c r="H2920" i="9"/>
  <c r="H2921" i="9"/>
  <c r="H2922" i="9"/>
  <c r="H2923" i="9"/>
  <c r="H2924" i="9"/>
  <c r="H2925" i="9"/>
  <c r="H2926" i="9"/>
  <c r="H2927" i="9"/>
  <c r="H2928" i="9"/>
  <c r="H2929" i="9"/>
  <c r="H2930" i="9"/>
  <c r="H2931" i="9"/>
  <c r="H2932" i="9"/>
  <c r="H2933" i="9"/>
  <c r="H2934" i="9"/>
  <c r="H2935" i="9"/>
  <c r="H2936" i="9"/>
  <c r="H2937" i="9"/>
  <c r="H2938" i="9"/>
  <c r="H2939" i="9"/>
  <c r="H2940" i="9"/>
  <c r="H2941" i="9"/>
  <c r="H2942" i="9"/>
  <c r="H2943" i="9"/>
  <c r="H2944" i="9"/>
  <c r="H2945" i="9"/>
  <c r="H2946" i="9"/>
  <c r="H2947" i="9"/>
  <c r="H2948" i="9"/>
  <c r="H2949" i="9"/>
  <c r="H2950" i="9"/>
  <c r="H2951" i="9"/>
  <c r="H2952" i="9"/>
  <c r="H2953" i="9"/>
  <c r="H2954" i="9"/>
  <c r="H2955" i="9"/>
  <c r="H2956" i="9"/>
  <c r="H2957" i="9"/>
  <c r="H2958" i="9"/>
  <c r="H2959" i="9"/>
  <c r="H2960" i="9"/>
  <c r="H2961" i="9"/>
  <c r="H2962" i="9"/>
  <c r="H2963" i="9"/>
  <c r="H2964" i="9"/>
  <c r="H2965" i="9"/>
  <c r="H2966" i="9"/>
  <c r="H2967" i="9"/>
  <c r="H2968" i="9"/>
  <c r="H2969" i="9"/>
  <c r="H2970" i="9"/>
  <c r="H2971" i="9"/>
  <c r="H2972" i="9"/>
  <c r="H2973" i="9"/>
  <c r="H2974" i="9"/>
  <c r="H2975" i="9"/>
  <c r="H2976" i="9"/>
  <c r="H2977" i="9"/>
  <c r="H2978" i="9"/>
  <c r="H2979" i="9"/>
  <c r="H2980" i="9"/>
  <c r="H2981" i="9"/>
  <c r="H2982" i="9"/>
  <c r="H2983" i="9"/>
  <c r="H2984" i="9"/>
  <c r="H2985" i="9"/>
  <c r="H2986" i="9"/>
  <c r="H2987" i="9"/>
  <c r="H2988" i="9"/>
  <c r="H2989" i="9"/>
  <c r="H2990" i="9"/>
  <c r="H2991" i="9"/>
  <c r="H2992" i="9"/>
  <c r="H2993" i="9"/>
  <c r="H2994" i="9"/>
  <c r="H2995" i="9"/>
  <c r="H2996" i="9"/>
  <c r="H2997" i="9"/>
  <c r="H2998" i="9"/>
  <c r="H2999" i="9"/>
  <c r="H3000" i="9"/>
  <c r="H3001" i="9"/>
  <c r="H3002" i="9"/>
  <c r="H3003" i="9"/>
  <c r="H3004" i="9"/>
  <c r="H3005" i="9"/>
  <c r="H3006" i="9"/>
  <c r="H3007" i="9"/>
  <c r="H3008" i="9"/>
  <c r="H3009" i="9"/>
  <c r="H3010" i="9"/>
  <c r="H3011" i="9"/>
  <c r="H3012" i="9"/>
  <c r="H3013" i="9"/>
  <c r="H3014" i="9"/>
  <c r="H3015" i="9"/>
  <c r="H3016" i="9"/>
  <c r="H3017" i="9"/>
  <c r="H3018" i="9"/>
  <c r="H3019" i="9"/>
  <c r="H3020" i="9"/>
  <c r="H3021" i="9"/>
  <c r="H3022" i="9"/>
  <c r="H3023" i="9"/>
  <c r="H3024" i="9"/>
  <c r="H3025" i="9"/>
  <c r="H3026" i="9"/>
  <c r="H3027" i="9"/>
  <c r="H3028" i="9"/>
  <c r="H3029" i="9"/>
  <c r="H3030" i="9"/>
  <c r="H3031" i="9"/>
  <c r="H3032" i="9"/>
  <c r="H3033" i="9"/>
  <c r="H3034" i="9"/>
  <c r="H3035" i="9"/>
  <c r="H3036" i="9"/>
  <c r="H3037" i="9"/>
  <c r="H3038" i="9"/>
  <c r="H3039" i="9"/>
  <c r="H3040" i="9"/>
  <c r="H3041" i="9"/>
  <c r="H3042" i="9"/>
  <c r="H3043" i="9"/>
  <c r="H3044" i="9"/>
  <c r="H3045" i="9"/>
  <c r="H3046" i="9"/>
  <c r="H3047" i="9"/>
  <c r="H3048" i="9"/>
  <c r="H3049" i="9"/>
  <c r="H3050" i="9"/>
  <c r="H3051" i="9"/>
  <c r="H3052" i="9"/>
  <c r="H3053" i="9"/>
  <c r="H3054" i="9"/>
  <c r="H3055" i="9"/>
  <c r="H3056" i="9"/>
  <c r="H3057" i="9"/>
  <c r="H3058" i="9"/>
  <c r="H3059" i="9"/>
  <c r="H3060" i="9"/>
  <c r="H3061" i="9"/>
  <c r="H3062" i="9"/>
  <c r="H3063" i="9"/>
  <c r="H3064" i="9"/>
  <c r="H3065" i="9"/>
  <c r="H3066" i="9"/>
  <c r="H3067" i="9"/>
  <c r="H3068" i="9"/>
  <c r="H3069" i="9"/>
  <c r="H3070" i="9"/>
  <c r="I580" i="9"/>
  <c r="I579" i="9"/>
  <c r="I578" i="9"/>
  <c r="I496" i="9"/>
  <c r="I495" i="9"/>
  <c r="Q3" i="9" l="1"/>
  <c r="Q2" i="9"/>
  <c r="K2" i="9"/>
  <c r="J2" i="9"/>
</calcChain>
</file>

<file path=xl/sharedStrings.xml><?xml version="1.0" encoding="utf-8"?>
<sst xmlns="http://schemas.openxmlformats.org/spreadsheetml/2006/main" count="6281" uniqueCount="77">
  <si>
    <t>customer_id</t>
  </si>
  <si>
    <t>created_date</t>
  </si>
  <si>
    <t>canceled_date</t>
  </si>
  <si>
    <t>subscription_cost</t>
  </si>
  <si>
    <t>subscription_interval</t>
  </si>
  <si>
    <t>was_subscription_paid</t>
  </si>
  <si>
    <t>month</t>
  </si>
  <si>
    <t>Yes</t>
  </si>
  <si>
    <t>No</t>
  </si>
  <si>
    <t>Indicates if payment was successfully collected for a subscription</t>
  </si>
  <si>
    <t>Measurement of time between billing occurrences for a recurring billing subscription</t>
  </si>
  <si>
    <t>Price of the subscription in USD</t>
  </si>
  <si>
    <t>Unique customer identification number representing an individual customer</t>
  </si>
  <si>
    <t>Description</t>
  </si>
  <si>
    <t>Field</t>
  </si>
  <si>
    <t>Expected Dashboard</t>
  </si>
  <si>
    <t>Date the customer subscription was created (DD/MM/YYYY).</t>
  </si>
  <si>
    <t>Date the customer subscription was canceled (DD/MM/YYYY). If value is blank then the subscription has not been canceled</t>
  </si>
  <si>
    <t xml:space="preserve"> Cancellation Duration</t>
  </si>
  <si>
    <t>Weekday</t>
  </si>
  <si>
    <t>1. Calculate the total number of subscriptions and cancellations</t>
  </si>
  <si>
    <t>Row Labels</t>
  </si>
  <si>
    <t>Grand Total</t>
  </si>
  <si>
    <t>2022</t>
  </si>
  <si>
    <t>2023</t>
  </si>
  <si>
    <t>Count of created_date</t>
  </si>
  <si>
    <t>Count of canceled_date</t>
  </si>
  <si>
    <t>&lt;02-09-2022</t>
  </si>
  <si>
    <t>Sum of subscription_cost</t>
  </si>
  <si>
    <t>3. Analyze the average subscription duration before cancellation.</t>
  </si>
  <si>
    <t>Average of  Cancellation Duration</t>
  </si>
  <si>
    <t>Count of subscription_cost</t>
  </si>
  <si>
    <t>4. Identify the date with the highest number of new subscriptions.</t>
  </si>
  <si>
    <t>5. Find the proportion of subscriptions that were canceled within one day.</t>
  </si>
  <si>
    <t>1. Create a bar chart showing the number of new subscriptions per month for year 2022.</t>
  </si>
  <si>
    <t>Jan</t>
  </si>
  <si>
    <t>Feb</t>
  </si>
  <si>
    <t>Mar</t>
  </si>
  <si>
    <t>Apr</t>
  </si>
  <si>
    <t>May</t>
  </si>
  <si>
    <t>Jun</t>
  </si>
  <si>
    <t>Jul</t>
  </si>
  <si>
    <t>Aug</t>
  </si>
  <si>
    <t>Sep</t>
  </si>
  <si>
    <t>Oct</t>
  </si>
  <si>
    <t>Nov</t>
  </si>
  <si>
    <t>Dec</t>
  </si>
  <si>
    <t>Questions for Analysis:</t>
  </si>
  <si>
    <t>1. Which date had the highest number of subscriptions cancellations?</t>
  </si>
  <si>
    <t>2. How many subscriptions were canceled on the same day they were created?</t>
  </si>
  <si>
    <t>3. What is the cancellation rate within the first two days of subscription?</t>
  </si>
  <si>
    <t>4. How many subscriptions lasted more than one month?</t>
  </si>
  <si>
    <t>5. What is the most common duration before cancellation?</t>
  </si>
  <si>
    <t>6. How does the number of subscriptions vary by day?</t>
  </si>
  <si>
    <t>7. Are there any indications that unpaid subscriptions have a higher cancellation rate?</t>
  </si>
  <si>
    <t>Answers</t>
  </si>
  <si>
    <t>Count of  Cancellation Duration</t>
  </si>
  <si>
    <t>Count of Weekday</t>
  </si>
  <si>
    <t>Weekday 2</t>
  </si>
  <si>
    <t>2. Determine the percentage of paid vs. unpaid subscriptions</t>
  </si>
  <si>
    <t>Sunday</t>
  </si>
  <si>
    <t>Monday</t>
  </si>
  <si>
    <t>Tuesday</t>
  </si>
  <si>
    <t>Wednesday</t>
  </si>
  <si>
    <t>Thursday</t>
  </si>
  <si>
    <t>Friday</t>
  </si>
  <si>
    <t>Saturday</t>
  </si>
  <si>
    <t>subscriptions vary by day</t>
  </si>
  <si>
    <t>More than a month</t>
  </si>
  <si>
    <t>Not Cancelled</t>
  </si>
  <si>
    <t>Count of  Cancellation Duration2</t>
  </si>
  <si>
    <t>Create a bar chart showing the number of new subscriptions per month for year 2022.</t>
  </si>
  <si>
    <t>canceled within one day</t>
  </si>
  <si>
    <t xml:space="preserve">cancelled in 1 day and 2 days </t>
  </si>
  <si>
    <t>Subscription cancelled in 1 and 2 days</t>
  </si>
  <si>
    <t>Calculation</t>
  </si>
  <si>
    <t>Total number of cancelled subsciption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</si>
</sst>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b/>
      <sz val="11"/>
      <color rgb="FF000000"/>
      <name val="Calibri"/>
      <family val="2"/>
      <scheme val="minor"/>
    </font>
    <font>
      <b/>
      <u/>
      <sz val="11"/>
      <color rgb="FF00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7">
    <xf numFmtId="0" fontId="0" fillId="0" borderId="0" xfId="0"/>
    <xf numFmtId="14" fontId="0" fillId="0" borderId="0" xfId="0" applyNumberFormat="1"/>
    <xf numFmtId="0" fontId="0" fillId="0" borderId="10" xfId="0" applyBorder="1"/>
    <xf numFmtId="0" fontId="16" fillId="33" borderId="10" xfId="0" applyFont="1" applyFill="1" applyBorder="1"/>
    <xf numFmtId="0" fontId="16" fillId="0" borderId="0" xfId="0" applyFont="1"/>
    <xf numFmtId="0" fontId="0" fillId="0" borderId="0" xfId="0" applyAlignment="1">
      <alignment vertical="center"/>
    </xf>
    <xf numFmtId="0" fontId="0" fillId="0" borderId="0" xfId="0" applyAlignment="1">
      <alignment horizontal="left" vertical="center" indent="5"/>
    </xf>
    <xf numFmtId="0" fontId="19" fillId="0" borderId="0" xfId="0" applyFont="1"/>
    <xf numFmtId="1" fontId="0" fillId="0" borderId="0" xfId="0" applyNumberFormat="1"/>
    <xf numFmtId="0" fontId="18" fillId="0" borderId="0" xfId="0" applyFont="1" applyAlignment="1">
      <alignment horizontal="left"/>
    </xf>
    <xf numFmtId="0" fontId="0" fillId="0" borderId="0" xfId="0" pivotButton="1"/>
    <xf numFmtId="0" fontId="0" fillId="0" borderId="0" xfId="0" applyAlignment="1">
      <alignment horizontal="left"/>
    </xf>
    <xf numFmtId="0" fontId="18" fillId="0" borderId="0" xfId="0" applyFont="1" applyAlignment="1">
      <alignment horizontal="left" vertical="center"/>
    </xf>
    <xf numFmtId="10" fontId="0" fillId="0" borderId="0" xfId="0" applyNumberFormat="1"/>
    <xf numFmtId="0" fontId="0" fillId="0" borderId="0" xfId="0" applyAlignment="1">
      <alignment horizontal="left" indent="1"/>
    </xf>
    <xf numFmtId="0" fontId="18" fillId="0" borderId="12" xfId="0" applyFont="1" applyBorder="1" applyAlignment="1">
      <alignment horizontal="left" vertical="center" indent="5"/>
    </xf>
    <xf numFmtId="0" fontId="18" fillId="0" borderId="13" xfId="0" applyFont="1" applyBorder="1" applyAlignment="1">
      <alignment horizontal="left" vertical="center" indent="5"/>
    </xf>
    <xf numFmtId="0" fontId="0" fillId="0" borderId="14" xfId="0" applyBorder="1"/>
    <xf numFmtId="0" fontId="20" fillId="34" borderId="15" xfId="0" applyFont="1" applyFill="1" applyBorder="1"/>
    <xf numFmtId="0" fontId="0" fillId="34" borderId="16" xfId="0" applyFill="1" applyBorder="1"/>
    <xf numFmtId="0" fontId="0" fillId="34" borderId="11" xfId="0" applyFill="1" applyBorder="1"/>
    <xf numFmtId="0" fontId="0" fillId="0" borderId="17" xfId="0" applyBorder="1"/>
    <xf numFmtId="0" fontId="0" fillId="0" borderId="18" xfId="0" applyBorder="1"/>
    <xf numFmtId="14" fontId="0" fillId="0" borderId="11" xfId="0" applyNumberFormat="1" applyBorder="1" applyAlignment="1">
      <alignment horizontal="left"/>
    </xf>
    <xf numFmtId="10" fontId="0" fillId="0" borderId="17" xfId="0" applyNumberFormat="1" applyBorder="1"/>
    <xf numFmtId="9" fontId="0" fillId="0" borderId="0" xfId="0" applyNumberFormat="1"/>
    <xf numFmtId="164" fontId="0" fillId="0" borderId="0" xfId="0" applyNumberFormat="1"/>
    <xf numFmtId="0" fontId="19" fillId="0" borderId="0" xfId="0" applyFont="1" applyAlignment="1">
      <alignment horizontal="left" vertical="center"/>
    </xf>
    <xf numFmtId="9" fontId="0" fillId="0" borderId="0" xfId="42" applyFont="1"/>
    <xf numFmtId="165" fontId="0" fillId="0" borderId="0" xfId="0" applyNumberFormat="1"/>
    <xf numFmtId="10" fontId="0" fillId="0" borderId="0" xfId="42" applyNumberFormat="1" applyFont="1"/>
    <xf numFmtId="0" fontId="16" fillId="0" borderId="19" xfId="0" applyFont="1" applyBorder="1"/>
    <xf numFmtId="1" fontId="0" fillId="0" borderId="20" xfId="42" applyNumberFormat="1" applyFont="1" applyBorder="1"/>
    <xf numFmtId="0" fontId="16" fillId="0" borderId="21" xfId="0" applyFont="1" applyBorder="1"/>
    <xf numFmtId="2" fontId="0" fillId="0" borderId="22" xfId="42" applyNumberFormat="1" applyFont="1" applyBorder="1"/>
    <xf numFmtId="0" fontId="16" fillId="0" borderId="23" xfId="0" applyFont="1" applyBorder="1"/>
    <xf numFmtId="164" fontId="0" fillId="0" borderId="24" xfId="42"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(Questions).xlsx]Pivot !PivotTable10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'!$BS$3</c:f>
              <c:strCache>
                <c:ptCount val="1"/>
                <c:pt idx="0">
                  <c:v>Total</c:v>
                </c:pt>
              </c:strCache>
            </c:strRef>
          </c:tx>
          <c:spPr>
            <a:solidFill>
              <a:schemeClr val="accent1"/>
            </a:solidFill>
            <a:ln>
              <a:noFill/>
            </a:ln>
            <a:effectLst/>
          </c:spPr>
          <c:invertIfNegative val="0"/>
          <c:cat>
            <c:strRef>
              <c:f>'Pivot '!$BR$4:$BR$11</c:f>
              <c:strCache>
                <c:ptCount val="7"/>
                <c:pt idx="0">
                  <c:v>1</c:v>
                </c:pt>
                <c:pt idx="1">
                  <c:v>2</c:v>
                </c:pt>
                <c:pt idx="2">
                  <c:v>3</c:v>
                </c:pt>
                <c:pt idx="3">
                  <c:v>4</c:v>
                </c:pt>
                <c:pt idx="4">
                  <c:v>5</c:v>
                </c:pt>
                <c:pt idx="5">
                  <c:v>6</c:v>
                </c:pt>
                <c:pt idx="6">
                  <c:v>7</c:v>
                </c:pt>
              </c:strCache>
            </c:strRef>
          </c:cat>
          <c:val>
            <c:numRef>
              <c:f>'Pivot '!$BS$4:$BS$11</c:f>
              <c:numCache>
                <c:formatCode>General</c:formatCode>
                <c:ptCount val="7"/>
                <c:pt idx="0">
                  <c:v>306</c:v>
                </c:pt>
                <c:pt idx="1">
                  <c:v>539</c:v>
                </c:pt>
                <c:pt idx="2">
                  <c:v>487</c:v>
                </c:pt>
                <c:pt idx="3">
                  <c:v>472</c:v>
                </c:pt>
                <c:pt idx="4">
                  <c:v>505</c:v>
                </c:pt>
                <c:pt idx="5">
                  <c:v>452</c:v>
                </c:pt>
                <c:pt idx="6">
                  <c:v>308</c:v>
                </c:pt>
              </c:numCache>
            </c:numRef>
          </c:val>
          <c:extLst>
            <c:ext xmlns:c16="http://schemas.microsoft.com/office/drawing/2014/chart" uri="{C3380CC4-5D6E-409C-BE32-E72D297353CC}">
              <c16:uniqueId val="{00000000-DE02-459C-9396-E4EDB254E26E}"/>
            </c:ext>
          </c:extLst>
        </c:ser>
        <c:dLbls>
          <c:showLegendKey val="0"/>
          <c:showVal val="0"/>
          <c:showCatName val="0"/>
          <c:showSerName val="0"/>
          <c:showPercent val="0"/>
          <c:showBubbleSize val="0"/>
        </c:dLbls>
        <c:gapWidth val="219"/>
        <c:overlap val="-27"/>
        <c:axId val="918347535"/>
        <c:axId val="918336495"/>
      </c:barChart>
      <c:catAx>
        <c:axId val="91834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36495"/>
        <c:crosses val="autoZero"/>
        <c:auto val="1"/>
        <c:lblAlgn val="ctr"/>
        <c:lblOffset val="100"/>
        <c:noMultiLvlLbl val="0"/>
      </c:catAx>
      <c:valAx>
        <c:axId val="9183364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8347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(Questions).xlsx]Pivot !PivotTable2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 Cancelled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'!$B$12</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'!$A$13:$A$15</c:f>
              <c:strCache>
                <c:ptCount val="2"/>
                <c:pt idx="0">
                  <c:v>2022</c:v>
                </c:pt>
                <c:pt idx="1">
                  <c:v>2023</c:v>
                </c:pt>
              </c:strCache>
            </c:strRef>
          </c:cat>
          <c:val>
            <c:numRef>
              <c:f>'Pivot '!$B$13:$B$15</c:f>
              <c:numCache>
                <c:formatCode>General</c:formatCode>
                <c:ptCount val="2"/>
                <c:pt idx="0">
                  <c:v>346</c:v>
                </c:pt>
                <c:pt idx="1">
                  <c:v>1658</c:v>
                </c:pt>
              </c:numCache>
            </c:numRef>
          </c:val>
          <c:smooth val="0"/>
          <c:extLst>
            <c:ext xmlns:c16="http://schemas.microsoft.com/office/drawing/2014/chart" uri="{C3380CC4-5D6E-409C-BE32-E72D297353CC}">
              <c16:uniqueId val="{00000000-16C5-40FA-8595-0623DB23FCF4}"/>
            </c:ext>
          </c:extLst>
        </c:ser>
        <c:dLbls>
          <c:dLblPos val="t"/>
          <c:showLegendKey val="0"/>
          <c:showVal val="1"/>
          <c:showCatName val="0"/>
          <c:showSerName val="0"/>
          <c:showPercent val="0"/>
          <c:showBubbleSize val="0"/>
        </c:dLbls>
        <c:smooth val="0"/>
        <c:axId val="439972575"/>
        <c:axId val="439974015"/>
      </c:lineChart>
      <c:catAx>
        <c:axId val="43997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74015"/>
        <c:crosses val="autoZero"/>
        <c:auto val="1"/>
        <c:lblAlgn val="ctr"/>
        <c:lblOffset val="100"/>
        <c:noMultiLvlLbl val="0"/>
      </c:catAx>
      <c:valAx>
        <c:axId val="43997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97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(Questions).xlsx]Pivot !PivotTable3</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Percentage of Paid &amp; Unpaid Subscription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'Pivot '!$I$3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9BB-4E44-AAFC-14CD9BADF0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9BB-4E44-AAFC-14CD9BADF0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'!$H$4:$H$6</c:f>
              <c:strCache>
                <c:ptCount val="2"/>
                <c:pt idx="0">
                  <c:v>No</c:v>
                </c:pt>
                <c:pt idx="1">
                  <c:v>Yes</c:v>
                </c:pt>
              </c:strCache>
            </c:strRef>
          </c:cat>
          <c:val>
            <c:numRef>
              <c:f>'Pivot '!$I$4:$I$6</c:f>
              <c:numCache>
                <c:formatCode>0.0%</c:formatCode>
                <c:ptCount val="2"/>
                <c:pt idx="0">
                  <c:v>4.3336591723688499E-2</c:v>
                </c:pt>
                <c:pt idx="1">
                  <c:v>0.95666340827631147</c:v>
                </c:pt>
              </c:numCache>
            </c:numRef>
          </c:val>
          <c:extLst>
            <c:ext xmlns:c16="http://schemas.microsoft.com/office/drawing/2014/chart" uri="{C3380CC4-5D6E-409C-BE32-E72D297353CC}">
              <c16:uniqueId val="{00000004-89BB-4E44-AAFC-14CD9BADF0D6}"/>
            </c:ext>
          </c:extLst>
        </c:ser>
        <c:dLbls>
          <c:showLegendKey val="0"/>
          <c:showVal val="1"/>
          <c:showCatName val="1"/>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(Questions).xlsx]Pivot !PivotTable6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 of New</a:t>
            </a:r>
            <a:r>
              <a:rPr lang="en-US" b="1" baseline="0"/>
              <a:t> Subscription in 2022</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'!$AG$3</c:f>
              <c:strCache>
                <c:ptCount val="1"/>
                <c:pt idx="0">
                  <c:v>Total</c:v>
                </c:pt>
              </c:strCache>
            </c:strRef>
          </c:tx>
          <c:spPr>
            <a:solidFill>
              <a:schemeClr val="accent1"/>
            </a:solidFill>
            <a:ln>
              <a:noFill/>
            </a:ln>
            <a:effectLst/>
          </c:spPr>
          <c:invertIfNegative val="0"/>
          <c:cat>
            <c:multiLvlStrRef>
              <c:f>'Pivot '!$AF$4:$AF$18</c:f>
              <c:multiLvlStrCache>
                <c:ptCount val="13"/>
                <c:lvl>
                  <c:pt idx="0">
                    <c:v>&lt;02-09-2022</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2022</c:v>
                  </c:pt>
                </c:lvl>
              </c:multiLvlStrCache>
            </c:multiLvlStrRef>
          </c:cat>
          <c:val>
            <c:numRef>
              <c:f>'Pivot '!$AG$4:$AG$18</c:f>
              <c:numCache>
                <c:formatCode>General</c:formatCode>
                <c:ptCount val="13"/>
                <c:pt idx="0">
                  <c:v>113</c:v>
                </c:pt>
                <c:pt idx="1">
                  <c:v>113</c:v>
                </c:pt>
                <c:pt idx="2">
                  <c:v>84</c:v>
                </c:pt>
                <c:pt idx="3">
                  <c:v>65</c:v>
                </c:pt>
                <c:pt idx="4">
                  <c:v>36</c:v>
                </c:pt>
                <c:pt idx="5">
                  <c:v>24</c:v>
                </c:pt>
                <c:pt idx="6">
                  <c:v>20</c:v>
                </c:pt>
                <c:pt idx="7">
                  <c:v>15</c:v>
                </c:pt>
                <c:pt idx="8">
                  <c:v>16</c:v>
                </c:pt>
                <c:pt idx="9">
                  <c:v>33</c:v>
                </c:pt>
                <c:pt idx="10">
                  <c:v>81</c:v>
                </c:pt>
                <c:pt idx="11">
                  <c:v>109</c:v>
                </c:pt>
                <c:pt idx="12">
                  <c:v>123</c:v>
                </c:pt>
              </c:numCache>
            </c:numRef>
          </c:val>
          <c:extLst>
            <c:ext xmlns:c16="http://schemas.microsoft.com/office/drawing/2014/chart" uri="{C3380CC4-5D6E-409C-BE32-E72D297353CC}">
              <c16:uniqueId val="{00000000-5DD1-47E7-B8A1-ED311C2B1A72}"/>
            </c:ext>
          </c:extLst>
        </c:ser>
        <c:dLbls>
          <c:showLegendKey val="0"/>
          <c:showVal val="0"/>
          <c:showCatName val="0"/>
          <c:showSerName val="0"/>
          <c:showPercent val="0"/>
          <c:showBubbleSize val="0"/>
        </c:dLbls>
        <c:gapWidth val="182"/>
        <c:axId val="419111183"/>
        <c:axId val="419112143"/>
      </c:barChart>
      <c:catAx>
        <c:axId val="4191111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2143"/>
        <c:crosses val="autoZero"/>
        <c:auto val="1"/>
        <c:lblAlgn val="ctr"/>
        <c:lblOffset val="100"/>
        <c:noMultiLvlLbl val="0"/>
      </c:catAx>
      <c:valAx>
        <c:axId val="4191121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11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[Project 3 - Subscription Data (Questions).xlsx]Pivot !PivotTable12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Subscriptions Day by day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'!$BV$3</c:f>
              <c:strCache>
                <c:ptCount val="1"/>
                <c:pt idx="0">
                  <c:v>Total</c:v>
                </c:pt>
              </c:strCache>
            </c:strRef>
          </c:tx>
          <c:spPr>
            <a:solidFill>
              <a:schemeClr val="accent1"/>
            </a:solidFill>
            <a:ln>
              <a:noFill/>
            </a:ln>
            <a:effectLst/>
          </c:spPr>
          <c:invertIfNegative val="0"/>
          <c:cat>
            <c:strRef>
              <c:f>'Pivot '!$BU$4:$BU$11</c:f>
              <c:strCache>
                <c:ptCount val="7"/>
                <c:pt idx="0">
                  <c:v>Sunday</c:v>
                </c:pt>
                <c:pt idx="1">
                  <c:v>Monday</c:v>
                </c:pt>
                <c:pt idx="2">
                  <c:v>Tuesday</c:v>
                </c:pt>
                <c:pt idx="3">
                  <c:v>Wednesday</c:v>
                </c:pt>
                <c:pt idx="4">
                  <c:v>Thursday</c:v>
                </c:pt>
                <c:pt idx="5">
                  <c:v>Friday</c:v>
                </c:pt>
                <c:pt idx="6">
                  <c:v>Saturday</c:v>
                </c:pt>
              </c:strCache>
            </c:strRef>
          </c:cat>
          <c:val>
            <c:numRef>
              <c:f>'Pivot '!$BV$4:$BV$11</c:f>
              <c:numCache>
                <c:formatCode>General</c:formatCode>
                <c:ptCount val="7"/>
                <c:pt idx="0">
                  <c:v>306</c:v>
                </c:pt>
                <c:pt idx="1">
                  <c:v>539</c:v>
                </c:pt>
                <c:pt idx="2">
                  <c:v>487</c:v>
                </c:pt>
                <c:pt idx="3">
                  <c:v>472</c:v>
                </c:pt>
                <c:pt idx="4">
                  <c:v>505</c:v>
                </c:pt>
                <c:pt idx="5">
                  <c:v>452</c:v>
                </c:pt>
                <c:pt idx="6">
                  <c:v>308</c:v>
                </c:pt>
              </c:numCache>
            </c:numRef>
          </c:val>
          <c:extLst>
            <c:ext xmlns:c16="http://schemas.microsoft.com/office/drawing/2014/chart" uri="{C3380CC4-5D6E-409C-BE32-E72D297353CC}">
              <c16:uniqueId val="{00000000-50AC-4522-A3B5-A14ECAA66A67}"/>
            </c:ext>
          </c:extLst>
        </c:ser>
        <c:dLbls>
          <c:showLegendKey val="0"/>
          <c:showVal val="0"/>
          <c:showCatName val="0"/>
          <c:showSerName val="0"/>
          <c:showPercent val="0"/>
          <c:showBubbleSize val="0"/>
        </c:dLbls>
        <c:gapWidth val="219"/>
        <c:overlap val="-27"/>
        <c:axId val="1056790064"/>
        <c:axId val="1056788624"/>
      </c:barChart>
      <c:catAx>
        <c:axId val="1056790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88624"/>
        <c:crosses val="autoZero"/>
        <c:auto val="1"/>
        <c:lblAlgn val="ctr"/>
        <c:lblOffset val="100"/>
        <c:noMultiLvlLbl val="0"/>
      </c:catAx>
      <c:valAx>
        <c:axId val="1056788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79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507937</xdr:colOff>
      <xdr:row>18</xdr:row>
      <xdr:rowOff>153956</xdr:rowOff>
    </xdr:from>
    <xdr:to>
      <xdr:col>7</xdr:col>
      <xdr:colOff>796991</xdr:colOff>
      <xdr:row>29</xdr:row>
      <xdr:rowOff>144431</xdr:rowOff>
    </xdr:to>
    <xdr:sp macro="" textlink="">
      <xdr:nvSpPr>
        <xdr:cNvPr id="2" name="Rectangle 1">
          <a:extLst>
            <a:ext uri="{FF2B5EF4-FFF2-40B4-BE49-F238E27FC236}">
              <a16:creationId xmlns:a16="http://schemas.microsoft.com/office/drawing/2014/main" id="{B13EEFB2-ED9B-B836-D690-0E0D8A691E9D}"/>
            </a:ext>
          </a:extLst>
        </xdr:cNvPr>
        <xdr:cNvSpPr/>
      </xdr:nvSpPr>
      <xdr:spPr>
        <a:xfrm>
          <a:off x="1382682" y="3652936"/>
          <a:ext cx="5654156" cy="21287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endParaRPr lang="en-IN">
            <a:effectLst/>
          </a:endParaRPr>
        </a:p>
        <a:p>
          <a:r>
            <a:rPr lang="en-IN" sz="1100" b="0" i="0">
              <a:solidFill>
                <a:schemeClr val="dk1"/>
              </a:solidFill>
              <a:effectLst/>
              <a:latin typeface="+mn-lt"/>
              <a:ea typeface="+mn-ea"/>
              <a:cs typeface="+mn-cs"/>
            </a:rPr>
            <a:t>1. For the proportion of subscriptions that were canceled within one day, you need to find the percentage number of the subscriptions that were canceled within one day.  </a:t>
          </a:r>
          <a:r>
            <a:rPr lang="en-IN" sz="1100" b="0" i="0">
              <a:solidFill>
                <a:srgbClr val="FF0000"/>
              </a:solidFill>
              <a:effectLst/>
              <a:latin typeface="+mn-lt"/>
              <a:ea typeface="+mn-ea"/>
              <a:cs typeface="+mn-cs"/>
            </a:rPr>
            <a:t>6%</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2. Cancellation rate within the first two days of subscription, should be the percentage of subscriptions that were cancelled in 1 day and 2 days out of all the subscriptions.</a:t>
          </a:r>
          <a:r>
            <a:rPr lang="en-IN" sz="1100" b="0" i="0" baseline="0">
              <a:solidFill>
                <a:schemeClr val="dk1"/>
              </a:solidFill>
              <a:effectLst/>
              <a:latin typeface="+mn-lt"/>
              <a:ea typeface="+mn-ea"/>
              <a:cs typeface="+mn-cs"/>
            </a:rPr>
            <a:t> </a:t>
          </a:r>
          <a:r>
            <a:rPr lang="en-IN" sz="1100" b="0" i="0" baseline="0">
              <a:solidFill>
                <a:srgbClr val="FF0000"/>
              </a:solidFill>
              <a:effectLst/>
              <a:latin typeface="+mn-lt"/>
              <a:ea typeface="+mn-ea"/>
              <a:cs typeface="+mn-cs"/>
            </a:rPr>
            <a:t>14.6%</a:t>
          </a:r>
          <a:r>
            <a:rPr lang="en-IN" sz="1100" b="0" i="0">
              <a:solidFill>
                <a:srgbClr val="FF0000"/>
              </a:solidFill>
              <a:effectLst/>
              <a:latin typeface="+mn-lt"/>
              <a:ea typeface="+mn-ea"/>
              <a:cs typeface="+mn-cs"/>
            </a:rPr>
            <a:t> </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3. For how many subscriptions lasted more than one month, you need to provide a count of subscriptions that  lasted more than one month.  </a:t>
          </a:r>
          <a:r>
            <a:rPr lang="en-IN" sz="1100" b="0" i="0">
              <a:solidFill>
                <a:srgbClr val="FF0000"/>
              </a:solidFill>
              <a:effectLst/>
              <a:latin typeface="+mn-lt"/>
              <a:ea typeface="+mn-ea"/>
              <a:cs typeface="+mn-cs"/>
            </a:rPr>
            <a:t>2332</a:t>
          </a:r>
        </a:p>
        <a:p>
          <a:endParaRPr lang="en-IN">
            <a:effectLst/>
          </a:endParaRPr>
        </a:p>
      </xdr:txBody>
    </xdr:sp>
    <xdr:clientData/>
  </xdr:twoCellAnchor>
  <xdr:twoCellAnchor>
    <xdr:from>
      <xdr:col>57</xdr:col>
      <xdr:colOff>241042</xdr:colOff>
      <xdr:row>2</xdr:row>
      <xdr:rowOff>173783</xdr:rowOff>
    </xdr:from>
    <xdr:to>
      <xdr:col>68</xdr:col>
      <xdr:colOff>750337</xdr:colOff>
      <xdr:row>17</xdr:row>
      <xdr:rowOff>1167</xdr:rowOff>
    </xdr:to>
    <xdr:graphicFrame macro="">
      <xdr:nvGraphicFramePr>
        <xdr:cNvPr id="4" name="Chart 3">
          <a:extLst>
            <a:ext uri="{FF2B5EF4-FFF2-40B4-BE49-F238E27FC236}">
              <a16:creationId xmlns:a16="http://schemas.microsoft.com/office/drawing/2014/main" id="{EED6884A-3BEC-A77A-55AE-587CD7493B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597742</xdr:colOff>
      <xdr:row>5</xdr:row>
      <xdr:rowOff>167174</xdr:rowOff>
    </xdr:from>
    <xdr:to>
      <xdr:col>19</xdr:col>
      <xdr:colOff>1551797</xdr:colOff>
      <xdr:row>18</xdr:row>
      <xdr:rowOff>164258</xdr:rowOff>
    </xdr:to>
    <mc:AlternateContent xmlns:mc="http://schemas.openxmlformats.org/markup-compatibility/2006" xmlns:a14="http://schemas.microsoft.com/office/drawing/2010/main">
      <mc:Choice Requires="a14">
        <xdr:graphicFrame macro="">
          <xdr:nvGraphicFramePr>
            <xdr:cNvPr id="3" name="Years (created_date)">
              <a:extLst>
                <a:ext uri="{FF2B5EF4-FFF2-40B4-BE49-F238E27FC236}">
                  <a16:creationId xmlns:a16="http://schemas.microsoft.com/office/drawing/2014/main" id="{D861524F-E8D1-D481-80C0-C569066CE4C2}"/>
                </a:ext>
              </a:extLst>
            </xdr:cNvPr>
            <xdr:cNvGraphicFramePr/>
          </xdr:nvGraphicFramePr>
          <xdr:xfrm>
            <a:off x="0" y="0"/>
            <a:ext cx="0" cy="0"/>
          </xdr:xfrm>
          <a:graphic>
            <a:graphicData uri="http://schemas.microsoft.com/office/drawing/2010/slicer">
              <sle:slicer xmlns:sle="http://schemas.microsoft.com/office/drawing/2010/slicer" name="Years (created_date)"/>
            </a:graphicData>
          </a:graphic>
        </xdr:graphicFrame>
      </mc:Choice>
      <mc:Fallback xmlns="">
        <xdr:sp macro="" textlink="">
          <xdr:nvSpPr>
            <xdr:cNvPr id="0" name=""/>
            <xdr:cNvSpPr>
              <a:spLocks noTextEdit="1"/>
            </xdr:cNvSpPr>
          </xdr:nvSpPr>
          <xdr:spPr>
            <a:xfrm>
              <a:off x="18063482" y="11391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1</xdr:row>
      <xdr:rowOff>0</xdr:rowOff>
    </xdr:from>
    <xdr:to>
      <xdr:col>17</xdr:col>
      <xdr:colOff>411480</xdr:colOff>
      <xdr:row>29</xdr:row>
      <xdr:rowOff>53340</xdr:rowOff>
    </xdr:to>
    <xdr:sp macro="" textlink="">
      <xdr:nvSpPr>
        <xdr:cNvPr id="2" name="TextBox 1">
          <a:extLst>
            <a:ext uri="{FF2B5EF4-FFF2-40B4-BE49-F238E27FC236}">
              <a16:creationId xmlns:a16="http://schemas.microsoft.com/office/drawing/2014/main" id="{E04B6730-2C9D-4D98-831E-73E083F0A61D}"/>
            </a:ext>
          </a:extLst>
        </xdr:cNvPr>
        <xdr:cNvSpPr txBox="1"/>
      </xdr:nvSpPr>
      <xdr:spPr>
        <a:xfrm>
          <a:off x="182880" y="182880"/>
          <a:ext cx="10591800" cy="5173980"/>
        </a:xfrm>
        <a:prstGeom prst="roundRect">
          <a:avLst>
            <a:gd name="adj" fmla="val 5868"/>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7030A0"/>
              </a:solidFill>
            </a:rPr>
            <a:t>Instructions for Students:</a:t>
          </a:r>
        </a:p>
        <a:p>
          <a:endParaRPr lang="en-IN" b="1"/>
        </a:p>
        <a:p>
          <a:r>
            <a:rPr lang="en-IN" sz="1100" b="1" u="sng">
              <a:solidFill>
                <a:schemeClr val="dk1"/>
              </a:solidFill>
              <a:latin typeface="+mn-lt"/>
              <a:ea typeface="+mn-ea"/>
              <a:cs typeface="+mn-cs"/>
            </a:rPr>
            <a:t>Data Prepration:</a:t>
          </a:r>
        </a:p>
        <a:p>
          <a:pPr lvl="1"/>
          <a:r>
            <a:rPr lang="en-IN" b="0"/>
            <a:t>1.</a:t>
          </a:r>
          <a:r>
            <a:rPr lang="en-IN" b="0" baseline="0"/>
            <a:t> Create a new column Cancellation Duration.  This will contain the difference between date created and cancelled in days.</a:t>
          </a:r>
        </a:p>
        <a:p>
          <a:pPr lvl="1"/>
          <a:r>
            <a:rPr lang="en-IN" b="0" baseline="0"/>
            <a:t>2. Create another column to show the weekday when the subscription was created.</a:t>
          </a:r>
          <a:endParaRPr lang="en-IN" b="0"/>
        </a:p>
        <a:p>
          <a:pPr lvl="1"/>
          <a:endParaRPr lang="en-IN"/>
        </a:p>
        <a:p>
          <a:r>
            <a:rPr lang="en-IN" b="1" u="sng"/>
            <a:t>Data Analysis Tasks:</a:t>
          </a:r>
          <a:endParaRPr lang="en-IN" u="sng"/>
        </a:p>
        <a:p>
          <a:pPr lvl="1"/>
          <a:r>
            <a:rPr lang="en-IN"/>
            <a:t>1.</a:t>
          </a:r>
          <a:r>
            <a:rPr lang="en-IN" baseline="0"/>
            <a:t> </a:t>
          </a:r>
          <a:r>
            <a:rPr lang="en-IN"/>
            <a:t>Calculate the total number of subscriptions and cancellations.</a:t>
          </a:r>
        </a:p>
        <a:p>
          <a:pPr lvl="1"/>
          <a:r>
            <a:rPr lang="en-IN"/>
            <a:t>2. Determine the percentage of paid vs. unpaid subscriptions.</a:t>
          </a:r>
        </a:p>
        <a:p>
          <a:pPr lvl="1"/>
          <a:r>
            <a:rPr lang="en-IN"/>
            <a:t>3. Analyze the average subscription duration before cancellation.</a:t>
          </a:r>
        </a:p>
        <a:p>
          <a:pPr lvl="1"/>
          <a:r>
            <a:rPr lang="en-IN"/>
            <a:t>4. Identify the date with the highest number of new subscriptions.</a:t>
          </a:r>
        </a:p>
        <a:p>
          <a:pPr lvl="1"/>
          <a:r>
            <a:rPr lang="en-IN"/>
            <a:t>5. Find the proportion of subscriptions that were canceled within one day.</a:t>
          </a:r>
        </a:p>
        <a:p>
          <a:pPr lvl="1"/>
          <a:endParaRPr lang="en-IN"/>
        </a:p>
        <a:p>
          <a:r>
            <a:rPr lang="en-IN" b="1" u="sng"/>
            <a:t>Visualization &amp; Reporting:</a:t>
          </a:r>
          <a:endParaRPr lang="en-IN" u="sng"/>
        </a:p>
        <a:p>
          <a:pPr lvl="1"/>
          <a:r>
            <a:rPr lang="en-IN"/>
            <a:t>1. Create a bar chart showing the number of new subscriptions per month</a:t>
          </a:r>
          <a:r>
            <a:rPr lang="en-IN" baseline="0"/>
            <a:t> for year 2022</a:t>
          </a:r>
          <a:r>
            <a:rPr lang="en-IN"/>
            <a:t>.</a:t>
          </a:r>
        </a:p>
        <a:p>
          <a:pPr lvl="1"/>
          <a:r>
            <a:rPr lang="en-IN"/>
            <a:t>2. Generate a pie chart displaying the percentage of paid vs. unpaid subscriptions.</a:t>
          </a:r>
        </a:p>
        <a:p>
          <a:pPr lvl="1"/>
          <a:r>
            <a:rPr lang="en-IN"/>
            <a:t>3. Plot a line graph of subscription cancellations over time.</a:t>
          </a:r>
        </a:p>
        <a:p>
          <a:pPr lvl="1"/>
          <a:endParaRPr lang="en-IN"/>
        </a:p>
        <a:p>
          <a:r>
            <a:rPr lang="en-IN" b="1" u="sng"/>
            <a:t>Questions for Analysis:</a:t>
          </a:r>
        </a:p>
        <a:p>
          <a:pPr lvl="1"/>
          <a:r>
            <a:rPr lang="en-IN"/>
            <a:t>1. Which date had the highest number of subscriptions cancellations?</a:t>
          </a:r>
        </a:p>
        <a:p>
          <a:pPr lvl="1"/>
          <a:r>
            <a:rPr lang="en-IN"/>
            <a:t>2. How many subscriptions were canceled on the same day they were created?</a:t>
          </a:r>
        </a:p>
        <a:p>
          <a:pPr lvl="1"/>
          <a:r>
            <a:rPr lang="en-IN"/>
            <a:t>3. What is the cancellation rate within the first two days of subscription?</a:t>
          </a:r>
        </a:p>
        <a:p>
          <a:pPr lvl="1"/>
          <a:r>
            <a:rPr lang="en-IN"/>
            <a:t>4. How many subscriptions lasted more than one month?</a:t>
          </a:r>
        </a:p>
        <a:p>
          <a:pPr lvl="1"/>
          <a:r>
            <a:rPr lang="en-IN"/>
            <a:t>5. What is the most common duration before cancellation?</a:t>
          </a:r>
        </a:p>
        <a:p>
          <a:pPr lvl="1"/>
          <a:r>
            <a:rPr lang="en-IN"/>
            <a:t>6. How does the number of subscriptions vary by day?</a:t>
          </a:r>
        </a:p>
        <a:p>
          <a:pPr lvl="1"/>
          <a:r>
            <a:rPr lang="en-IN"/>
            <a:t>7. Are there any indications that unpaid subscriptions have a higher cancellation rate?</a:t>
          </a:r>
        </a:p>
        <a:p>
          <a:endParaRPr lang="en-IN" sz="1100"/>
        </a:p>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Prepare a Dashboard based on</a:t>
          </a:r>
          <a:r>
            <a:rPr lang="en-IN" sz="1100" baseline="0">
              <a:solidFill>
                <a:schemeClr val="dk1"/>
              </a:solidFill>
              <a:effectLst/>
              <a:latin typeface="+mn-lt"/>
              <a:ea typeface="+mn-ea"/>
              <a:cs typeface="+mn-cs"/>
            </a:rPr>
            <a:t> your findings.</a:t>
          </a:r>
        </a:p>
      </xdr:txBody>
    </xdr:sp>
    <xdr:clientData/>
  </xdr:twoCellAnchor>
  <xdr:twoCellAnchor editAs="oneCell">
    <xdr:from>
      <xdr:col>0</xdr:col>
      <xdr:colOff>114300</xdr:colOff>
      <xdr:row>32</xdr:row>
      <xdr:rowOff>60960</xdr:rowOff>
    </xdr:from>
    <xdr:to>
      <xdr:col>11</xdr:col>
      <xdr:colOff>434949</xdr:colOff>
      <xdr:row>57</xdr:row>
      <xdr:rowOff>107080</xdr:rowOff>
    </xdr:to>
    <xdr:pic>
      <xdr:nvPicPr>
        <xdr:cNvPr id="3" name="Picture 2">
          <a:extLst>
            <a:ext uri="{FF2B5EF4-FFF2-40B4-BE49-F238E27FC236}">
              <a16:creationId xmlns:a16="http://schemas.microsoft.com/office/drawing/2014/main" id="{8E9CA6A7-BEFB-4D33-9B66-5A3BB8CD2C15}"/>
            </a:ext>
          </a:extLst>
        </xdr:cNvPr>
        <xdr:cNvPicPr>
          <a:picLocks noChangeAspect="1"/>
        </xdr:cNvPicPr>
      </xdr:nvPicPr>
      <xdr:blipFill>
        <a:blip xmlns:r="http://schemas.openxmlformats.org/officeDocument/2006/relationships" r:embed="rId1"/>
        <a:stretch>
          <a:fillRect/>
        </a:stretch>
      </xdr:blipFill>
      <xdr:spPr>
        <a:xfrm>
          <a:off x="114300" y="5913120"/>
          <a:ext cx="7026249" cy="46181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56857</xdr:colOff>
      <xdr:row>11</xdr:row>
      <xdr:rowOff>38099</xdr:rowOff>
    </xdr:from>
    <xdr:to>
      <xdr:col>22</xdr:col>
      <xdr:colOff>592868</xdr:colOff>
      <xdr:row>52</xdr:row>
      <xdr:rowOff>39144</xdr:rowOff>
    </xdr:to>
    <xdr:grpSp>
      <xdr:nvGrpSpPr>
        <xdr:cNvPr id="26" name="Group 25">
          <a:extLst>
            <a:ext uri="{FF2B5EF4-FFF2-40B4-BE49-F238E27FC236}">
              <a16:creationId xmlns:a16="http://schemas.microsoft.com/office/drawing/2014/main" id="{89C365F6-F51B-35DD-BEF1-63DF6F3319DF}"/>
            </a:ext>
          </a:extLst>
        </xdr:cNvPr>
        <xdr:cNvGrpSpPr/>
      </xdr:nvGrpSpPr>
      <xdr:grpSpPr>
        <a:xfrm>
          <a:off x="1896617" y="2191010"/>
          <a:ext cx="12187826" cy="8025531"/>
          <a:chOff x="904973" y="2556352"/>
          <a:chExt cx="12187826" cy="8025531"/>
        </a:xfrm>
      </xdr:grpSpPr>
      <xdr:grpSp>
        <xdr:nvGrpSpPr>
          <xdr:cNvPr id="10" name="Group 9">
            <a:extLst>
              <a:ext uri="{FF2B5EF4-FFF2-40B4-BE49-F238E27FC236}">
                <a16:creationId xmlns:a16="http://schemas.microsoft.com/office/drawing/2014/main" id="{9807A056-0798-9979-B3BE-87C875E52132}"/>
              </a:ext>
            </a:extLst>
          </xdr:cNvPr>
          <xdr:cNvGrpSpPr/>
        </xdr:nvGrpSpPr>
        <xdr:grpSpPr>
          <a:xfrm>
            <a:off x="904973" y="2556352"/>
            <a:ext cx="12187826" cy="8025531"/>
            <a:chOff x="2301103" y="2830359"/>
            <a:chExt cx="12187826" cy="8025531"/>
          </a:xfrm>
        </xdr:grpSpPr>
        <xdr:grpSp>
          <xdr:nvGrpSpPr>
            <xdr:cNvPr id="24" name="Group 23">
              <a:extLst>
                <a:ext uri="{FF2B5EF4-FFF2-40B4-BE49-F238E27FC236}">
                  <a16:creationId xmlns:a16="http://schemas.microsoft.com/office/drawing/2014/main" id="{B560F901-C338-D02C-9BA9-7DFFFA258C95}"/>
                </a:ext>
              </a:extLst>
            </xdr:cNvPr>
            <xdr:cNvGrpSpPr/>
          </xdr:nvGrpSpPr>
          <xdr:grpSpPr>
            <a:xfrm>
              <a:off x="2301103" y="2830359"/>
              <a:ext cx="12187826" cy="8025531"/>
              <a:chOff x="1264606" y="2973886"/>
              <a:chExt cx="12187826" cy="8025531"/>
            </a:xfrm>
          </xdr:grpSpPr>
          <xdr:sp macro="" textlink="">
            <xdr:nvSpPr>
              <xdr:cNvPr id="5" name="Rectangle 4">
                <a:extLst>
                  <a:ext uri="{FF2B5EF4-FFF2-40B4-BE49-F238E27FC236}">
                    <a16:creationId xmlns:a16="http://schemas.microsoft.com/office/drawing/2014/main" id="{951D31C2-B660-6CD0-41AC-77A760D72D89}"/>
                  </a:ext>
                </a:extLst>
              </xdr:cNvPr>
              <xdr:cNvSpPr/>
            </xdr:nvSpPr>
            <xdr:spPr>
              <a:xfrm>
                <a:off x="1264606" y="2973886"/>
                <a:ext cx="12187826" cy="8025531"/>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b="0" i="0" u="none" strike="noStrike">
                  <a:solidFill>
                    <a:srgbClr val="000000"/>
                  </a:solidFill>
                  <a:latin typeface="Calibri"/>
                  <a:ea typeface="Calibri"/>
                  <a:cs typeface="Calibri"/>
                </a:endParaRPr>
              </a:p>
            </xdr:txBody>
          </xdr:sp>
          <xdr:sp macro="" textlink="">
            <xdr:nvSpPr>
              <xdr:cNvPr id="6" name="Rectangle 5">
                <a:extLst>
                  <a:ext uri="{FF2B5EF4-FFF2-40B4-BE49-F238E27FC236}">
                    <a16:creationId xmlns:a16="http://schemas.microsoft.com/office/drawing/2014/main" id="{2F809CEF-2397-9699-E7C3-DC040959EF2C}"/>
                  </a:ext>
                </a:extLst>
              </xdr:cNvPr>
              <xdr:cNvSpPr/>
            </xdr:nvSpPr>
            <xdr:spPr>
              <a:xfrm>
                <a:off x="1383082" y="3053219"/>
                <a:ext cx="11978014" cy="626302"/>
              </a:xfrm>
              <a:prstGeom prst="rect">
                <a:avLst/>
              </a:prstGeom>
              <a:solidFill>
                <a:schemeClr val="accent5">
                  <a:lumMod val="75000"/>
                </a:schemeClr>
              </a:solidFill>
              <a:ln>
                <a:solidFill>
                  <a:schemeClr val="tx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bg1"/>
                    </a:solidFill>
                  </a:rPr>
                  <a:t>Subscription Cohort Dashboard</a:t>
                </a:r>
              </a:p>
            </xdr:txBody>
          </xdr:sp>
          <xdr:graphicFrame macro="">
            <xdr:nvGraphicFramePr>
              <xdr:cNvPr id="7" name="Chart 6">
                <a:extLst>
                  <a:ext uri="{FF2B5EF4-FFF2-40B4-BE49-F238E27FC236}">
                    <a16:creationId xmlns:a16="http://schemas.microsoft.com/office/drawing/2014/main" id="{FEA0D080-7814-4557-909D-5840B9742D8D}"/>
                  </a:ext>
                </a:extLst>
              </xdr:cNvPr>
              <xdr:cNvGraphicFramePr>
                <a:graphicFrameLocks/>
              </xdr:cNvGraphicFramePr>
            </xdr:nvGraphicFramePr>
            <xdr:xfrm>
              <a:off x="7554760" y="8337638"/>
              <a:ext cx="5799159" cy="2518252"/>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8" name="Chart 7">
                <a:extLst>
                  <a:ext uri="{FF2B5EF4-FFF2-40B4-BE49-F238E27FC236}">
                    <a16:creationId xmlns:a16="http://schemas.microsoft.com/office/drawing/2014/main" id="{F0CEA685-A8B4-45B4-B9A6-C0D4C9CAA643}"/>
                  </a:ext>
                </a:extLst>
              </xdr:cNvPr>
              <xdr:cNvGraphicFramePr>
                <a:graphicFrameLocks/>
              </xdr:cNvGraphicFramePr>
            </xdr:nvGraphicFramePr>
            <xdr:xfrm>
              <a:off x="9668527" y="4932123"/>
              <a:ext cx="3614281" cy="33402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9" name="Chart 8">
                <a:extLst>
                  <a:ext uri="{FF2B5EF4-FFF2-40B4-BE49-F238E27FC236}">
                    <a16:creationId xmlns:a16="http://schemas.microsoft.com/office/drawing/2014/main" id="{C869D0DC-9077-4E19-8BFE-D6A03D2CEC59}"/>
                  </a:ext>
                </a:extLst>
              </xdr:cNvPr>
              <xdr:cNvGraphicFramePr>
                <a:graphicFrameLocks/>
              </xdr:cNvGraphicFramePr>
            </xdr:nvGraphicFramePr>
            <xdr:xfrm>
              <a:off x="1383082" y="4932123"/>
              <a:ext cx="8141918" cy="332722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11" name="Rectangle: Rounded Corners 10">
                <a:extLst>
                  <a:ext uri="{FF2B5EF4-FFF2-40B4-BE49-F238E27FC236}">
                    <a16:creationId xmlns:a16="http://schemas.microsoft.com/office/drawing/2014/main" id="{E0607C75-716E-5368-9C79-FD92EC61101D}"/>
                  </a:ext>
                </a:extLst>
              </xdr:cNvPr>
              <xdr:cNvSpPr/>
            </xdr:nvSpPr>
            <xdr:spPr>
              <a:xfrm>
                <a:off x="1409179" y="3770856"/>
                <a:ext cx="1918048" cy="887260"/>
              </a:xfrm>
              <a:prstGeom prst="roundRect">
                <a:avLst>
                  <a:gd name="adj" fmla="val 240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2C939D50-CB76-470D-9852-04943902D8DA}"/>
                  </a:ext>
                </a:extLst>
              </xdr:cNvPr>
              <xdr:cNvSpPr/>
            </xdr:nvSpPr>
            <xdr:spPr>
              <a:xfrm>
                <a:off x="8490037" y="3779729"/>
                <a:ext cx="2113767" cy="865340"/>
              </a:xfrm>
              <a:prstGeom prst="roundRect">
                <a:avLst>
                  <a:gd name="adj" fmla="val 240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A54C4AD8-AA1B-4E70-9912-5D2249D668F2}"/>
                  </a:ext>
                </a:extLst>
              </xdr:cNvPr>
              <xdr:cNvSpPr/>
            </xdr:nvSpPr>
            <xdr:spPr>
              <a:xfrm>
                <a:off x="6176375" y="3801649"/>
                <a:ext cx="2113767" cy="856467"/>
              </a:xfrm>
              <a:prstGeom prst="roundRect">
                <a:avLst>
                  <a:gd name="adj" fmla="val 240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E1775BB8-8712-454D-A07D-141E3A2B805D}"/>
                  </a:ext>
                </a:extLst>
              </xdr:cNvPr>
              <xdr:cNvSpPr/>
            </xdr:nvSpPr>
            <xdr:spPr>
              <a:xfrm>
                <a:off x="3405515" y="3771378"/>
                <a:ext cx="2466060" cy="886738"/>
              </a:xfrm>
              <a:prstGeom prst="roundRect">
                <a:avLst>
                  <a:gd name="adj" fmla="val 24074"/>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E4AB5F7D-1517-2310-4772-97A01ED5AAC0}"/>
                  </a:ext>
                </a:extLst>
              </xdr:cNvPr>
              <xdr:cNvSpPr/>
            </xdr:nvSpPr>
            <xdr:spPr>
              <a:xfrm>
                <a:off x="1539658" y="3875240"/>
                <a:ext cx="1709280" cy="208767"/>
              </a:xfrm>
              <a:prstGeom prst="rect">
                <a:avLst/>
              </a:prstGeom>
              <a:solidFill>
                <a:schemeClr val="bg1"/>
              </a:solidFill>
              <a:ln>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200" b="1">
                    <a:solidFill>
                      <a:schemeClr val="tx1"/>
                    </a:solidFill>
                  </a:rPr>
                  <a:t>Number of Subscription</a:t>
                </a:r>
              </a:p>
            </xdr:txBody>
          </xdr:sp>
          <xdr:sp macro="" textlink="">
            <xdr:nvSpPr>
              <xdr:cNvPr id="16" name="Rectangle: Rounded Corners 15">
                <a:extLst>
                  <a:ext uri="{FF2B5EF4-FFF2-40B4-BE49-F238E27FC236}">
                    <a16:creationId xmlns:a16="http://schemas.microsoft.com/office/drawing/2014/main" id="{EC840355-3C7C-2232-19AC-99C00A8F1E4F}"/>
                  </a:ext>
                </a:extLst>
              </xdr:cNvPr>
              <xdr:cNvSpPr/>
            </xdr:nvSpPr>
            <xdr:spPr>
              <a:xfrm>
                <a:off x="3640378" y="3862191"/>
                <a:ext cx="1970238" cy="600206"/>
              </a:xfrm>
              <a:prstGeom prst="round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solidFill>
                      <a:schemeClr val="tx1"/>
                    </a:solidFill>
                  </a:rPr>
                  <a:t>Numbers of Subscription</a:t>
                </a:r>
                <a:r>
                  <a:rPr lang="en-IN" sz="1200" b="1" baseline="0">
                    <a:solidFill>
                      <a:schemeClr val="tx1"/>
                    </a:solidFill>
                  </a:rPr>
                  <a:t> Cancelled</a:t>
                </a:r>
                <a:endParaRPr lang="en-IN" sz="1200" b="1">
                  <a:solidFill>
                    <a:schemeClr val="tx1"/>
                  </a:solidFill>
                </a:endParaRPr>
              </a:p>
            </xdr:txBody>
          </xdr:sp>
          <xdr:sp macro="" textlink="">
            <xdr:nvSpPr>
              <xdr:cNvPr id="17" name="Rectangle 16">
                <a:extLst>
                  <a:ext uri="{FF2B5EF4-FFF2-40B4-BE49-F238E27FC236}">
                    <a16:creationId xmlns:a16="http://schemas.microsoft.com/office/drawing/2014/main" id="{9FA9AB80-612D-7DBB-6E0F-67A852C53894}"/>
                  </a:ext>
                </a:extLst>
              </xdr:cNvPr>
              <xdr:cNvSpPr/>
            </xdr:nvSpPr>
            <xdr:spPr>
              <a:xfrm>
                <a:off x="6289110" y="3914384"/>
                <a:ext cx="1905000" cy="274006"/>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Paid Subscription</a:t>
                </a:r>
              </a:p>
            </xdr:txBody>
          </xdr:sp>
          <xdr:sp macro="" textlink="">
            <xdr:nvSpPr>
              <xdr:cNvPr id="18" name="Rectangle 17">
                <a:extLst>
                  <a:ext uri="{FF2B5EF4-FFF2-40B4-BE49-F238E27FC236}">
                    <a16:creationId xmlns:a16="http://schemas.microsoft.com/office/drawing/2014/main" id="{52DAE695-BC65-AE78-F7D9-8B6ED8F6EACB}"/>
                  </a:ext>
                </a:extLst>
              </xdr:cNvPr>
              <xdr:cNvSpPr/>
            </xdr:nvSpPr>
            <xdr:spPr>
              <a:xfrm>
                <a:off x="8611644" y="3875240"/>
                <a:ext cx="1918048" cy="287054"/>
              </a:xfrm>
              <a:prstGeom prst="rect">
                <a:avLst/>
              </a:prstGeom>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200" b="1">
                    <a:solidFill>
                      <a:schemeClr val="tx1"/>
                    </a:solidFill>
                  </a:rPr>
                  <a:t>Unpaid</a:t>
                </a:r>
                <a:r>
                  <a:rPr lang="en-IN" sz="1200" b="1" baseline="0">
                    <a:solidFill>
                      <a:schemeClr val="tx1"/>
                    </a:solidFill>
                  </a:rPr>
                  <a:t> Subscription</a:t>
                </a:r>
                <a:endParaRPr lang="en-IN" sz="1200" b="1">
                  <a:solidFill>
                    <a:schemeClr val="tx1"/>
                  </a:solidFill>
                </a:endParaRPr>
              </a:p>
            </xdr:txBody>
          </xdr:sp>
          <xdr:sp macro="" textlink="'Pivot '!C6">
            <xdr:nvSpPr>
              <xdr:cNvPr id="19" name="Rectangle 18">
                <a:extLst>
                  <a:ext uri="{FF2B5EF4-FFF2-40B4-BE49-F238E27FC236}">
                    <a16:creationId xmlns:a16="http://schemas.microsoft.com/office/drawing/2014/main" id="{10F9927E-247A-8B77-C465-AFE6370ED54B}"/>
                  </a:ext>
                </a:extLst>
              </xdr:cNvPr>
              <xdr:cNvSpPr/>
            </xdr:nvSpPr>
            <xdr:spPr>
              <a:xfrm>
                <a:off x="1578801" y="4253630"/>
                <a:ext cx="1657089" cy="26095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F78746A-C2F9-4472-ADDC-6EC02B7C556F}" type="TxLink">
                  <a:rPr lang="en-US" sz="1100" b="1" i="0" u="none" strike="noStrike">
                    <a:solidFill>
                      <a:srgbClr val="000000"/>
                    </a:solidFill>
                    <a:latin typeface="Calibri"/>
                    <a:ea typeface="Calibri"/>
                    <a:cs typeface="Calibri"/>
                  </a:rPr>
                  <a:pPr marL="0" indent="0" algn="ctr"/>
                  <a:t>3069</a:t>
                </a:fld>
                <a:endParaRPr lang="en-IN" sz="1100" b="1" i="0" u="none" strike="noStrike">
                  <a:solidFill>
                    <a:srgbClr val="000000"/>
                  </a:solidFill>
                  <a:latin typeface="Calibri"/>
                  <a:ea typeface="Calibri"/>
                  <a:cs typeface="Calibri"/>
                </a:endParaRPr>
              </a:p>
            </xdr:txBody>
          </xdr:sp>
          <xdr:sp macro="" textlink="'Pivot '!B6">
            <xdr:nvSpPr>
              <xdr:cNvPr id="20" name="Rectangle 19">
                <a:extLst>
                  <a:ext uri="{FF2B5EF4-FFF2-40B4-BE49-F238E27FC236}">
                    <a16:creationId xmlns:a16="http://schemas.microsoft.com/office/drawing/2014/main" id="{C95A9AD9-02D7-4250-8ACB-DB5C9159BA59}"/>
                  </a:ext>
                </a:extLst>
              </xdr:cNvPr>
              <xdr:cNvSpPr/>
            </xdr:nvSpPr>
            <xdr:spPr>
              <a:xfrm>
                <a:off x="3871065" y="4340790"/>
                <a:ext cx="1657089" cy="22599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7A2634F-3EA5-49A7-8222-9D0FF7977222}" type="TxLink">
                  <a:rPr lang="en-US" sz="1100" b="1" i="0" u="none" strike="noStrike">
                    <a:solidFill>
                      <a:schemeClr val="tx1"/>
                    </a:solidFill>
                    <a:latin typeface="Calibri"/>
                    <a:ea typeface="Calibri"/>
                    <a:cs typeface="Calibri"/>
                  </a:rPr>
                  <a:pPr marL="0" indent="0" algn="ctr"/>
                  <a:t>2004</a:t>
                </a:fld>
                <a:endParaRPr lang="en-IN" sz="1100" b="1" i="0" u="none" strike="noStrike">
                  <a:solidFill>
                    <a:schemeClr val="tx1"/>
                  </a:solidFill>
                  <a:latin typeface="Calibri"/>
                  <a:ea typeface="Calibri"/>
                  <a:cs typeface="Calibri"/>
                </a:endParaRPr>
              </a:p>
            </xdr:txBody>
          </xdr:sp>
          <xdr:sp macro="" textlink="'Pivot '!I5">
            <xdr:nvSpPr>
              <xdr:cNvPr id="21" name="Rectangle 20">
                <a:extLst>
                  <a:ext uri="{FF2B5EF4-FFF2-40B4-BE49-F238E27FC236}">
                    <a16:creationId xmlns:a16="http://schemas.microsoft.com/office/drawing/2014/main" id="{8F4AC3C1-A1AB-4C80-80B3-3C9C46EEB066}"/>
                  </a:ext>
                </a:extLst>
              </xdr:cNvPr>
              <xdr:cNvSpPr/>
            </xdr:nvSpPr>
            <xdr:spPr>
              <a:xfrm>
                <a:off x="6398191" y="4271376"/>
                <a:ext cx="1657089" cy="26095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5D6E35DF-D69B-448F-8DFB-C9329ACE93A9}" type="TxLink">
                  <a:rPr lang="en-US" sz="1100" b="1" i="0" u="none" strike="noStrike">
                    <a:solidFill>
                      <a:srgbClr val="000000"/>
                    </a:solidFill>
                    <a:latin typeface="Calibri"/>
                    <a:ea typeface="Calibri"/>
                    <a:cs typeface="Calibri"/>
                  </a:rPr>
                  <a:pPr marL="0" indent="0" algn="ctr"/>
                  <a:t>95.7%</a:t>
                </a:fld>
                <a:endParaRPr lang="en-IN" sz="1100" b="1" i="0" u="none" strike="noStrike">
                  <a:solidFill>
                    <a:srgbClr val="000000"/>
                  </a:solidFill>
                  <a:latin typeface="Calibri"/>
                  <a:ea typeface="Calibri"/>
                  <a:cs typeface="Calibri"/>
                </a:endParaRPr>
              </a:p>
            </xdr:txBody>
          </xdr:sp>
          <xdr:sp macro="" textlink="'Pivot '!I4">
            <xdr:nvSpPr>
              <xdr:cNvPr id="22" name="Rectangle 21">
                <a:extLst>
                  <a:ext uri="{FF2B5EF4-FFF2-40B4-BE49-F238E27FC236}">
                    <a16:creationId xmlns:a16="http://schemas.microsoft.com/office/drawing/2014/main" id="{1AEA56B6-6474-49AB-8F42-30FD6E898309}"/>
                  </a:ext>
                </a:extLst>
              </xdr:cNvPr>
              <xdr:cNvSpPr/>
            </xdr:nvSpPr>
            <xdr:spPr>
              <a:xfrm>
                <a:off x="8768741" y="4280248"/>
                <a:ext cx="1657089" cy="260959"/>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A28556F5-7513-4DE7-8246-3F43C371737A}" type="TxLink">
                  <a:rPr lang="en-US" sz="1100" b="1" i="0" u="none" strike="noStrike">
                    <a:solidFill>
                      <a:srgbClr val="000000"/>
                    </a:solidFill>
                    <a:latin typeface="Calibri"/>
                    <a:ea typeface="Calibri"/>
                    <a:cs typeface="Calibri"/>
                  </a:rPr>
                  <a:pPr marL="0" indent="0" algn="ctr"/>
                  <a:t>4.3%</a:t>
                </a:fld>
                <a:endParaRPr lang="en-IN" sz="1100" b="1" i="0" u="none" strike="noStrike">
                  <a:solidFill>
                    <a:srgbClr val="000000"/>
                  </a:solidFill>
                  <a:latin typeface="Calibri"/>
                  <a:ea typeface="Calibri"/>
                  <a:cs typeface="Calibri"/>
                </a:endParaRPr>
              </a:p>
            </xdr:txBody>
          </xdr:sp>
        </xdr:grpSp>
        <xdr:graphicFrame macro="">
          <xdr:nvGraphicFramePr>
            <xdr:cNvPr id="3" name="Chart 2">
              <a:extLst>
                <a:ext uri="{FF2B5EF4-FFF2-40B4-BE49-F238E27FC236}">
                  <a16:creationId xmlns:a16="http://schemas.microsoft.com/office/drawing/2014/main" id="{3D0A8856-346E-4A77-81BB-A9DF7369D2AC}"/>
                </a:ext>
              </a:extLst>
            </xdr:cNvPr>
            <xdr:cNvGraphicFramePr>
              <a:graphicFrameLocks/>
            </xdr:cNvGraphicFramePr>
          </xdr:nvGraphicFramePr>
          <xdr:xfrm>
            <a:off x="2442776" y="8181016"/>
            <a:ext cx="6067402" cy="2533496"/>
          </xdr:xfrm>
          <a:graphic>
            <a:graphicData uri="http://schemas.openxmlformats.org/drawingml/2006/chart">
              <c:chart xmlns:c="http://schemas.openxmlformats.org/drawingml/2006/chart" xmlns:r="http://schemas.openxmlformats.org/officeDocument/2006/relationships" r:id="rId4"/>
            </a:graphicData>
          </a:graphic>
        </xdr:graphicFrame>
      </xdr:grpSp>
      <mc:AlternateContent xmlns:mc="http://schemas.openxmlformats.org/markup-compatibility/2006" xmlns:a14="http://schemas.microsoft.com/office/drawing/2010/main">
        <mc:Choice Requires="a14">
          <xdr:graphicFrame macro="">
            <xdr:nvGraphicFramePr>
              <xdr:cNvPr id="25" name="Years (created_date) 1">
                <a:extLst>
                  <a:ext uri="{FF2B5EF4-FFF2-40B4-BE49-F238E27FC236}">
                    <a16:creationId xmlns:a16="http://schemas.microsoft.com/office/drawing/2014/main" id="{7B2C8712-1EC9-4992-AC11-E9B37B35A94F}"/>
                  </a:ext>
                </a:extLst>
              </xdr:cNvPr>
              <xdr:cNvGraphicFramePr/>
            </xdr:nvGraphicFramePr>
            <xdr:xfrm>
              <a:off x="10390829" y="3469708"/>
              <a:ext cx="2497663" cy="588203"/>
            </xdr:xfrm>
            <a:graphic>
              <a:graphicData uri="http://schemas.microsoft.com/office/drawing/2010/slicer">
                <sle:slicer xmlns:sle="http://schemas.microsoft.com/office/drawing/2010/slicer" name="Years (created_date) 1"/>
              </a:graphicData>
            </a:graphic>
          </xdr:graphicFrame>
        </mc:Choice>
        <mc:Fallback xmlns="">
          <xdr:sp macro="" textlink="">
            <xdr:nvSpPr>
              <xdr:cNvPr id="0" name=""/>
              <xdr:cNvSpPr>
                <a:spLocks noTextEdit="1"/>
              </xdr:cNvSpPr>
            </xdr:nvSpPr>
            <xdr:spPr>
              <a:xfrm>
                <a:off x="11382473" y="3104366"/>
                <a:ext cx="2497663" cy="5882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35.887127430557" createdVersion="8" refreshedVersion="8" minRefreshableVersion="3" recordCount="3069" xr:uid="{A9680DFC-A375-439C-B1F4-5C3C8F67005C}">
  <cacheSource type="worksheet">
    <worksheetSource ref="A1:I3070" sheet="Subscription Cohort Data"/>
  </cacheSource>
  <cacheFields count="15">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fieldGroup par="11"/>
    </cacheField>
    <cacheField name="canceled_date" numFmtId="0">
      <sharedItems containsNonDate="0" containsDate="1" containsString="0" containsBlank="1" minDate="2022-09-02T00:00:00" maxDate="2023-09-09T00:00:00" count="361">
        <m/>
        <d v="2022-09-02T00:00:00"/>
        <d v="2022-09-23T00:00:00"/>
        <d v="2023-06-29T00:00:00"/>
        <d v="2023-05-08T00:00:00"/>
        <d v="2022-11-26T00:00:00"/>
        <d v="2022-11-23T00:00:00"/>
        <d v="2022-10-25T00:00:00"/>
        <d v="2022-10-31T00:00:00"/>
        <d v="2022-09-26T00:00:00"/>
        <d v="2022-09-15T00:00:00"/>
        <d v="2022-12-09T00:00:00"/>
        <d v="2022-10-27T00:00:00"/>
        <d v="2022-10-09T00:00:00"/>
        <d v="2022-09-04T00:00:00"/>
        <d v="2023-05-10T00:00:00"/>
        <d v="2023-04-01T00:00:00"/>
        <d v="2023-04-10T00:00:00"/>
        <d v="2022-10-18T00:00:00"/>
        <d v="2022-09-29T00:00:00"/>
        <d v="2022-09-25T00:00:00"/>
        <d v="2022-09-05T00:00:00"/>
        <d v="2023-04-05T00:00:00"/>
        <d v="2023-04-16T00:00:00"/>
        <d v="2022-09-22T00:00:00"/>
        <d v="2023-01-15T00:00:00"/>
        <d v="2023-02-19T00:00:00"/>
        <d v="2022-11-02T00:00:00"/>
        <d v="2022-11-01T00:00:00"/>
        <d v="2022-10-11T00:00:00"/>
        <d v="2022-09-06T00:00:00"/>
        <d v="2022-10-06T00:00:00"/>
        <d v="2023-03-13T00:00:00"/>
        <d v="2023-03-12T00:00:00"/>
        <d v="2023-01-03T00:00:00"/>
        <d v="2023-02-08T00:00:00"/>
        <d v="2022-12-12T00:00:00"/>
        <d v="2022-10-19T00:00:00"/>
        <d v="2022-10-05T00:00:00"/>
        <d v="2022-10-12T00:00:00"/>
        <d v="2022-09-09T00:00:00"/>
        <d v="2022-11-20T00:00:00"/>
        <d v="2022-11-13T00:00:00"/>
        <d v="2022-10-13T00:00:00"/>
        <d v="2022-09-28T00:00:00"/>
        <d v="2023-05-25T00:00:00"/>
        <d v="2023-02-22T00:00:00"/>
        <d v="2022-09-14T00:00:00"/>
        <d v="2022-10-28T00:00:00"/>
        <d v="2022-10-15T00:00:00"/>
        <d v="2023-03-01T00:00:00"/>
        <d v="2022-12-02T00:00:00"/>
        <d v="2022-11-03T00:00:00"/>
        <d v="2022-10-03T00:00:00"/>
        <d v="2022-10-16T00:00:00"/>
        <d v="2023-08-16T00:00:00"/>
        <d v="2023-02-21T00:00:00"/>
        <d v="2022-10-08T00:00:00"/>
        <d v="2023-05-16T00:00:00"/>
        <d v="2023-02-15T00:00:00"/>
        <d v="2022-12-11T00:00:00"/>
        <d v="2022-12-24T00:00:00"/>
        <d v="2022-09-11T00:00:00"/>
        <d v="2023-08-18T00:00:00"/>
        <d v="2022-09-12T00:00:00"/>
        <d v="2022-09-13T00:00:00"/>
        <d v="2023-08-27T00:00:00"/>
        <d v="2022-10-23T00:00:00"/>
        <d v="2022-09-17T00:00:00"/>
        <d v="2023-06-14T00:00:00"/>
        <d v="2023-03-06T00:00:00"/>
        <d v="2022-12-07T00:00:00"/>
        <d v="2022-10-21T00:00:00"/>
        <d v="2023-06-01T00:00:00"/>
        <d v="2022-11-28T00:00:00"/>
        <d v="2022-11-08T00:00:00"/>
        <d v="2022-11-14T00:00:00"/>
        <d v="2022-10-22T00:00:00"/>
        <d v="2023-03-23T00:00:00"/>
        <d v="2023-01-05T00:00:00"/>
        <d v="2022-12-22T00:00:00"/>
        <d v="2022-10-04T00:00:00"/>
        <d v="2023-05-12T00:00:00"/>
        <d v="2023-01-14T00:00:00"/>
        <d v="2023-01-25T00:00:00"/>
        <d v="2022-11-21T00:00:00"/>
        <d v="2022-12-08T00:00:00"/>
        <d v="2022-11-12T00:00:00"/>
        <d v="2022-09-30T00:00:00"/>
        <d v="2022-10-17T00:00:00"/>
        <d v="2022-09-19T00:00:00"/>
        <d v="2023-02-10T00:00:00"/>
        <d v="2022-12-17T00:00:00"/>
        <d v="2022-12-14T00:00:00"/>
        <d v="2022-10-20T00:00:00"/>
        <d v="2023-03-27T00:00:00"/>
        <d v="2023-05-09T00:00:00"/>
        <d v="2022-12-21T00:00:00"/>
        <d v="2023-08-08T00:00:00"/>
        <d v="2023-06-28T00:00:00"/>
        <d v="2022-12-06T00:00:00"/>
        <d v="2023-05-02T00:00:00"/>
        <d v="2022-11-15T00:00:00"/>
        <d v="2022-10-29T00:00:00"/>
        <d v="2023-01-16T00:00:00"/>
        <d v="2023-01-21T00:00:00"/>
        <d v="2022-11-30T00:00:00"/>
        <d v="2022-10-14T00:00:00"/>
        <d v="2022-10-30T00:00:00"/>
        <d v="2022-12-01T00:00:00"/>
        <d v="2022-10-26T00:00:00"/>
        <d v="2022-11-18T00:00:00"/>
        <d v="2022-10-24T00:00:00"/>
        <d v="2022-12-04T00:00:00"/>
        <d v="2023-04-07T00:00:00"/>
        <d v="2023-01-23T00:00:00"/>
        <d v="2022-11-17T00:00:00"/>
        <d v="2023-01-18T00:00:00"/>
        <d v="2022-12-28T00:00:00"/>
        <d v="2022-09-27T00:00:00"/>
        <d v="2023-03-25T00:00:00"/>
        <d v="2022-11-22T00:00:00"/>
        <d v="2023-04-14T00:00:00"/>
        <d v="2022-12-29T00:00:00"/>
        <d v="2022-10-01T00:00:00"/>
        <d v="2023-03-28T00:00:00"/>
        <d v="2023-05-20T00:00:00"/>
        <d v="2023-06-03T00:00:00"/>
        <d v="2023-04-06T00:00:00"/>
        <d v="2023-01-06T00:00:00"/>
        <d v="2022-11-29T00:00:00"/>
        <d v="2022-11-06T00:00:00"/>
        <d v="2022-10-02T00:00:00"/>
        <d v="2023-01-01T00:00:00"/>
        <d v="2023-01-26T00:00:00"/>
        <d v="2023-07-02T00:00:00"/>
        <d v="2023-02-06T00:00:00"/>
        <d v="2023-03-17T00:00:00"/>
        <d v="2023-01-10T00:00:00"/>
        <d v="2023-01-20T00:00:00"/>
        <d v="2022-10-10T00:00:00"/>
        <d v="2023-04-21T00:00:00"/>
        <d v="2023-03-15T00:00:00"/>
        <d v="2023-01-30T00:00:00"/>
        <d v="2022-11-05T00:00:00"/>
        <d v="2023-04-03T00:00:00"/>
        <d v="2023-04-02T00:00:00"/>
        <d v="2023-06-23T00:00:00"/>
        <d v="2023-07-13T00:00:00"/>
        <d v="2022-11-07T00:00:00"/>
        <d v="2023-01-11T00:00:00"/>
        <d v="2022-11-09T00:00:00"/>
        <d v="2023-04-25T00:00:00"/>
        <d v="2023-02-12T00:00:00"/>
        <d v="2022-12-18T00:00:00"/>
        <d v="2022-11-16T00:00:00"/>
        <d v="2023-04-04T00:00:00"/>
        <d v="2023-06-10T00:00:00"/>
        <d v="2023-01-17T00:00:00"/>
        <d v="2023-05-30T00:00:00"/>
        <d v="2023-07-07T00:00:00"/>
        <d v="2023-03-02T00:00:00"/>
        <d v="2023-03-09T00:00:00"/>
        <d v="2022-12-27T00:00:00"/>
        <d v="2022-12-15T00:00:00"/>
        <d v="2023-02-16T00:00:00"/>
        <d v="2023-01-04T00:00:00"/>
        <d v="2022-12-30T00:00:00"/>
        <d v="2022-11-25T00:00:00"/>
        <d v="2022-12-25T00:00:00"/>
        <d v="2023-02-02T00:00:00"/>
        <d v="2023-05-19T00:00:00"/>
        <d v="2023-01-22T00:00:00"/>
        <d v="2023-06-21T00:00:00"/>
        <d v="2023-05-13T00:00:00"/>
        <d v="2023-01-27T00:00:00"/>
        <d v="2023-07-28T00:00:00"/>
        <d v="2023-06-20T00:00:00"/>
        <d v="2023-05-28T00:00:00"/>
        <d v="2023-02-26T00:00:00"/>
        <d v="2023-06-18T00:00:00"/>
        <d v="2022-12-20T00:00:00"/>
        <d v="2022-11-24T00:00:00"/>
        <d v="2023-01-02T00:00:00"/>
        <d v="2023-02-23T00:00:00"/>
        <d v="2023-04-19T00:00:00"/>
        <d v="2023-06-11T00:00:00"/>
        <d v="2023-06-30T00:00:00"/>
        <d v="2023-02-27T00:00:00"/>
        <d v="2023-03-31T00:00:00"/>
        <d v="2023-08-21T00:00:00"/>
        <d v="2023-03-07T00:00:00"/>
        <d v="2023-01-31T00:00:00"/>
        <d v="2023-01-08T00:00:00"/>
        <d v="2023-01-24T00:00:00"/>
        <d v="2023-08-10T00:00:00"/>
        <d v="2022-11-04T00:00:00"/>
        <d v="2023-03-03T00:00:00"/>
        <d v="2023-02-18T00:00:00"/>
        <d v="2022-12-03T00:00:00"/>
        <d v="2022-12-10T00:00:00"/>
        <d v="2023-02-07T00:00:00"/>
        <d v="2023-02-24T00:00:00"/>
        <d v="2022-11-19T00:00:00"/>
        <d v="2023-08-03T00:00:00"/>
        <d v="2023-07-23T00:00:00"/>
        <d v="2023-02-13T00:00:00"/>
        <d v="2022-12-13T00:00:00"/>
        <d v="2023-03-26T00:00:00"/>
        <d v="2023-07-05T00:00:00"/>
        <d v="2023-02-14T00:00:00"/>
        <d v="2023-08-30T00:00:00"/>
        <d v="2023-06-02T00:00:00"/>
        <d v="2022-12-16T00:00:00"/>
        <d v="2023-02-01T00:00:00"/>
        <d v="2022-11-10T00:00:00"/>
        <d v="2022-12-31T00:00:00"/>
        <d v="2022-12-05T00:00:00"/>
        <d v="2023-03-14T00:00:00"/>
        <d v="2023-02-09T00:00:00"/>
        <d v="2023-03-16T00:00:00"/>
        <d v="2023-02-05T00:00:00"/>
        <d v="2023-08-01T00:00:00"/>
        <d v="2023-03-22T00:00:00"/>
        <d v="2023-01-12T00:00:00"/>
        <d v="2023-08-23T00:00:00"/>
        <d v="2023-01-09T00:00:00"/>
        <d v="2023-03-11T00:00:00"/>
        <d v="2023-04-27T00:00:00"/>
        <d v="2023-01-19T00:00:00"/>
        <d v="2023-02-20T00:00:00"/>
        <d v="2023-03-29T00:00:00"/>
        <d v="2023-06-13T00:00:00"/>
        <d v="2023-03-21T00:00:00"/>
        <d v="2022-11-27T00:00:00"/>
        <d v="2023-05-07T00:00:00"/>
        <d v="2023-08-04T00:00:00"/>
        <d v="2023-05-15T00:00:00"/>
        <d v="2022-12-23T00:00:00"/>
        <d v="2023-04-08T00:00:00"/>
        <d v="2023-07-20T00:00:00"/>
        <d v="2023-07-06T00:00:00"/>
        <d v="2023-01-29T00:00:00"/>
        <d v="2023-05-04T00:00:00"/>
        <d v="2023-07-03T00:00:00"/>
        <d v="2023-01-13T00:00:00"/>
        <d v="2023-04-11T00:00:00"/>
        <d v="2023-02-03T00:00:00"/>
        <d v="2023-04-22T00:00:00"/>
        <d v="2023-07-16T00:00:00"/>
        <d v="2023-03-04T00:00:00"/>
        <d v="2023-05-01T00:00:00"/>
        <d v="2023-08-09T00:00:00"/>
        <d v="2023-03-20T00:00:00"/>
        <d v="2023-02-11T00:00:00"/>
        <d v="2023-07-04T00:00:00"/>
        <d v="2023-04-18T00:00:00"/>
        <d v="2023-04-13T00:00:00"/>
        <d v="2023-05-17T00:00:00"/>
        <d v="2023-03-18T00:00:00"/>
        <d v="2022-12-19T00:00:00"/>
        <d v="2023-01-07T00:00:00"/>
        <d v="2023-08-26T00:00:00"/>
        <d v="2023-04-29T00:00:00"/>
        <d v="2023-02-25T00:00:00"/>
        <d v="2023-07-19T00:00:00"/>
        <d v="2023-04-24T00:00:00"/>
        <d v="2023-05-27T00:00:00"/>
        <d v="2023-06-06T00:00:00"/>
        <d v="2023-01-28T00:00:00"/>
        <d v="2023-06-09T00:00:00"/>
        <d v="2023-02-28T00:00:00"/>
        <d v="2023-03-24T00:00:00"/>
        <d v="2023-06-15T00:00:00"/>
        <d v="2023-05-06T00:00:00"/>
        <d v="2023-04-23T00:00:00"/>
        <d v="2023-03-10T00:00:00"/>
        <d v="2023-03-19T00:00:00"/>
        <d v="2023-03-08T00:00:00"/>
        <d v="2023-07-11T00:00:00"/>
        <d v="2023-02-17T00:00:00"/>
        <d v="2023-03-05T00:00:00"/>
        <d v="2023-07-27T00:00:00"/>
        <d v="2023-08-13T00:00:00"/>
        <d v="2023-05-03T00:00:00"/>
        <d v="2023-05-31T00:00:00"/>
        <d v="2023-04-15T00:00:00"/>
        <d v="2023-04-26T00:00:00"/>
        <d v="2023-05-22T00:00:00"/>
        <d v="2023-04-20T00:00:00"/>
        <d v="2023-09-07T00:00:00"/>
        <d v="2023-06-16T00:00:00"/>
        <d v="2023-03-30T00:00:00"/>
        <d v="2023-06-27T00:00:00"/>
        <d v="2023-09-05T00:00:00"/>
        <d v="2023-08-19T00:00:00"/>
        <d v="2023-07-31T00:00:00"/>
        <d v="2023-02-04T00:00:00"/>
        <d v="2023-06-07T00:00:00"/>
        <d v="2023-04-17T00:00:00"/>
        <d v="2023-04-30T00:00:00"/>
        <d v="2023-08-11T00:00:00"/>
        <d v="2023-09-03T00:00:00"/>
        <d v="2023-06-12T00:00:00"/>
        <d v="2023-06-05T00:00:00"/>
        <d v="2023-08-02T00:00:00"/>
        <d v="2023-06-17T00:00:00"/>
        <d v="2023-08-07T00:00:00"/>
        <d v="2023-06-08T00:00:00"/>
        <d v="2023-05-23T00:00:00"/>
        <d v="2023-08-06T00:00:00"/>
        <d v="2023-06-22T00:00:00"/>
        <d v="2023-06-25T00:00:00"/>
        <d v="2023-08-22T00:00:00"/>
        <d v="2023-07-18T00:00:00"/>
        <d v="2023-07-12T00:00:00"/>
        <d v="2023-07-17T00:00:00"/>
        <d v="2023-05-18T00:00:00"/>
        <d v="2023-09-01T00:00:00"/>
        <d v="2023-04-09T00:00:00"/>
        <d v="2023-05-05T00:00:00"/>
        <d v="2023-06-26T00:00:00"/>
        <d v="2023-05-11T00:00:00"/>
        <d v="2023-05-29T00:00:00"/>
        <d v="2023-05-26T00:00:00"/>
        <d v="2023-07-09T00:00:00"/>
        <d v="2023-05-21T00:00:00"/>
        <d v="2023-04-12T00:00:00"/>
        <d v="2023-08-12T00:00:00"/>
        <d v="2023-07-24T00:00:00"/>
        <d v="2023-05-24T00:00:00"/>
        <d v="2023-08-28T00:00:00"/>
        <d v="2023-08-14T00:00:00"/>
        <d v="2023-08-25T00:00:00"/>
        <d v="2023-08-15T00:00:00"/>
        <d v="2023-08-31T00:00:00"/>
        <d v="2023-04-28T00:00:00"/>
        <d v="2023-07-10T00:00:00"/>
        <d v="2023-06-19T00:00:00"/>
        <d v="2023-08-20T00:00:00"/>
        <d v="2023-07-01T00:00:00"/>
        <d v="2023-07-08T00:00:00"/>
        <d v="2023-05-14T00:00:00"/>
        <d v="2023-06-04T00:00:00"/>
        <d v="2023-07-25T00:00:00"/>
        <d v="2023-06-24T00:00:00"/>
        <d v="2023-07-14T00:00:00"/>
        <d v="2023-08-24T00:00:00"/>
        <d v="2023-07-15T00:00:00"/>
        <d v="2023-09-06T00:00:00"/>
        <d v="2023-07-21T00:00:00"/>
        <d v="2023-08-17T00:00:00"/>
        <d v="2023-09-02T00:00:00"/>
        <d v="2023-07-26T00:00:00"/>
        <d v="2023-07-30T00:00:00"/>
        <d v="2023-08-29T00:00:00"/>
        <d v="2023-09-04T00:00:00"/>
        <d v="2023-07-22T00:00:00"/>
        <d v="2023-08-05T00:00:00"/>
        <d v="2023-09-08T00:00:00"/>
        <d v="2023-07-29T00:00:00"/>
      </sharedItems>
      <fieldGroup par="14"/>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 Cancellation Duration" numFmtId="1">
      <sharedItems containsMixedTypes="1" containsNumber="1" containsInteger="1" minValue="0" maxValue="348"/>
    </cacheField>
    <cacheField name="Weekday" numFmtId="0">
      <sharedItems containsSemiMixedTypes="0" containsString="0" containsNumber="1" containsInteger="1" minValue="1" maxValue="7" count="7">
        <n v="5"/>
        <n v="6"/>
        <n v="7"/>
        <n v="1"/>
        <n v="2"/>
        <n v="3"/>
        <n v="4"/>
      </sharedItems>
    </cacheField>
    <cacheField name="Weekday 2" numFmtId="0">
      <sharedItems count="7">
        <s v="Thursday"/>
        <s v="Friday"/>
        <s v="Saturday"/>
        <s v="Sunday"/>
        <s v="Monday"/>
        <s v="Tuesday"/>
        <s v="Wednesday"/>
      </sharedItems>
    </cacheField>
    <cacheField name="Months (created_date)" numFmtId="0" databaseField="0">
      <fieldGroup base="1">
        <rangePr groupBy="months" startDate="2022-09-01T00:00:00" endDate="2023-09-09T00:00:00"/>
        <groupItems count="14">
          <s v="&lt;01-09-2022"/>
          <s v="Jan"/>
          <s v="Feb"/>
          <s v="Mar"/>
          <s v="Apr"/>
          <s v="May"/>
          <s v="Jun"/>
          <s v="Jul"/>
          <s v="Aug"/>
          <s v="Sep"/>
          <s v="Oct"/>
          <s v="Nov"/>
          <s v="Dec"/>
          <s v="&gt;09-09-2023"/>
        </groupItems>
      </fieldGroup>
    </cacheField>
    <cacheField name="Quarters (created_date)" numFmtId="0" databaseField="0">
      <fieldGroup base="1">
        <rangePr groupBy="quarters" startDate="2022-09-01T00:00:00" endDate="2023-09-09T00:00:00"/>
        <groupItems count="6">
          <s v="&lt;01-09-2022"/>
          <s v="Qtr1"/>
          <s v="Qtr2"/>
          <s v="Qtr3"/>
          <s v="Qtr4"/>
          <s v="&gt;09-09-2023"/>
        </groupItems>
      </fieldGroup>
    </cacheField>
    <cacheField name="Years (created_date)" numFmtId="0" databaseField="0">
      <fieldGroup base="1">
        <rangePr groupBy="years" startDate="2022-09-01T00:00:00" endDate="2023-09-09T00:00:00"/>
        <groupItems count="4">
          <s v="&lt;01-09-2022"/>
          <s v="2022"/>
          <s v="2023"/>
          <s v="&gt;09-09-2023"/>
        </groupItems>
      </fieldGroup>
    </cacheField>
    <cacheField name="Months (canceled_date)" numFmtId="0" databaseField="0">
      <fieldGroup base="2">
        <rangePr groupBy="months" startDate="2022-09-02T00:00:00" endDate="2023-09-09T00:00:00"/>
        <groupItems count="14">
          <s v="&lt;02-09-2022"/>
          <s v="Jan"/>
          <s v="Feb"/>
          <s v="Mar"/>
          <s v="Apr"/>
          <s v="May"/>
          <s v="Jun"/>
          <s v="Jul"/>
          <s v="Aug"/>
          <s v="Sep"/>
          <s v="Oct"/>
          <s v="Nov"/>
          <s v="Dec"/>
          <s v="&gt;09-09-2023"/>
        </groupItems>
      </fieldGroup>
    </cacheField>
    <cacheField name="Quarters (canceled_date)" numFmtId="0" databaseField="0">
      <fieldGroup base="2">
        <rangePr groupBy="quarters" startDate="2022-09-02T00:00:00" endDate="2023-09-09T00:00:00"/>
        <groupItems count="6">
          <s v="&lt;02-09-2022"/>
          <s v="Qtr1"/>
          <s v="Qtr2"/>
          <s v="Qtr3"/>
          <s v="Qtr4"/>
          <s v="&gt;09-09-2023"/>
        </groupItems>
      </fieldGroup>
    </cacheField>
    <cacheField name="Years (canceled_date)" numFmtId="0" databaseField="0">
      <fieldGroup base="2">
        <rangePr groupBy="years" startDate="2022-09-02T00:00:00" endDate="2023-09-09T00:00:00"/>
        <groupItems count="4">
          <s v="&lt;02-09-2022"/>
          <s v="2022"/>
          <s v="2023"/>
          <s v="&gt;09-09-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e" refreshedDate="45935.88712835648" createdVersion="8" refreshedVersion="8" minRefreshableVersion="3" recordCount="3069" xr:uid="{AD9E7CA5-1406-4E8D-82A2-B249817CA84A}">
  <cacheSource type="worksheet">
    <worksheetSource ref="A1:H3070" sheet="Subscription Cohort Data"/>
  </cacheSource>
  <cacheFields count="14">
    <cacheField name="customer_id" numFmtId="0">
      <sharedItems containsSemiMixedTypes="0" containsString="0" containsNumber="1" containsInteger="1" minValue="111394466" maxValue="221189604"/>
    </cacheField>
    <cacheField name="created_date" numFmtId="14">
      <sharedItems containsSemiMixedTypes="0" containsNonDate="0" containsDate="1" containsString="0" minDate="2022-09-01T00:00:00" maxDate="2023-09-09T00:00:00" count="37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sharedItems>
      <fieldGroup par="10"/>
    </cacheField>
    <cacheField name="canceled_date" numFmtId="0">
      <sharedItems containsNonDate="0" containsDate="1" containsString="0" containsBlank="1" minDate="2022-09-02T00:00:00" maxDate="2023-09-09T00:00:00" count="361">
        <m/>
        <d v="2022-09-02T00:00:00"/>
        <d v="2022-09-23T00:00:00"/>
        <d v="2023-06-29T00:00:00"/>
        <d v="2023-05-08T00:00:00"/>
        <d v="2022-11-26T00:00:00"/>
        <d v="2022-11-23T00:00:00"/>
        <d v="2022-10-25T00:00:00"/>
        <d v="2022-10-31T00:00:00"/>
        <d v="2022-09-26T00:00:00"/>
        <d v="2022-09-15T00:00:00"/>
        <d v="2022-12-09T00:00:00"/>
        <d v="2022-10-27T00:00:00"/>
        <d v="2022-10-09T00:00:00"/>
        <d v="2022-09-04T00:00:00"/>
        <d v="2023-05-10T00:00:00"/>
        <d v="2023-04-01T00:00:00"/>
        <d v="2023-04-10T00:00:00"/>
        <d v="2022-10-18T00:00:00"/>
        <d v="2022-09-29T00:00:00"/>
        <d v="2022-09-25T00:00:00"/>
        <d v="2022-09-05T00:00:00"/>
        <d v="2023-04-05T00:00:00"/>
        <d v="2023-04-16T00:00:00"/>
        <d v="2022-09-22T00:00:00"/>
        <d v="2023-01-15T00:00:00"/>
        <d v="2023-02-19T00:00:00"/>
        <d v="2022-11-02T00:00:00"/>
        <d v="2022-11-01T00:00:00"/>
        <d v="2022-10-11T00:00:00"/>
        <d v="2022-09-06T00:00:00"/>
        <d v="2022-10-06T00:00:00"/>
        <d v="2023-03-13T00:00:00"/>
        <d v="2023-03-12T00:00:00"/>
        <d v="2023-01-03T00:00:00"/>
        <d v="2023-02-08T00:00:00"/>
        <d v="2022-12-12T00:00:00"/>
        <d v="2022-10-19T00:00:00"/>
        <d v="2022-10-05T00:00:00"/>
        <d v="2022-10-12T00:00:00"/>
        <d v="2022-09-09T00:00:00"/>
        <d v="2022-11-20T00:00:00"/>
        <d v="2022-11-13T00:00:00"/>
        <d v="2022-10-13T00:00:00"/>
        <d v="2022-09-28T00:00:00"/>
        <d v="2023-05-25T00:00:00"/>
        <d v="2023-02-22T00:00:00"/>
        <d v="2022-09-14T00:00:00"/>
        <d v="2022-10-28T00:00:00"/>
        <d v="2022-10-15T00:00:00"/>
        <d v="2023-03-01T00:00:00"/>
        <d v="2022-12-02T00:00:00"/>
        <d v="2022-11-03T00:00:00"/>
        <d v="2022-10-03T00:00:00"/>
        <d v="2022-10-16T00:00:00"/>
        <d v="2023-08-16T00:00:00"/>
        <d v="2023-02-21T00:00:00"/>
        <d v="2022-10-08T00:00:00"/>
        <d v="2023-05-16T00:00:00"/>
        <d v="2023-02-15T00:00:00"/>
        <d v="2022-12-11T00:00:00"/>
        <d v="2022-12-24T00:00:00"/>
        <d v="2022-09-11T00:00:00"/>
        <d v="2023-08-18T00:00:00"/>
        <d v="2022-09-12T00:00:00"/>
        <d v="2022-09-13T00:00:00"/>
        <d v="2023-08-27T00:00:00"/>
        <d v="2022-10-23T00:00:00"/>
        <d v="2022-09-17T00:00:00"/>
        <d v="2023-06-14T00:00:00"/>
        <d v="2023-03-06T00:00:00"/>
        <d v="2022-12-07T00:00:00"/>
        <d v="2022-10-21T00:00:00"/>
        <d v="2023-06-01T00:00:00"/>
        <d v="2022-11-28T00:00:00"/>
        <d v="2022-11-08T00:00:00"/>
        <d v="2022-11-14T00:00:00"/>
        <d v="2022-10-22T00:00:00"/>
        <d v="2023-03-23T00:00:00"/>
        <d v="2023-01-05T00:00:00"/>
        <d v="2022-12-22T00:00:00"/>
        <d v="2022-10-04T00:00:00"/>
        <d v="2023-05-12T00:00:00"/>
        <d v="2023-01-14T00:00:00"/>
        <d v="2023-01-25T00:00:00"/>
        <d v="2022-11-21T00:00:00"/>
        <d v="2022-12-08T00:00:00"/>
        <d v="2022-11-12T00:00:00"/>
        <d v="2022-09-30T00:00:00"/>
        <d v="2022-10-17T00:00:00"/>
        <d v="2022-09-19T00:00:00"/>
        <d v="2023-02-10T00:00:00"/>
        <d v="2022-12-17T00:00:00"/>
        <d v="2022-12-14T00:00:00"/>
        <d v="2022-10-20T00:00:00"/>
        <d v="2023-03-27T00:00:00"/>
        <d v="2023-05-09T00:00:00"/>
        <d v="2022-12-21T00:00:00"/>
        <d v="2023-08-08T00:00:00"/>
        <d v="2023-06-28T00:00:00"/>
        <d v="2022-12-06T00:00:00"/>
        <d v="2023-05-02T00:00:00"/>
        <d v="2022-11-15T00:00:00"/>
        <d v="2022-10-29T00:00:00"/>
        <d v="2023-01-16T00:00:00"/>
        <d v="2023-01-21T00:00:00"/>
        <d v="2022-11-30T00:00:00"/>
        <d v="2022-10-14T00:00:00"/>
        <d v="2022-10-30T00:00:00"/>
        <d v="2022-12-01T00:00:00"/>
        <d v="2022-10-26T00:00:00"/>
        <d v="2022-11-18T00:00:00"/>
        <d v="2022-10-24T00:00:00"/>
        <d v="2022-12-04T00:00:00"/>
        <d v="2023-04-07T00:00:00"/>
        <d v="2023-01-23T00:00:00"/>
        <d v="2022-11-17T00:00:00"/>
        <d v="2023-01-18T00:00:00"/>
        <d v="2022-12-28T00:00:00"/>
        <d v="2022-09-27T00:00:00"/>
        <d v="2023-03-25T00:00:00"/>
        <d v="2022-11-22T00:00:00"/>
        <d v="2023-04-14T00:00:00"/>
        <d v="2022-12-29T00:00:00"/>
        <d v="2022-10-01T00:00:00"/>
        <d v="2023-03-28T00:00:00"/>
        <d v="2023-05-20T00:00:00"/>
        <d v="2023-06-03T00:00:00"/>
        <d v="2023-04-06T00:00:00"/>
        <d v="2023-01-06T00:00:00"/>
        <d v="2022-11-29T00:00:00"/>
        <d v="2022-11-06T00:00:00"/>
        <d v="2022-10-02T00:00:00"/>
        <d v="2023-01-01T00:00:00"/>
        <d v="2023-01-26T00:00:00"/>
        <d v="2023-07-02T00:00:00"/>
        <d v="2023-02-06T00:00:00"/>
        <d v="2023-03-17T00:00:00"/>
        <d v="2023-01-10T00:00:00"/>
        <d v="2023-01-20T00:00:00"/>
        <d v="2022-10-10T00:00:00"/>
        <d v="2023-04-21T00:00:00"/>
        <d v="2023-03-15T00:00:00"/>
        <d v="2023-01-30T00:00:00"/>
        <d v="2022-11-05T00:00:00"/>
        <d v="2023-04-03T00:00:00"/>
        <d v="2023-04-02T00:00:00"/>
        <d v="2023-06-23T00:00:00"/>
        <d v="2023-07-13T00:00:00"/>
        <d v="2022-11-07T00:00:00"/>
        <d v="2023-01-11T00:00:00"/>
        <d v="2022-11-09T00:00:00"/>
        <d v="2023-04-25T00:00:00"/>
        <d v="2023-02-12T00:00:00"/>
        <d v="2022-12-18T00:00:00"/>
        <d v="2022-11-16T00:00:00"/>
        <d v="2023-04-04T00:00:00"/>
        <d v="2023-06-10T00:00:00"/>
        <d v="2023-01-17T00:00:00"/>
        <d v="2023-05-30T00:00:00"/>
        <d v="2023-07-07T00:00:00"/>
        <d v="2023-03-02T00:00:00"/>
        <d v="2023-03-09T00:00:00"/>
        <d v="2022-12-27T00:00:00"/>
        <d v="2022-12-15T00:00:00"/>
        <d v="2023-02-16T00:00:00"/>
        <d v="2023-01-04T00:00:00"/>
        <d v="2022-12-30T00:00:00"/>
        <d v="2022-11-25T00:00:00"/>
        <d v="2022-12-25T00:00:00"/>
        <d v="2023-02-02T00:00:00"/>
        <d v="2023-05-19T00:00:00"/>
        <d v="2023-01-22T00:00:00"/>
        <d v="2023-06-21T00:00:00"/>
        <d v="2023-05-13T00:00:00"/>
        <d v="2023-01-27T00:00:00"/>
        <d v="2023-07-28T00:00:00"/>
        <d v="2023-06-20T00:00:00"/>
        <d v="2023-05-28T00:00:00"/>
        <d v="2023-02-26T00:00:00"/>
        <d v="2023-06-18T00:00:00"/>
        <d v="2022-12-20T00:00:00"/>
        <d v="2022-11-24T00:00:00"/>
        <d v="2023-01-02T00:00:00"/>
        <d v="2023-02-23T00:00:00"/>
        <d v="2023-04-19T00:00:00"/>
        <d v="2023-06-11T00:00:00"/>
        <d v="2023-06-30T00:00:00"/>
        <d v="2023-02-27T00:00:00"/>
        <d v="2023-03-31T00:00:00"/>
        <d v="2023-08-21T00:00:00"/>
        <d v="2023-03-07T00:00:00"/>
        <d v="2023-01-31T00:00:00"/>
        <d v="2023-01-08T00:00:00"/>
        <d v="2023-01-24T00:00:00"/>
        <d v="2023-08-10T00:00:00"/>
        <d v="2022-11-04T00:00:00"/>
        <d v="2023-03-03T00:00:00"/>
        <d v="2023-02-18T00:00:00"/>
        <d v="2022-12-03T00:00:00"/>
        <d v="2022-12-10T00:00:00"/>
        <d v="2023-02-07T00:00:00"/>
        <d v="2023-02-24T00:00:00"/>
        <d v="2022-11-19T00:00:00"/>
        <d v="2023-08-03T00:00:00"/>
        <d v="2023-07-23T00:00:00"/>
        <d v="2023-02-13T00:00:00"/>
        <d v="2022-12-13T00:00:00"/>
        <d v="2023-03-26T00:00:00"/>
        <d v="2023-07-05T00:00:00"/>
        <d v="2023-02-14T00:00:00"/>
        <d v="2023-08-30T00:00:00"/>
        <d v="2023-06-02T00:00:00"/>
        <d v="2022-12-16T00:00:00"/>
        <d v="2023-02-01T00:00:00"/>
        <d v="2022-11-10T00:00:00"/>
        <d v="2022-12-31T00:00:00"/>
        <d v="2022-12-05T00:00:00"/>
        <d v="2023-03-14T00:00:00"/>
        <d v="2023-02-09T00:00:00"/>
        <d v="2023-03-16T00:00:00"/>
        <d v="2023-02-05T00:00:00"/>
        <d v="2023-08-01T00:00:00"/>
        <d v="2023-03-22T00:00:00"/>
        <d v="2023-01-12T00:00:00"/>
        <d v="2023-08-23T00:00:00"/>
        <d v="2023-01-09T00:00:00"/>
        <d v="2023-03-11T00:00:00"/>
        <d v="2023-04-27T00:00:00"/>
        <d v="2023-01-19T00:00:00"/>
        <d v="2023-02-20T00:00:00"/>
        <d v="2023-03-29T00:00:00"/>
        <d v="2023-06-13T00:00:00"/>
        <d v="2023-03-21T00:00:00"/>
        <d v="2022-11-27T00:00:00"/>
        <d v="2023-05-07T00:00:00"/>
        <d v="2023-08-04T00:00:00"/>
        <d v="2023-05-15T00:00:00"/>
        <d v="2022-12-23T00:00:00"/>
        <d v="2023-04-08T00:00:00"/>
        <d v="2023-07-20T00:00:00"/>
        <d v="2023-07-06T00:00:00"/>
        <d v="2023-01-29T00:00:00"/>
        <d v="2023-05-04T00:00:00"/>
        <d v="2023-07-03T00:00:00"/>
        <d v="2023-01-13T00:00:00"/>
        <d v="2023-04-11T00:00:00"/>
        <d v="2023-02-03T00:00:00"/>
        <d v="2023-04-22T00:00:00"/>
        <d v="2023-07-16T00:00:00"/>
        <d v="2023-03-04T00:00:00"/>
        <d v="2023-05-01T00:00:00"/>
        <d v="2023-08-09T00:00:00"/>
        <d v="2023-03-20T00:00:00"/>
        <d v="2023-02-11T00:00:00"/>
        <d v="2023-07-04T00:00:00"/>
        <d v="2023-04-18T00:00:00"/>
        <d v="2023-04-13T00:00:00"/>
        <d v="2023-05-17T00:00:00"/>
        <d v="2023-03-18T00:00:00"/>
        <d v="2022-12-19T00:00:00"/>
        <d v="2023-01-07T00:00:00"/>
        <d v="2023-08-26T00:00:00"/>
        <d v="2023-04-29T00:00:00"/>
        <d v="2023-02-25T00:00:00"/>
        <d v="2023-07-19T00:00:00"/>
        <d v="2023-04-24T00:00:00"/>
        <d v="2023-05-27T00:00:00"/>
        <d v="2023-06-06T00:00:00"/>
        <d v="2023-01-28T00:00:00"/>
        <d v="2023-06-09T00:00:00"/>
        <d v="2023-02-28T00:00:00"/>
        <d v="2023-03-24T00:00:00"/>
        <d v="2023-06-15T00:00:00"/>
        <d v="2023-05-06T00:00:00"/>
        <d v="2023-04-23T00:00:00"/>
        <d v="2023-03-10T00:00:00"/>
        <d v="2023-03-19T00:00:00"/>
        <d v="2023-03-08T00:00:00"/>
        <d v="2023-07-11T00:00:00"/>
        <d v="2023-02-17T00:00:00"/>
        <d v="2023-03-05T00:00:00"/>
        <d v="2023-07-27T00:00:00"/>
        <d v="2023-08-13T00:00:00"/>
        <d v="2023-05-03T00:00:00"/>
        <d v="2023-05-31T00:00:00"/>
        <d v="2023-04-15T00:00:00"/>
        <d v="2023-04-26T00:00:00"/>
        <d v="2023-05-22T00:00:00"/>
        <d v="2023-04-20T00:00:00"/>
        <d v="2023-09-07T00:00:00"/>
        <d v="2023-06-16T00:00:00"/>
        <d v="2023-03-30T00:00:00"/>
        <d v="2023-06-27T00:00:00"/>
        <d v="2023-09-05T00:00:00"/>
        <d v="2023-08-19T00:00:00"/>
        <d v="2023-07-31T00:00:00"/>
        <d v="2023-02-04T00:00:00"/>
        <d v="2023-06-07T00:00:00"/>
        <d v="2023-04-17T00:00:00"/>
        <d v="2023-04-30T00:00:00"/>
        <d v="2023-08-11T00:00:00"/>
        <d v="2023-09-03T00:00:00"/>
        <d v="2023-06-12T00:00:00"/>
        <d v="2023-06-05T00:00:00"/>
        <d v="2023-08-02T00:00:00"/>
        <d v="2023-06-17T00:00:00"/>
        <d v="2023-08-07T00:00:00"/>
        <d v="2023-06-08T00:00:00"/>
        <d v="2023-05-23T00:00:00"/>
        <d v="2023-08-06T00:00:00"/>
        <d v="2023-06-22T00:00:00"/>
        <d v="2023-06-25T00:00:00"/>
        <d v="2023-08-22T00:00:00"/>
        <d v="2023-07-18T00:00:00"/>
        <d v="2023-07-12T00:00:00"/>
        <d v="2023-07-17T00:00:00"/>
        <d v="2023-05-18T00:00:00"/>
        <d v="2023-09-01T00:00:00"/>
        <d v="2023-04-09T00:00:00"/>
        <d v="2023-05-05T00:00:00"/>
        <d v="2023-06-26T00:00:00"/>
        <d v="2023-05-11T00:00:00"/>
        <d v="2023-05-29T00:00:00"/>
        <d v="2023-05-26T00:00:00"/>
        <d v="2023-07-09T00:00:00"/>
        <d v="2023-05-21T00:00:00"/>
        <d v="2023-04-12T00:00:00"/>
        <d v="2023-08-12T00:00:00"/>
        <d v="2023-07-24T00:00:00"/>
        <d v="2023-05-24T00:00:00"/>
        <d v="2023-08-28T00:00:00"/>
        <d v="2023-08-14T00:00:00"/>
        <d v="2023-08-25T00:00:00"/>
        <d v="2023-08-15T00:00:00"/>
        <d v="2023-08-31T00:00:00"/>
        <d v="2023-04-28T00:00:00"/>
        <d v="2023-07-10T00:00:00"/>
        <d v="2023-06-19T00:00:00"/>
        <d v="2023-08-20T00:00:00"/>
        <d v="2023-07-01T00:00:00"/>
        <d v="2023-07-08T00:00:00"/>
        <d v="2023-05-14T00:00:00"/>
        <d v="2023-06-04T00:00:00"/>
        <d v="2023-07-25T00:00:00"/>
        <d v="2023-06-24T00:00:00"/>
        <d v="2023-07-14T00:00:00"/>
        <d v="2023-08-24T00:00:00"/>
        <d v="2023-07-15T00:00:00"/>
        <d v="2023-09-06T00:00:00"/>
        <d v="2023-07-21T00:00:00"/>
        <d v="2023-08-17T00:00:00"/>
        <d v="2023-09-02T00:00:00"/>
        <d v="2023-07-26T00:00:00"/>
        <d v="2023-07-30T00:00:00"/>
        <d v="2023-08-29T00:00:00"/>
        <d v="2023-09-04T00:00:00"/>
        <d v="2023-07-22T00:00:00"/>
        <d v="2023-08-05T00:00:00"/>
        <d v="2023-09-08T00:00:00"/>
        <d v="2023-07-29T00:00:00"/>
      </sharedItems>
      <fieldGroup par="13"/>
    </cacheField>
    <cacheField name="was_subscription_paid" numFmtId="0">
      <sharedItems count="2">
        <s v="Yes"/>
        <s v="No"/>
      </sharedItems>
    </cacheField>
    <cacheField name="subscription_cost" numFmtId="0">
      <sharedItems containsSemiMixedTypes="0" containsString="0" containsNumber="1" containsInteger="1" minValue="39" maxValue="39"/>
    </cacheField>
    <cacheField name="subscription_interval" numFmtId="0">
      <sharedItems/>
    </cacheField>
    <cacheField name=" Cancellation Duration" numFmtId="1">
      <sharedItems containsMixedTypes="1" containsNumber="1" containsInteger="1" minValue="0" maxValue="348" count="237">
        <s v="Not Cancelled"/>
        <n v="1"/>
        <n v="22"/>
        <n v="301"/>
        <n v="249"/>
        <n v="86"/>
        <n v="83"/>
        <n v="54"/>
        <n v="60"/>
        <n v="25"/>
        <n v="14"/>
        <n v="0"/>
        <n v="98"/>
        <n v="55"/>
        <n v="37"/>
        <n v="24"/>
        <n v="210"/>
        <n v="219"/>
        <n v="81"/>
        <n v="45"/>
        <n v="26"/>
        <n v="213"/>
        <n v="224"/>
        <n v="18"/>
        <n v="133"/>
        <n v="168"/>
        <n v="59"/>
        <n v="58"/>
        <n v="31"/>
        <n v="189"/>
        <n v="188"/>
        <n v="120"/>
        <n v="156"/>
        <n v="82"/>
        <n v="44"/>
        <n v="30"/>
        <n v="34"/>
        <n v="4"/>
        <n v="75"/>
        <n v="68"/>
        <n v="20"/>
        <n v="260"/>
        <n v="7"/>
        <n v="50"/>
        <n v="28"/>
        <n v="173"/>
        <n v="84"/>
        <n v="341"/>
        <n v="164"/>
        <n v="93"/>
        <n v="32"/>
        <n v="247"/>
        <n v="157"/>
        <n v="91"/>
        <n v="104"/>
        <n v="52"/>
        <n v="348"/>
        <n v="40"/>
        <n v="274"/>
        <n v="172"/>
        <n v="259"/>
        <n v="74"/>
        <n v="27"/>
        <n v="8"/>
        <n v="206"/>
        <n v="111"/>
        <n v="97"/>
        <n v="237"/>
        <n v="119"/>
        <n v="129"/>
        <n v="64"/>
        <n v="12"/>
        <n v="29"/>
        <n v="144"/>
        <n v="153"/>
        <n v="89"/>
        <n v="231"/>
        <n v="92"/>
        <n v="49"/>
        <n v="10"/>
        <n v="41"/>
        <n v="322"/>
        <n v="280"/>
        <n v="76"/>
        <n v="222"/>
        <n v="115"/>
        <n v="21"/>
        <n v="38"/>
        <n v="69"/>
        <n v="193"/>
        <n v="137"/>
        <n v="113"/>
        <n v="178"/>
        <n v="85"/>
        <n v="61"/>
        <n v="53"/>
        <n v="197"/>
        <n v="90"/>
        <n v="179"/>
        <n v="232"/>
        <n v="246"/>
        <n v="116"/>
        <n v="43"/>
        <n v="272"/>
        <n v="126"/>
        <n v="165"/>
        <n v="99"/>
        <n v="109"/>
        <n v="36"/>
        <n v="56"/>
        <n v="57"/>
        <n v="199"/>
        <n v="162"/>
        <n v="118"/>
        <n v="71"/>
        <n v="180"/>
        <n v="261"/>
        <n v="63"/>
        <n v="17"/>
        <n v="158"/>
        <n v="196"/>
        <n v="124"/>
        <n v="48"/>
        <n v="174"/>
        <n v="241"/>
        <n v="11"/>
        <n v="96"/>
        <n v="229"/>
        <n v="149"/>
        <n v="265"/>
        <n v="72"/>
        <n v="122"/>
        <n v="79"/>
        <n v="107"/>
        <n v="15"/>
        <n v="212"/>
        <n v="125"/>
        <n v="95"/>
        <n v="88"/>
        <n v="245"/>
        <n v="205"/>
        <n v="148"/>
        <n v="281"/>
        <n v="243"/>
        <n v="70"/>
        <n v="127"/>
        <n v="238"/>
        <n v="121"/>
        <n v="77"/>
        <n v="227"/>
        <n v="194"/>
        <n v="154"/>
        <n v="297"/>
        <n v="145"/>
        <n v="128"/>
        <n v="47"/>
        <n v="33"/>
        <n v="282"/>
        <n v="112"/>
        <n v="80"/>
        <n v="271"/>
        <n v="139"/>
        <n v="240"/>
        <n v="294"/>
        <n v="142"/>
        <n v="117"/>
        <n v="94"/>
        <n v="35"/>
        <n v="87"/>
        <n v="62"/>
        <n v="132"/>
        <n v="140"/>
        <n v="151"/>
        <n v="9"/>
        <n v="266"/>
        <n v="3"/>
        <n v="200"/>
        <n v="66"/>
        <n v="16"/>
        <n v="39"/>
        <n v="167"/>
        <n v="100"/>
        <n v="23"/>
        <n v="182"/>
        <n v="19"/>
        <n v="216"/>
        <n v="136"/>
        <n v="51"/>
        <n v="208"/>
        <n v="134"/>
        <n v="42"/>
        <n v="141"/>
        <n v="46"/>
        <n v="202"/>
        <n v="233"/>
        <n v="166"/>
        <n v="152"/>
        <n v="65"/>
        <n v="250"/>
        <n v="130"/>
        <n v="73"/>
        <n v="198"/>
        <n v="184"/>
        <n v="204"/>
        <n v="150"/>
        <n v="159"/>
        <n v="161"/>
        <n v="185"/>
        <n v="2"/>
        <n v="106"/>
        <n v="67"/>
        <n v="181"/>
        <n v="110"/>
        <n v="175"/>
        <n v="13"/>
        <n v="211"/>
        <n v="108"/>
        <n v="135"/>
        <n v="192"/>
        <n v="146"/>
        <n v="101"/>
        <n v="226"/>
        <n v="143"/>
        <n v="221"/>
        <n v="201"/>
        <n v="5"/>
        <n v="191"/>
        <n v="171"/>
        <n v="114"/>
        <n v="177"/>
        <n v="6"/>
        <n v="170"/>
        <n v="147"/>
        <n v="155"/>
        <n v="78"/>
        <n v="131"/>
        <n v="103"/>
      </sharedItems>
    </cacheField>
    <cacheField name="Weekday" numFmtId="0">
      <sharedItems containsSemiMixedTypes="0" containsString="0" containsNumber="1" containsInteger="1" minValue="1" maxValue="7"/>
    </cacheField>
    <cacheField name="Months (created_date)" numFmtId="0" databaseField="0">
      <fieldGroup base="1">
        <rangePr groupBy="months" startDate="2022-09-01T00:00:00" endDate="2023-09-09T00:00:00"/>
        <groupItems count="14">
          <s v="&lt;01-09-2022"/>
          <s v="Jan"/>
          <s v="Feb"/>
          <s v="Mar"/>
          <s v="Apr"/>
          <s v="May"/>
          <s v="Jun"/>
          <s v="Jul"/>
          <s v="Aug"/>
          <s v="Sep"/>
          <s v="Oct"/>
          <s v="Nov"/>
          <s v="Dec"/>
          <s v="&gt;09-09-2023"/>
        </groupItems>
      </fieldGroup>
    </cacheField>
    <cacheField name="Quarters (created_date)" numFmtId="0" databaseField="0">
      <fieldGroup base="1">
        <rangePr groupBy="quarters" startDate="2022-09-01T00:00:00" endDate="2023-09-09T00:00:00"/>
        <groupItems count="6">
          <s v="&lt;01-09-2022"/>
          <s v="Qtr1"/>
          <s v="Qtr2"/>
          <s v="Qtr3"/>
          <s v="Qtr4"/>
          <s v="&gt;09-09-2023"/>
        </groupItems>
      </fieldGroup>
    </cacheField>
    <cacheField name="Years (created_date)" numFmtId="0" databaseField="0">
      <fieldGroup base="1">
        <rangePr groupBy="years" startDate="2022-09-01T00:00:00" endDate="2023-09-09T00:00:00"/>
        <groupItems count="4">
          <s v="&lt;01-09-2022"/>
          <s v="2022"/>
          <s v="2023"/>
          <s v="&gt;09-09-2023"/>
        </groupItems>
      </fieldGroup>
    </cacheField>
    <cacheField name="Months (canceled_date)" numFmtId="0" databaseField="0">
      <fieldGroup base="2">
        <rangePr groupBy="months" startDate="2022-09-02T00:00:00" endDate="2023-09-09T00:00:00"/>
        <groupItems count="14">
          <s v="&lt;02-09-2022"/>
          <s v="Jan"/>
          <s v="Feb"/>
          <s v="Mar"/>
          <s v="Apr"/>
          <s v="May"/>
          <s v="Jun"/>
          <s v="Jul"/>
          <s v="Aug"/>
          <s v="Sep"/>
          <s v="Oct"/>
          <s v="Nov"/>
          <s v="Dec"/>
          <s v="&gt;09-09-2023"/>
        </groupItems>
      </fieldGroup>
    </cacheField>
    <cacheField name="Quarters (canceled_date)" numFmtId="0" databaseField="0">
      <fieldGroup base="2">
        <rangePr groupBy="quarters" startDate="2022-09-02T00:00:00" endDate="2023-09-09T00:00:00"/>
        <groupItems count="6">
          <s v="&lt;02-09-2022"/>
          <s v="Qtr1"/>
          <s v="Qtr2"/>
          <s v="Qtr3"/>
          <s v="Qtr4"/>
          <s v="&gt;09-09-2023"/>
        </groupItems>
      </fieldGroup>
    </cacheField>
    <cacheField name="Years (canceled_date)" numFmtId="0" databaseField="0">
      <fieldGroup base="2">
        <rangePr groupBy="years" startDate="2022-09-02T00:00:00" endDate="2023-09-09T00:00:00"/>
        <groupItems count="4">
          <s v="&lt;02-09-2022"/>
          <s v="2022"/>
          <s v="2023"/>
          <s v="&gt;09-09-2023"/>
        </groupItems>
      </fieldGroup>
    </cacheField>
  </cacheFields>
  <extLst>
    <ext xmlns:x14="http://schemas.microsoft.com/office/spreadsheetml/2009/9/main" uri="{725AE2AE-9491-48be-B2B4-4EB974FC3084}">
      <x14:pivotCacheDefinition pivotCacheId="19822892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n v="154536156"/>
    <x v="0"/>
    <x v="0"/>
    <x v="0"/>
    <n v="39"/>
    <s v="month"/>
    <s v="Not Cancelled"/>
    <x v="0"/>
    <x v="0"/>
  </r>
  <r>
    <n v="149713408"/>
    <x v="0"/>
    <x v="1"/>
    <x v="1"/>
    <n v="39"/>
    <s v="month"/>
    <n v="1"/>
    <x v="0"/>
    <x v="0"/>
  </r>
  <r>
    <n v="153756284"/>
    <x v="0"/>
    <x v="1"/>
    <x v="1"/>
    <n v="39"/>
    <s v="month"/>
    <n v="1"/>
    <x v="0"/>
    <x v="0"/>
  </r>
  <r>
    <n v="121253113"/>
    <x v="0"/>
    <x v="2"/>
    <x v="0"/>
    <n v="39"/>
    <s v="month"/>
    <n v="22"/>
    <x v="0"/>
    <x v="0"/>
  </r>
  <r>
    <n v="154467210"/>
    <x v="0"/>
    <x v="3"/>
    <x v="0"/>
    <n v="39"/>
    <s v="month"/>
    <n v="301"/>
    <x v="0"/>
    <x v="0"/>
  </r>
  <r>
    <n v="154510811"/>
    <x v="0"/>
    <x v="4"/>
    <x v="0"/>
    <n v="39"/>
    <s v="month"/>
    <n v="249"/>
    <x v="0"/>
    <x v="0"/>
  </r>
  <r>
    <n v="154494346"/>
    <x v="0"/>
    <x v="5"/>
    <x v="0"/>
    <n v="39"/>
    <s v="month"/>
    <n v="86"/>
    <x v="0"/>
    <x v="0"/>
  </r>
  <r>
    <n v="148671505"/>
    <x v="0"/>
    <x v="6"/>
    <x v="0"/>
    <n v="39"/>
    <s v="month"/>
    <n v="83"/>
    <x v="0"/>
    <x v="0"/>
  </r>
  <r>
    <n v="154568379"/>
    <x v="0"/>
    <x v="7"/>
    <x v="0"/>
    <n v="39"/>
    <s v="month"/>
    <n v="54"/>
    <x v="0"/>
    <x v="0"/>
  </r>
  <r>
    <n v="154428434"/>
    <x v="0"/>
    <x v="8"/>
    <x v="0"/>
    <n v="39"/>
    <s v="month"/>
    <n v="60"/>
    <x v="0"/>
    <x v="0"/>
  </r>
  <r>
    <n v="154601651"/>
    <x v="0"/>
    <x v="9"/>
    <x v="0"/>
    <n v="39"/>
    <s v="month"/>
    <n v="25"/>
    <x v="0"/>
    <x v="0"/>
  </r>
  <r>
    <n v="122824692"/>
    <x v="0"/>
    <x v="10"/>
    <x v="0"/>
    <n v="39"/>
    <s v="month"/>
    <n v="14"/>
    <x v="0"/>
    <x v="0"/>
  </r>
  <r>
    <n v="152925600"/>
    <x v="1"/>
    <x v="0"/>
    <x v="0"/>
    <n v="39"/>
    <s v="month"/>
    <s v="Not Cancelled"/>
    <x v="1"/>
    <x v="1"/>
  </r>
  <r>
    <n v="151154171"/>
    <x v="1"/>
    <x v="1"/>
    <x v="0"/>
    <n v="39"/>
    <s v="month"/>
    <n v="0"/>
    <x v="1"/>
    <x v="1"/>
  </r>
  <r>
    <n v="154640950"/>
    <x v="1"/>
    <x v="11"/>
    <x v="0"/>
    <n v="39"/>
    <s v="month"/>
    <n v="98"/>
    <x v="1"/>
    <x v="1"/>
  </r>
  <r>
    <n v="154617329"/>
    <x v="1"/>
    <x v="12"/>
    <x v="0"/>
    <n v="39"/>
    <s v="month"/>
    <n v="55"/>
    <x v="1"/>
    <x v="1"/>
  </r>
  <r>
    <n v="154089211"/>
    <x v="1"/>
    <x v="13"/>
    <x v="0"/>
    <n v="39"/>
    <s v="month"/>
    <n v="37"/>
    <x v="1"/>
    <x v="1"/>
  </r>
  <r>
    <n v="154653820"/>
    <x v="1"/>
    <x v="9"/>
    <x v="0"/>
    <n v="39"/>
    <s v="month"/>
    <n v="24"/>
    <x v="1"/>
    <x v="1"/>
  </r>
  <r>
    <n v="154131290"/>
    <x v="2"/>
    <x v="0"/>
    <x v="0"/>
    <n v="39"/>
    <s v="month"/>
    <s v="Not Cancelled"/>
    <x v="2"/>
    <x v="2"/>
  </r>
  <r>
    <n v="154434009"/>
    <x v="2"/>
    <x v="0"/>
    <x v="0"/>
    <n v="39"/>
    <s v="month"/>
    <s v="Not Cancelled"/>
    <x v="2"/>
    <x v="2"/>
  </r>
  <r>
    <n v="136108848"/>
    <x v="2"/>
    <x v="14"/>
    <x v="0"/>
    <n v="39"/>
    <s v="month"/>
    <n v="1"/>
    <x v="2"/>
    <x v="2"/>
  </r>
  <r>
    <n v="135185873"/>
    <x v="2"/>
    <x v="15"/>
    <x v="0"/>
    <n v="39"/>
    <s v="month"/>
    <n v="249"/>
    <x v="2"/>
    <x v="2"/>
  </r>
  <r>
    <n v="154592664"/>
    <x v="2"/>
    <x v="16"/>
    <x v="0"/>
    <n v="39"/>
    <s v="month"/>
    <n v="210"/>
    <x v="2"/>
    <x v="2"/>
  </r>
  <r>
    <n v="119436804"/>
    <x v="2"/>
    <x v="17"/>
    <x v="0"/>
    <n v="39"/>
    <s v="month"/>
    <n v="219"/>
    <x v="2"/>
    <x v="2"/>
  </r>
  <r>
    <n v="152929657"/>
    <x v="2"/>
    <x v="6"/>
    <x v="0"/>
    <n v="39"/>
    <s v="month"/>
    <n v="81"/>
    <x v="2"/>
    <x v="2"/>
  </r>
  <r>
    <n v="154708974"/>
    <x v="2"/>
    <x v="18"/>
    <x v="0"/>
    <n v="39"/>
    <s v="month"/>
    <n v="45"/>
    <x v="2"/>
    <x v="2"/>
  </r>
  <r>
    <n v="154567722"/>
    <x v="2"/>
    <x v="19"/>
    <x v="0"/>
    <n v="39"/>
    <s v="month"/>
    <n v="26"/>
    <x v="2"/>
    <x v="2"/>
  </r>
  <r>
    <n v="154719788"/>
    <x v="2"/>
    <x v="20"/>
    <x v="0"/>
    <n v="39"/>
    <s v="month"/>
    <n v="22"/>
    <x v="2"/>
    <x v="2"/>
  </r>
  <r>
    <n v="154809306"/>
    <x v="3"/>
    <x v="21"/>
    <x v="0"/>
    <n v="39"/>
    <s v="month"/>
    <n v="1"/>
    <x v="3"/>
    <x v="3"/>
  </r>
  <r>
    <n v="140391539"/>
    <x v="3"/>
    <x v="22"/>
    <x v="0"/>
    <n v="39"/>
    <s v="month"/>
    <n v="213"/>
    <x v="3"/>
    <x v="3"/>
  </r>
  <r>
    <n v="153194806"/>
    <x v="3"/>
    <x v="23"/>
    <x v="0"/>
    <n v="39"/>
    <s v="month"/>
    <n v="224"/>
    <x v="3"/>
    <x v="3"/>
  </r>
  <r>
    <n v="144402204"/>
    <x v="3"/>
    <x v="24"/>
    <x v="0"/>
    <n v="39"/>
    <s v="month"/>
    <n v="18"/>
    <x v="3"/>
    <x v="3"/>
  </r>
  <r>
    <n v="154747678"/>
    <x v="3"/>
    <x v="25"/>
    <x v="0"/>
    <n v="39"/>
    <s v="month"/>
    <n v="133"/>
    <x v="3"/>
    <x v="3"/>
  </r>
  <r>
    <n v="130939158"/>
    <x v="3"/>
    <x v="26"/>
    <x v="0"/>
    <n v="39"/>
    <s v="month"/>
    <n v="168"/>
    <x v="3"/>
    <x v="3"/>
  </r>
  <r>
    <n v="150912359"/>
    <x v="3"/>
    <x v="27"/>
    <x v="0"/>
    <n v="39"/>
    <s v="month"/>
    <n v="59"/>
    <x v="3"/>
    <x v="3"/>
  </r>
  <r>
    <n v="154132592"/>
    <x v="3"/>
    <x v="28"/>
    <x v="0"/>
    <n v="39"/>
    <s v="month"/>
    <n v="58"/>
    <x v="3"/>
    <x v="3"/>
  </r>
  <r>
    <n v="153368891"/>
    <x v="3"/>
    <x v="29"/>
    <x v="0"/>
    <n v="39"/>
    <s v="month"/>
    <n v="37"/>
    <x v="3"/>
    <x v="3"/>
  </r>
  <r>
    <n v="154225450"/>
    <x v="4"/>
    <x v="0"/>
    <x v="0"/>
    <n v="39"/>
    <s v="month"/>
    <s v="Not Cancelled"/>
    <x v="4"/>
    <x v="4"/>
  </r>
  <r>
    <n v="154904040"/>
    <x v="4"/>
    <x v="30"/>
    <x v="0"/>
    <n v="39"/>
    <s v="month"/>
    <n v="1"/>
    <x v="4"/>
    <x v="4"/>
  </r>
  <r>
    <n v="127604200"/>
    <x v="4"/>
    <x v="31"/>
    <x v="0"/>
    <n v="39"/>
    <s v="month"/>
    <n v="31"/>
    <x v="4"/>
    <x v="4"/>
  </r>
  <r>
    <n v="154913576"/>
    <x v="4"/>
    <x v="32"/>
    <x v="0"/>
    <n v="39"/>
    <s v="month"/>
    <n v="189"/>
    <x v="4"/>
    <x v="4"/>
  </r>
  <r>
    <n v="154910432"/>
    <x v="4"/>
    <x v="32"/>
    <x v="0"/>
    <n v="39"/>
    <s v="month"/>
    <n v="189"/>
    <x v="4"/>
    <x v="4"/>
  </r>
  <r>
    <n v="154911229"/>
    <x v="4"/>
    <x v="33"/>
    <x v="0"/>
    <n v="39"/>
    <s v="month"/>
    <n v="188"/>
    <x v="4"/>
    <x v="4"/>
  </r>
  <r>
    <n v="154518837"/>
    <x v="4"/>
    <x v="34"/>
    <x v="0"/>
    <n v="39"/>
    <s v="month"/>
    <n v="120"/>
    <x v="4"/>
    <x v="4"/>
  </r>
  <r>
    <n v="154910009"/>
    <x v="4"/>
    <x v="35"/>
    <x v="0"/>
    <n v="39"/>
    <s v="month"/>
    <n v="156"/>
    <x v="4"/>
    <x v="4"/>
  </r>
  <r>
    <n v="154911693"/>
    <x v="4"/>
    <x v="35"/>
    <x v="0"/>
    <n v="39"/>
    <s v="month"/>
    <n v="156"/>
    <x v="4"/>
    <x v="4"/>
  </r>
  <r>
    <n v="154894177"/>
    <x v="4"/>
    <x v="36"/>
    <x v="0"/>
    <n v="39"/>
    <s v="month"/>
    <n v="98"/>
    <x v="4"/>
    <x v="4"/>
  </r>
  <r>
    <n v="154494026"/>
    <x v="4"/>
    <x v="36"/>
    <x v="0"/>
    <n v="39"/>
    <s v="month"/>
    <n v="98"/>
    <x v="4"/>
    <x v="4"/>
  </r>
  <r>
    <n v="154245189"/>
    <x v="4"/>
    <x v="5"/>
    <x v="0"/>
    <n v="39"/>
    <s v="month"/>
    <n v="82"/>
    <x v="4"/>
    <x v="4"/>
  </r>
  <r>
    <n v="154604182"/>
    <x v="4"/>
    <x v="37"/>
    <x v="0"/>
    <n v="39"/>
    <s v="month"/>
    <n v="44"/>
    <x v="4"/>
    <x v="4"/>
  </r>
  <r>
    <n v="154711552"/>
    <x v="4"/>
    <x v="38"/>
    <x v="0"/>
    <n v="39"/>
    <s v="month"/>
    <n v="30"/>
    <x v="4"/>
    <x v="4"/>
  </r>
  <r>
    <n v="154827564"/>
    <x v="4"/>
    <x v="13"/>
    <x v="0"/>
    <n v="39"/>
    <s v="month"/>
    <n v="34"/>
    <x v="4"/>
    <x v="4"/>
  </r>
  <r>
    <n v="143581543"/>
    <x v="4"/>
    <x v="39"/>
    <x v="0"/>
    <n v="39"/>
    <s v="month"/>
    <n v="37"/>
    <x v="4"/>
    <x v="4"/>
  </r>
  <r>
    <n v="154867798"/>
    <x v="4"/>
    <x v="38"/>
    <x v="0"/>
    <n v="39"/>
    <s v="month"/>
    <n v="30"/>
    <x v="4"/>
    <x v="4"/>
  </r>
  <r>
    <n v="154863996"/>
    <x v="4"/>
    <x v="40"/>
    <x v="0"/>
    <n v="39"/>
    <s v="month"/>
    <n v="4"/>
    <x v="4"/>
    <x v="4"/>
  </r>
  <r>
    <n v="154923423"/>
    <x v="5"/>
    <x v="0"/>
    <x v="0"/>
    <n v="39"/>
    <s v="month"/>
    <s v="Not Cancelled"/>
    <x v="5"/>
    <x v="5"/>
  </r>
  <r>
    <n v="134664128"/>
    <x v="5"/>
    <x v="0"/>
    <x v="0"/>
    <n v="39"/>
    <s v="month"/>
    <s v="Not Cancelled"/>
    <x v="5"/>
    <x v="5"/>
  </r>
  <r>
    <n v="154828806"/>
    <x v="5"/>
    <x v="41"/>
    <x v="0"/>
    <n v="39"/>
    <s v="month"/>
    <n v="75"/>
    <x v="5"/>
    <x v="5"/>
  </r>
  <r>
    <n v="154934030"/>
    <x v="5"/>
    <x v="42"/>
    <x v="0"/>
    <n v="39"/>
    <s v="month"/>
    <n v="68"/>
    <x v="5"/>
    <x v="5"/>
  </r>
  <r>
    <n v="153671424"/>
    <x v="5"/>
    <x v="43"/>
    <x v="0"/>
    <n v="39"/>
    <s v="month"/>
    <n v="37"/>
    <x v="5"/>
    <x v="5"/>
  </r>
  <r>
    <n v="154693818"/>
    <x v="5"/>
    <x v="43"/>
    <x v="0"/>
    <n v="39"/>
    <s v="month"/>
    <n v="37"/>
    <x v="5"/>
    <x v="5"/>
  </r>
  <r>
    <n v="154110938"/>
    <x v="5"/>
    <x v="9"/>
    <x v="0"/>
    <n v="39"/>
    <s v="month"/>
    <n v="20"/>
    <x v="5"/>
    <x v="5"/>
  </r>
  <r>
    <n v="154809306"/>
    <x v="5"/>
    <x v="44"/>
    <x v="0"/>
    <n v="39"/>
    <s v="month"/>
    <n v="22"/>
    <x v="5"/>
    <x v="5"/>
  </r>
  <r>
    <n v="154537244"/>
    <x v="6"/>
    <x v="0"/>
    <x v="0"/>
    <n v="39"/>
    <s v="month"/>
    <s v="Not Cancelled"/>
    <x v="6"/>
    <x v="6"/>
  </r>
  <r>
    <n v="154163218"/>
    <x v="6"/>
    <x v="0"/>
    <x v="0"/>
    <n v="39"/>
    <s v="month"/>
    <s v="Not Cancelled"/>
    <x v="6"/>
    <x v="6"/>
  </r>
  <r>
    <n v="129467426"/>
    <x v="6"/>
    <x v="45"/>
    <x v="0"/>
    <n v="39"/>
    <s v="month"/>
    <n v="260"/>
    <x v="6"/>
    <x v="6"/>
  </r>
  <r>
    <n v="152498330"/>
    <x v="6"/>
    <x v="46"/>
    <x v="0"/>
    <n v="39"/>
    <s v="month"/>
    <n v="168"/>
    <x v="6"/>
    <x v="6"/>
  </r>
  <r>
    <n v="125335731"/>
    <x v="6"/>
    <x v="47"/>
    <x v="0"/>
    <n v="39"/>
    <s v="month"/>
    <n v="7"/>
    <x v="6"/>
    <x v="6"/>
  </r>
  <r>
    <n v="155113805"/>
    <x v="7"/>
    <x v="0"/>
    <x v="0"/>
    <n v="39"/>
    <s v="month"/>
    <s v="Not Cancelled"/>
    <x v="0"/>
    <x v="0"/>
  </r>
  <r>
    <n v="148864769"/>
    <x v="7"/>
    <x v="48"/>
    <x v="0"/>
    <n v="39"/>
    <s v="month"/>
    <n v="50"/>
    <x v="0"/>
    <x v="0"/>
  </r>
  <r>
    <n v="123850281"/>
    <x v="7"/>
    <x v="49"/>
    <x v="0"/>
    <n v="39"/>
    <s v="month"/>
    <n v="37"/>
    <x v="0"/>
    <x v="0"/>
  </r>
  <r>
    <n v="155167073"/>
    <x v="7"/>
    <x v="31"/>
    <x v="0"/>
    <n v="39"/>
    <s v="month"/>
    <n v="28"/>
    <x v="0"/>
    <x v="0"/>
  </r>
  <r>
    <n v="153684891"/>
    <x v="7"/>
    <x v="40"/>
    <x v="0"/>
    <n v="39"/>
    <s v="month"/>
    <n v="1"/>
    <x v="0"/>
    <x v="0"/>
  </r>
  <r>
    <n v="131277340"/>
    <x v="8"/>
    <x v="50"/>
    <x v="0"/>
    <n v="39"/>
    <s v="month"/>
    <n v="173"/>
    <x v="1"/>
    <x v="1"/>
  </r>
  <r>
    <n v="152027172"/>
    <x v="8"/>
    <x v="51"/>
    <x v="0"/>
    <n v="39"/>
    <s v="month"/>
    <n v="84"/>
    <x v="1"/>
    <x v="1"/>
  </r>
  <r>
    <n v="155212612"/>
    <x v="8"/>
    <x v="52"/>
    <x v="0"/>
    <n v="39"/>
    <s v="month"/>
    <n v="55"/>
    <x v="1"/>
    <x v="1"/>
  </r>
  <r>
    <n v="155188498"/>
    <x v="8"/>
    <x v="13"/>
    <x v="0"/>
    <n v="39"/>
    <s v="month"/>
    <n v="30"/>
    <x v="1"/>
    <x v="1"/>
  </r>
  <r>
    <n v="155145336"/>
    <x v="8"/>
    <x v="53"/>
    <x v="0"/>
    <n v="39"/>
    <s v="month"/>
    <n v="24"/>
    <x v="1"/>
    <x v="1"/>
  </r>
  <r>
    <n v="152506474"/>
    <x v="8"/>
    <x v="54"/>
    <x v="0"/>
    <n v="39"/>
    <s v="month"/>
    <n v="37"/>
    <x v="1"/>
    <x v="1"/>
  </r>
  <r>
    <n v="118029150"/>
    <x v="8"/>
    <x v="55"/>
    <x v="0"/>
    <n v="39"/>
    <s v="month"/>
    <n v="341"/>
    <x v="1"/>
    <x v="1"/>
  </r>
  <r>
    <n v="155245796"/>
    <x v="9"/>
    <x v="0"/>
    <x v="0"/>
    <n v="39"/>
    <s v="month"/>
    <s v="Not Cancelled"/>
    <x v="2"/>
    <x v="2"/>
  </r>
  <r>
    <n v="155326259"/>
    <x v="9"/>
    <x v="56"/>
    <x v="0"/>
    <n v="39"/>
    <s v="month"/>
    <n v="164"/>
    <x v="2"/>
    <x v="2"/>
  </r>
  <r>
    <n v="155311918"/>
    <x v="9"/>
    <x v="36"/>
    <x v="0"/>
    <n v="39"/>
    <s v="month"/>
    <n v="93"/>
    <x v="2"/>
    <x v="2"/>
  </r>
  <r>
    <n v="154391473"/>
    <x v="9"/>
    <x v="39"/>
    <x v="0"/>
    <n v="39"/>
    <s v="month"/>
    <n v="32"/>
    <x v="2"/>
    <x v="2"/>
  </r>
  <r>
    <n v="155283495"/>
    <x v="9"/>
    <x v="57"/>
    <x v="0"/>
    <n v="39"/>
    <s v="month"/>
    <n v="28"/>
    <x v="2"/>
    <x v="2"/>
  </r>
  <r>
    <n v="154597373"/>
    <x v="9"/>
    <x v="31"/>
    <x v="0"/>
    <n v="39"/>
    <s v="month"/>
    <n v="26"/>
    <x v="2"/>
    <x v="2"/>
  </r>
  <r>
    <n v="155370310"/>
    <x v="10"/>
    <x v="58"/>
    <x v="0"/>
    <n v="39"/>
    <s v="month"/>
    <n v="247"/>
    <x v="3"/>
    <x v="3"/>
  </r>
  <r>
    <n v="155289120"/>
    <x v="10"/>
    <x v="59"/>
    <x v="0"/>
    <n v="39"/>
    <s v="month"/>
    <n v="157"/>
    <x v="3"/>
    <x v="3"/>
  </r>
  <r>
    <n v="155351408"/>
    <x v="10"/>
    <x v="60"/>
    <x v="0"/>
    <n v="39"/>
    <s v="month"/>
    <n v="91"/>
    <x v="3"/>
    <x v="3"/>
  </r>
  <r>
    <n v="155336773"/>
    <x v="10"/>
    <x v="61"/>
    <x v="0"/>
    <n v="39"/>
    <s v="month"/>
    <n v="104"/>
    <x v="3"/>
    <x v="3"/>
  </r>
  <r>
    <n v="155017581"/>
    <x v="10"/>
    <x v="27"/>
    <x v="0"/>
    <n v="39"/>
    <s v="month"/>
    <n v="52"/>
    <x v="3"/>
    <x v="3"/>
  </r>
  <r>
    <n v="154401329"/>
    <x v="10"/>
    <x v="49"/>
    <x v="0"/>
    <n v="39"/>
    <s v="month"/>
    <n v="34"/>
    <x v="3"/>
    <x v="3"/>
  </r>
  <r>
    <n v="155334828"/>
    <x v="10"/>
    <x v="29"/>
    <x v="0"/>
    <n v="39"/>
    <s v="month"/>
    <n v="30"/>
    <x v="3"/>
    <x v="3"/>
  </r>
  <r>
    <n v="154815431"/>
    <x v="10"/>
    <x v="62"/>
    <x v="0"/>
    <n v="39"/>
    <s v="month"/>
    <n v="0"/>
    <x v="3"/>
    <x v="3"/>
  </r>
  <r>
    <n v="155343938"/>
    <x v="10"/>
    <x v="63"/>
    <x v="0"/>
    <n v="39"/>
    <s v="month"/>
    <n v="341"/>
    <x v="3"/>
    <x v="3"/>
  </r>
  <r>
    <n v="152436458"/>
    <x v="11"/>
    <x v="64"/>
    <x v="0"/>
    <n v="39"/>
    <s v="month"/>
    <n v="0"/>
    <x v="4"/>
    <x v="4"/>
  </r>
  <r>
    <n v="154689541"/>
    <x v="11"/>
    <x v="65"/>
    <x v="1"/>
    <n v="39"/>
    <s v="month"/>
    <n v="1"/>
    <x v="4"/>
    <x v="4"/>
  </r>
  <r>
    <n v="155425695"/>
    <x v="11"/>
    <x v="37"/>
    <x v="0"/>
    <n v="39"/>
    <s v="month"/>
    <n v="37"/>
    <x v="4"/>
    <x v="4"/>
  </r>
  <r>
    <n v="152698255"/>
    <x v="11"/>
    <x v="39"/>
    <x v="0"/>
    <n v="39"/>
    <s v="month"/>
    <n v="30"/>
    <x v="4"/>
    <x v="4"/>
  </r>
  <r>
    <n v="155406449"/>
    <x v="12"/>
    <x v="66"/>
    <x v="0"/>
    <n v="39"/>
    <s v="month"/>
    <n v="348"/>
    <x v="5"/>
    <x v="5"/>
  </r>
  <r>
    <n v="137338480"/>
    <x v="12"/>
    <x v="47"/>
    <x v="0"/>
    <n v="39"/>
    <s v="month"/>
    <n v="1"/>
    <x v="5"/>
    <x v="5"/>
  </r>
  <r>
    <n v="155508519"/>
    <x v="12"/>
    <x v="67"/>
    <x v="0"/>
    <n v="39"/>
    <s v="month"/>
    <n v="40"/>
    <x v="5"/>
    <x v="5"/>
  </r>
  <r>
    <n v="155463846"/>
    <x v="12"/>
    <x v="53"/>
    <x v="0"/>
    <n v="39"/>
    <s v="month"/>
    <n v="20"/>
    <x v="5"/>
    <x v="5"/>
  </r>
  <r>
    <n v="122335220"/>
    <x v="12"/>
    <x v="68"/>
    <x v="0"/>
    <n v="39"/>
    <s v="month"/>
    <n v="4"/>
    <x v="5"/>
    <x v="5"/>
  </r>
  <r>
    <n v="155460904"/>
    <x v="12"/>
    <x v="69"/>
    <x v="0"/>
    <n v="39"/>
    <s v="month"/>
    <n v="274"/>
    <x v="5"/>
    <x v="5"/>
  </r>
  <r>
    <n v="155534484"/>
    <x v="13"/>
    <x v="10"/>
    <x v="1"/>
    <n v="39"/>
    <s v="month"/>
    <n v="1"/>
    <x v="6"/>
    <x v="6"/>
  </r>
  <r>
    <n v="155465332"/>
    <x v="13"/>
    <x v="70"/>
    <x v="0"/>
    <n v="39"/>
    <s v="month"/>
    <n v="173"/>
    <x v="6"/>
    <x v="6"/>
  </r>
  <r>
    <n v="155562517"/>
    <x v="13"/>
    <x v="71"/>
    <x v="0"/>
    <n v="39"/>
    <s v="month"/>
    <n v="84"/>
    <x v="6"/>
    <x v="6"/>
  </r>
  <r>
    <n v="153577096"/>
    <x v="13"/>
    <x v="72"/>
    <x v="0"/>
    <n v="39"/>
    <s v="month"/>
    <n v="37"/>
    <x v="6"/>
    <x v="6"/>
  </r>
  <r>
    <n v="154937101"/>
    <x v="14"/>
    <x v="0"/>
    <x v="0"/>
    <n v="39"/>
    <s v="month"/>
    <s v="Not Cancelled"/>
    <x v="0"/>
    <x v="0"/>
  </r>
  <r>
    <n v="144968444"/>
    <x v="14"/>
    <x v="10"/>
    <x v="1"/>
    <n v="39"/>
    <s v="month"/>
    <n v="0"/>
    <x v="0"/>
    <x v="0"/>
  </r>
  <r>
    <n v="155270889"/>
    <x v="14"/>
    <x v="70"/>
    <x v="0"/>
    <n v="39"/>
    <s v="month"/>
    <n v="172"/>
    <x v="0"/>
    <x v="0"/>
  </r>
  <r>
    <n v="155601465"/>
    <x v="14"/>
    <x v="73"/>
    <x v="0"/>
    <n v="39"/>
    <s v="month"/>
    <n v="259"/>
    <x v="0"/>
    <x v="0"/>
  </r>
  <r>
    <n v="154045370"/>
    <x v="14"/>
    <x v="74"/>
    <x v="0"/>
    <n v="39"/>
    <s v="month"/>
    <n v="74"/>
    <x v="0"/>
    <x v="0"/>
  </r>
  <r>
    <n v="155612742"/>
    <x v="14"/>
    <x v="75"/>
    <x v="0"/>
    <n v="39"/>
    <s v="month"/>
    <n v="54"/>
    <x v="0"/>
    <x v="0"/>
  </r>
  <r>
    <n v="155621162"/>
    <x v="14"/>
    <x v="76"/>
    <x v="0"/>
    <n v="39"/>
    <s v="month"/>
    <n v="60"/>
    <x v="0"/>
    <x v="0"/>
  </r>
  <r>
    <n v="154904040"/>
    <x v="14"/>
    <x v="77"/>
    <x v="0"/>
    <n v="39"/>
    <s v="month"/>
    <n v="37"/>
    <x v="0"/>
    <x v="0"/>
  </r>
  <r>
    <n v="150810434"/>
    <x v="14"/>
    <x v="39"/>
    <x v="0"/>
    <n v="39"/>
    <s v="month"/>
    <n v="27"/>
    <x v="0"/>
    <x v="0"/>
  </r>
  <r>
    <n v="150825802"/>
    <x v="14"/>
    <x v="43"/>
    <x v="0"/>
    <n v="39"/>
    <s v="month"/>
    <n v="28"/>
    <x v="0"/>
    <x v="0"/>
  </r>
  <r>
    <n v="151907203"/>
    <x v="14"/>
    <x v="29"/>
    <x v="0"/>
    <n v="39"/>
    <s v="month"/>
    <n v="26"/>
    <x v="0"/>
    <x v="0"/>
  </r>
  <r>
    <n v="149595273"/>
    <x v="14"/>
    <x v="19"/>
    <x v="0"/>
    <n v="39"/>
    <s v="month"/>
    <n v="14"/>
    <x v="0"/>
    <x v="0"/>
  </r>
  <r>
    <n v="155596960"/>
    <x v="14"/>
    <x v="2"/>
    <x v="0"/>
    <n v="39"/>
    <s v="month"/>
    <n v="8"/>
    <x v="0"/>
    <x v="0"/>
  </r>
  <r>
    <n v="155192606"/>
    <x v="15"/>
    <x v="0"/>
    <x v="0"/>
    <n v="39"/>
    <s v="month"/>
    <s v="Not Cancelled"/>
    <x v="1"/>
    <x v="1"/>
  </r>
  <r>
    <n v="129111644"/>
    <x v="15"/>
    <x v="78"/>
    <x v="0"/>
    <n v="39"/>
    <s v="month"/>
    <n v="188"/>
    <x v="1"/>
    <x v="1"/>
  </r>
  <r>
    <n v="155426674"/>
    <x v="15"/>
    <x v="17"/>
    <x v="0"/>
    <n v="39"/>
    <s v="month"/>
    <n v="206"/>
    <x v="1"/>
    <x v="1"/>
  </r>
  <r>
    <n v="154389303"/>
    <x v="15"/>
    <x v="79"/>
    <x v="0"/>
    <n v="39"/>
    <s v="month"/>
    <n v="111"/>
    <x v="1"/>
    <x v="1"/>
  </r>
  <r>
    <n v="155671632"/>
    <x v="15"/>
    <x v="80"/>
    <x v="0"/>
    <n v="39"/>
    <s v="month"/>
    <n v="97"/>
    <x v="1"/>
    <x v="1"/>
  </r>
  <r>
    <n v="155663101"/>
    <x v="15"/>
    <x v="81"/>
    <x v="0"/>
    <n v="39"/>
    <s v="month"/>
    <n v="18"/>
    <x v="1"/>
    <x v="1"/>
  </r>
  <r>
    <n v="152084572"/>
    <x v="16"/>
    <x v="0"/>
    <x v="0"/>
    <n v="39"/>
    <s v="month"/>
    <s v="Not Cancelled"/>
    <x v="2"/>
    <x v="2"/>
  </r>
  <r>
    <n v="155783230"/>
    <x v="16"/>
    <x v="82"/>
    <x v="0"/>
    <n v="39"/>
    <s v="month"/>
    <n v="237"/>
    <x v="2"/>
    <x v="2"/>
  </r>
  <r>
    <n v="155714315"/>
    <x v="16"/>
    <x v="83"/>
    <x v="0"/>
    <n v="39"/>
    <s v="month"/>
    <n v="119"/>
    <x v="2"/>
    <x v="2"/>
  </r>
  <r>
    <n v="155774393"/>
    <x v="16"/>
    <x v="18"/>
    <x v="0"/>
    <n v="39"/>
    <s v="month"/>
    <n v="31"/>
    <x v="2"/>
    <x v="2"/>
  </r>
  <r>
    <n v="152901090"/>
    <x v="17"/>
    <x v="84"/>
    <x v="0"/>
    <n v="39"/>
    <s v="month"/>
    <n v="129"/>
    <x v="3"/>
    <x v="3"/>
  </r>
  <r>
    <n v="147029752"/>
    <x v="17"/>
    <x v="85"/>
    <x v="0"/>
    <n v="39"/>
    <s v="month"/>
    <n v="64"/>
    <x v="3"/>
    <x v="3"/>
  </r>
  <r>
    <n v="155809043"/>
    <x v="17"/>
    <x v="86"/>
    <x v="0"/>
    <n v="39"/>
    <s v="month"/>
    <n v="81"/>
    <x v="3"/>
    <x v="3"/>
  </r>
  <r>
    <n v="155180991"/>
    <x v="17"/>
    <x v="87"/>
    <x v="0"/>
    <n v="39"/>
    <s v="month"/>
    <n v="55"/>
    <x v="3"/>
    <x v="3"/>
  </r>
  <r>
    <n v="155713732"/>
    <x v="17"/>
    <x v="88"/>
    <x v="0"/>
    <n v="39"/>
    <s v="month"/>
    <n v="12"/>
    <x v="3"/>
    <x v="3"/>
  </r>
  <r>
    <n v="155204060"/>
    <x v="17"/>
    <x v="89"/>
    <x v="0"/>
    <n v="39"/>
    <s v="month"/>
    <n v="29"/>
    <x v="3"/>
    <x v="3"/>
  </r>
  <r>
    <n v="136817161"/>
    <x v="18"/>
    <x v="89"/>
    <x v="1"/>
    <n v="39"/>
    <s v="month"/>
    <n v="28"/>
    <x v="4"/>
    <x v="4"/>
  </r>
  <r>
    <n v="126212861"/>
    <x v="18"/>
    <x v="90"/>
    <x v="0"/>
    <n v="39"/>
    <s v="month"/>
    <n v="0"/>
    <x v="4"/>
    <x v="4"/>
  </r>
  <r>
    <n v="155265877"/>
    <x v="18"/>
    <x v="91"/>
    <x v="0"/>
    <n v="39"/>
    <s v="month"/>
    <n v="144"/>
    <x v="4"/>
    <x v="4"/>
  </r>
  <r>
    <n v="155916753"/>
    <x v="18"/>
    <x v="26"/>
    <x v="0"/>
    <n v="39"/>
    <s v="month"/>
    <n v="153"/>
    <x v="4"/>
    <x v="4"/>
  </r>
  <r>
    <n v="155927984"/>
    <x v="18"/>
    <x v="92"/>
    <x v="0"/>
    <n v="39"/>
    <s v="month"/>
    <n v="89"/>
    <x v="4"/>
    <x v="4"/>
  </r>
  <r>
    <n v="155876104"/>
    <x v="18"/>
    <x v="93"/>
    <x v="0"/>
    <n v="39"/>
    <s v="month"/>
    <n v="86"/>
    <x v="4"/>
    <x v="4"/>
  </r>
  <r>
    <n v="155733164"/>
    <x v="18"/>
    <x v="90"/>
    <x v="0"/>
    <n v="39"/>
    <s v="month"/>
    <n v="0"/>
    <x v="4"/>
    <x v="4"/>
  </r>
  <r>
    <n v="153832728"/>
    <x v="18"/>
    <x v="18"/>
    <x v="0"/>
    <n v="39"/>
    <s v="month"/>
    <n v="29"/>
    <x v="4"/>
    <x v="4"/>
  </r>
  <r>
    <n v="155876188"/>
    <x v="18"/>
    <x v="94"/>
    <x v="0"/>
    <n v="39"/>
    <s v="month"/>
    <n v="31"/>
    <x v="4"/>
    <x v="4"/>
  </r>
  <r>
    <n v="150687940"/>
    <x v="18"/>
    <x v="18"/>
    <x v="0"/>
    <n v="39"/>
    <s v="month"/>
    <n v="29"/>
    <x v="4"/>
    <x v="4"/>
  </r>
  <r>
    <n v="155967446"/>
    <x v="19"/>
    <x v="0"/>
    <x v="0"/>
    <n v="39"/>
    <s v="month"/>
    <s v="Not Cancelled"/>
    <x v="5"/>
    <x v="5"/>
  </r>
  <r>
    <n v="155687378"/>
    <x v="19"/>
    <x v="95"/>
    <x v="0"/>
    <n v="39"/>
    <s v="month"/>
    <n v="188"/>
    <x v="5"/>
    <x v="5"/>
  </r>
  <r>
    <n v="156020667"/>
    <x v="19"/>
    <x v="96"/>
    <x v="0"/>
    <n v="39"/>
    <s v="month"/>
    <n v="231"/>
    <x v="5"/>
    <x v="5"/>
  </r>
  <r>
    <n v="155869412"/>
    <x v="19"/>
    <x v="97"/>
    <x v="0"/>
    <n v="39"/>
    <s v="month"/>
    <n v="92"/>
    <x v="5"/>
    <x v="5"/>
  </r>
  <r>
    <n v="156042204"/>
    <x v="19"/>
    <x v="75"/>
    <x v="0"/>
    <n v="39"/>
    <s v="month"/>
    <n v="49"/>
    <x v="5"/>
    <x v="5"/>
  </r>
  <r>
    <n v="153568990"/>
    <x v="19"/>
    <x v="88"/>
    <x v="0"/>
    <n v="39"/>
    <s v="month"/>
    <n v="10"/>
    <x v="5"/>
    <x v="5"/>
  </r>
  <r>
    <n v="155327111"/>
    <x v="19"/>
    <x v="8"/>
    <x v="0"/>
    <n v="39"/>
    <s v="month"/>
    <n v="41"/>
    <x v="5"/>
    <x v="5"/>
  </r>
  <r>
    <n v="155270521"/>
    <x v="19"/>
    <x v="98"/>
    <x v="0"/>
    <n v="39"/>
    <s v="month"/>
    <n v="322"/>
    <x v="5"/>
    <x v="5"/>
  </r>
  <r>
    <n v="155991618"/>
    <x v="20"/>
    <x v="99"/>
    <x v="0"/>
    <n v="39"/>
    <s v="month"/>
    <n v="280"/>
    <x v="6"/>
    <x v="6"/>
  </r>
  <r>
    <n v="156045144"/>
    <x v="20"/>
    <x v="100"/>
    <x v="0"/>
    <n v="39"/>
    <s v="month"/>
    <n v="76"/>
    <x v="6"/>
    <x v="6"/>
  </r>
  <r>
    <n v="155439932"/>
    <x v="20"/>
    <x v="76"/>
    <x v="0"/>
    <n v="39"/>
    <s v="month"/>
    <n v="54"/>
    <x v="6"/>
    <x v="6"/>
  </r>
  <r>
    <n v="152674430"/>
    <x v="20"/>
    <x v="53"/>
    <x v="0"/>
    <n v="39"/>
    <s v="month"/>
    <n v="12"/>
    <x v="6"/>
    <x v="6"/>
  </r>
  <r>
    <n v="156135106"/>
    <x v="21"/>
    <x v="0"/>
    <x v="0"/>
    <n v="39"/>
    <s v="month"/>
    <s v="Not Cancelled"/>
    <x v="0"/>
    <x v="0"/>
  </r>
  <r>
    <n v="156185490"/>
    <x v="21"/>
    <x v="101"/>
    <x v="0"/>
    <n v="39"/>
    <s v="month"/>
    <n v="222"/>
    <x v="0"/>
    <x v="0"/>
  </r>
  <r>
    <n v="156180312"/>
    <x v="21"/>
    <x v="102"/>
    <x v="0"/>
    <n v="39"/>
    <s v="month"/>
    <n v="54"/>
    <x v="0"/>
    <x v="0"/>
  </r>
  <r>
    <n v="151263484"/>
    <x v="21"/>
    <x v="103"/>
    <x v="0"/>
    <n v="39"/>
    <s v="month"/>
    <n v="37"/>
    <x v="0"/>
    <x v="0"/>
  </r>
  <r>
    <n v="156008989"/>
    <x v="21"/>
    <x v="72"/>
    <x v="0"/>
    <n v="39"/>
    <s v="month"/>
    <n v="29"/>
    <x v="0"/>
    <x v="0"/>
  </r>
  <r>
    <n v="147687218"/>
    <x v="21"/>
    <x v="103"/>
    <x v="0"/>
    <n v="39"/>
    <s v="month"/>
    <n v="37"/>
    <x v="0"/>
    <x v="0"/>
  </r>
  <r>
    <n v="156235650"/>
    <x v="22"/>
    <x v="0"/>
    <x v="0"/>
    <n v="39"/>
    <s v="month"/>
    <s v="Not Cancelled"/>
    <x v="1"/>
    <x v="1"/>
  </r>
  <r>
    <n v="131128612"/>
    <x v="22"/>
    <x v="104"/>
    <x v="0"/>
    <n v="39"/>
    <s v="month"/>
    <n v="115"/>
    <x v="1"/>
    <x v="1"/>
  </r>
  <r>
    <n v="156198840"/>
    <x v="22"/>
    <x v="105"/>
    <x v="0"/>
    <n v="39"/>
    <s v="month"/>
    <n v="120"/>
    <x v="1"/>
    <x v="1"/>
  </r>
  <r>
    <n v="144166296"/>
    <x v="22"/>
    <x v="37"/>
    <x v="0"/>
    <n v="39"/>
    <s v="month"/>
    <n v="26"/>
    <x v="1"/>
    <x v="1"/>
  </r>
  <r>
    <n v="136108848"/>
    <x v="22"/>
    <x v="106"/>
    <x v="0"/>
    <n v="39"/>
    <s v="month"/>
    <n v="68"/>
    <x v="1"/>
    <x v="1"/>
  </r>
  <r>
    <n v="156225482"/>
    <x v="22"/>
    <x v="107"/>
    <x v="0"/>
    <n v="39"/>
    <s v="month"/>
    <n v="21"/>
    <x v="1"/>
    <x v="1"/>
  </r>
  <r>
    <n v="156209360"/>
    <x v="22"/>
    <x v="108"/>
    <x v="0"/>
    <n v="39"/>
    <s v="month"/>
    <n v="37"/>
    <x v="1"/>
    <x v="1"/>
  </r>
  <r>
    <n v="153492199"/>
    <x v="23"/>
    <x v="109"/>
    <x v="0"/>
    <n v="39"/>
    <s v="month"/>
    <n v="68"/>
    <x v="2"/>
    <x v="2"/>
  </r>
  <r>
    <n v="156127439"/>
    <x v="23"/>
    <x v="28"/>
    <x v="0"/>
    <n v="39"/>
    <s v="month"/>
    <n v="38"/>
    <x v="2"/>
    <x v="2"/>
  </r>
  <r>
    <n v="156197748"/>
    <x v="23"/>
    <x v="110"/>
    <x v="0"/>
    <n v="39"/>
    <s v="month"/>
    <n v="32"/>
    <x v="2"/>
    <x v="2"/>
  </r>
  <r>
    <n v="156292980"/>
    <x v="24"/>
    <x v="0"/>
    <x v="0"/>
    <n v="39"/>
    <s v="month"/>
    <s v="Not Cancelled"/>
    <x v="3"/>
    <x v="3"/>
  </r>
  <r>
    <n v="129284681"/>
    <x v="24"/>
    <x v="28"/>
    <x v="0"/>
    <n v="39"/>
    <s v="month"/>
    <n v="37"/>
    <x v="3"/>
    <x v="3"/>
  </r>
  <r>
    <n v="156249750"/>
    <x v="24"/>
    <x v="27"/>
    <x v="0"/>
    <n v="39"/>
    <s v="month"/>
    <n v="38"/>
    <x v="3"/>
    <x v="3"/>
  </r>
  <r>
    <n v="155143974"/>
    <x v="24"/>
    <x v="111"/>
    <x v="0"/>
    <n v="39"/>
    <s v="month"/>
    <n v="54"/>
    <x v="3"/>
    <x v="3"/>
  </r>
  <r>
    <n v="151354965"/>
    <x v="24"/>
    <x v="103"/>
    <x v="0"/>
    <n v="39"/>
    <s v="month"/>
    <n v="34"/>
    <x v="3"/>
    <x v="3"/>
  </r>
  <r>
    <n v="156178486"/>
    <x v="24"/>
    <x v="112"/>
    <x v="0"/>
    <n v="39"/>
    <s v="month"/>
    <n v="29"/>
    <x v="3"/>
    <x v="3"/>
  </r>
  <r>
    <n v="132314522"/>
    <x v="25"/>
    <x v="113"/>
    <x v="0"/>
    <n v="39"/>
    <s v="month"/>
    <n v="69"/>
    <x v="4"/>
    <x v="4"/>
  </r>
  <r>
    <n v="152505897"/>
    <x v="25"/>
    <x v="114"/>
    <x v="0"/>
    <n v="39"/>
    <s v="month"/>
    <n v="193"/>
    <x v="4"/>
    <x v="4"/>
  </r>
  <r>
    <n v="151086770"/>
    <x v="25"/>
    <x v="115"/>
    <x v="0"/>
    <n v="39"/>
    <s v="month"/>
    <n v="119"/>
    <x v="4"/>
    <x v="4"/>
  </r>
  <r>
    <n v="148713821"/>
    <x v="25"/>
    <x v="91"/>
    <x v="0"/>
    <n v="39"/>
    <s v="month"/>
    <n v="137"/>
    <x v="4"/>
    <x v="4"/>
  </r>
  <r>
    <n v="146422602"/>
    <x v="25"/>
    <x v="52"/>
    <x v="0"/>
    <n v="39"/>
    <s v="month"/>
    <n v="38"/>
    <x v="4"/>
    <x v="4"/>
  </r>
  <r>
    <n v="156460574"/>
    <x v="25"/>
    <x v="116"/>
    <x v="0"/>
    <n v="39"/>
    <s v="month"/>
    <n v="52"/>
    <x v="4"/>
    <x v="4"/>
  </r>
  <r>
    <n v="156364063"/>
    <x v="25"/>
    <x v="76"/>
    <x v="0"/>
    <n v="39"/>
    <s v="month"/>
    <n v="49"/>
    <x v="4"/>
    <x v="4"/>
  </r>
  <r>
    <n v="149139298"/>
    <x v="25"/>
    <x v="110"/>
    <x v="0"/>
    <n v="39"/>
    <s v="month"/>
    <n v="30"/>
    <x v="4"/>
    <x v="4"/>
  </r>
  <r>
    <n v="156371514"/>
    <x v="25"/>
    <x v="112"/>
    <x v="0"/>
    <n v="39"/>
    <s v="month"/>
    <n v="28"/>
    <x v="4"/>
    <x v="4"/>
  </r>
  <r>
    <n v="156423167"/>
    <x v="26"/>
    <x v="117"/>
    <x v="0"/>
    <n v="39"/>
    <s v="month"/>
    <n v="113"/>
    <x v="5"/>
    <x v="5"/>
  </r>
  <r>
    <n v="155199164"/>
    <x v="26"/>
    <x v="34"/>
    <x v="0"/>
    <n v="39"/>
    <s v="month"/>
    <n v="98"/>
    <x v="5"/>
    <x v="5"/>
  </r>
  <r>
    <n v="156373191"/>
    <x v="26"/>
    <x v="118"/>
    <x v="0"/>
    <n v="39"/>
    <s v="month"/>
    <n v="92"/>
    <x v="5"/>
    <x v="5"/>
  </r>
  <r>
    <n v="156517374"/>
    <x v="26"/>
    <x v="119"/>
    <x v="0"/>
    <n v="39"/>
    <s v="month"/>
    <n v="0"/>
    <x v="5"/>
    <x v="5"/>
  </r>
  <r>
    <n v="156032089"/>
    <x v="27"/>
    <x v="0"/>
    <x v="0"/>
    <n v="39"/>
    <s v="month"/>
    <s v="Not Cancelled"/>
    <x v="6"/>
    <x v="6"/>
  </r>
  <r>
    <n v="154563706"/>
    <x v="27"/>
    <x v="120"/>
    <x v="0"/>
    <n v="39"/>
    <s v="month"/>
    <n v="178"/>
    <x v="6"/>
    <x v="6"/>
  </r>
  <r>
    <n v="124481723"/>
    <x v="27"/>
    <x v="121"/>
    <x v="0"/>
    <n v="39"/>
    <s v="month"/>
    <n v="55"/>
    <x v="6"/>
    <x v="6"/>
  </r>
  <r>
    <n v="146861757"/>
    <x v="27"/>
    <x v="80"/>
    <x v="0"/>
    <n v="39"/>
    <s v="month"/>
    <n v="85"/>
    <x v="6"/>
    <x v="6"/>
  </r>
  <r>
    <n v="152476124"/>
    <x v="27"/>
    <x v="74"/>
    <x v="0"/>
    <n v="39"/>
    <s v="month"/>
    <n v="61"/>
    <x v="6"/>
    <x v="6"/>
  </r>
  <r>
    <n v="156192628"/>
    <x v="27"/>
    <x v="41"/>
    <x v="0"/>
    <n v="39"/>
    <s v="month"/>
    <n v="53"/>
    <x v="6"/>
    <x v="6"/>
  </r>
  <r>
    <n v="152109538"/>
    <x v="27"/>
    <x v="37"/>
    <x v="0"/>
    <n v="39"/>
    <s v="month"/>
    <n v="21"/>
    <x v="6"/>
    <x v="6"/>
  </r>
  <r>
    <n v="156659071"/>
    <x v="27"/>
    <x v="19"/>
    <x v="0"/>
    <n v="39"/>
    <s v="month"/>
    <n v="1"/>
    <x v="6"/>
    <x v="6"/>
  </r>
  <r>
    <n v="156717075"/>
    <x v="28"/>
    <x v="122"/>
    <x v="0"/>
    <n v="39"/>
    <s v="month"/>
    <n v="197"/>
    <x v="0"/>
    <x v="0"/>
  </r>
  <r>
    <n v="156715443"/>
    <x v="28"/>
    <x v="123"/>
    <x v="0"/>
    <n v="39"/>
    <s v="month"/>
    <n v="91"/>
    <x v="0"/>
    <x v="0"/>
  </r>
  <r>
    <n v="147656952"/>
    <x v="28"/>
    <x v="118"/>
    <x v="0"/>
    <n v="39"/>
    <s v="month"/>
    <n v="90"/>
    <x v="0"/>
    <x v="0"/>
  </r>
  <r>
    <n v="152918862"/>
    <x v="28"/>
    <x v="41"/>
    <x v="0"/>
    <n v="39"/>
    <s v="month"/>
    <n v="52"/>
    <x v="0"/>
    <x v="0"/>
  </r>
  <r>
    <n v="146866890"/>
    <x v="28"/>
    <x v="112"/>
    <x v="0"/>
    <n v="39"/>
    <s v="month"/>
    <n v="25"/>
    <x v="0"/>
    <x v="0"/>
  </r>
  <r>
    <n v="151735444"/>
    <x v="29"/>
    <x v="0"/>
    <x v="0"/>
    <n v="39"/>
    <s v="month"/>
    <s v="Not Cancelled"/>
    <x v="1"/>
    <x v="1"/>
  </r>
  <r>
    <n v="155608371"/>
    <x v="29"/>
    <x v="124"/>
    <x v="1"/>
    <n v="39"/>
    <s v="month"/>
    <n v="1"/>
    <x v="1"/>
    <x v="1"/>
  </r>
  <r>
    <n v="156809544"/>
    <x v="29"/>
    <x v="125"/>
    <x v="0"/>
    <n v="39"/>
    <s v="month"/>
    <n v="179"/>
    <x v="1"/>
    <x v="1"/>
  </r>
  <r>
    <n v="156813288"/>
    <x v="29"/>
    <x v="126"/>
    <x v="0"/>
    <n v="39"/>
    <s v="month"/>
    <n v="232"/>
    <x v="1"/>
    <x v="1"/>
  </r>
  <r>
    <n v="156817946"/>
    <x v="29"/>
    <x v="127"/>
    <x v="0"/>
    <n v="39"/>
    <s v="month"/>
    <n v="246"/>
    <x v="1"/>
    <x v="1"/>
  </r>
  <r>
    <n v="156194905"/>
    <x v="29"/>
    <x v="128"/>
    <x v="0"/>
    <n v="39"/>
    <s v="month"/>
    <n v="188"/>
    <x v="1"/>
    <x v="1"/>
  </r>
  <r>
    <n v="148568942"/>
    <x v="29"/>
    <x v="129"/>
    <x v="0"/>
    <n v="39"/>
    <s v="month"/>
    <n v="98"/>
    <x v="1"/>
    <x v="1"/>
  </r>
  <r>
    <n v="151154171"/>
    <x v="29"/>
    <x v="130"/>
    <x v="0"/>
    <n v="39"/>
    <s v="month"/>
    <n v="60"/>
    <x v="1"/>
    <x v="1"/>
  </r>
  <r>
    <n v="122921842"/>
    <x v="29"/>
    <x v="131"/>
    <x v="0"/>
    <n v="39"/>
    <s v="month"/>
    <n v="37"/>
    <x v="1"/>
    <x v="1"/>
  </r>
  <r>
    <n v="156754286"/>
    <x v="30"/>
    <x v="0"/>
    <x v="0"/>
    <n v="39"/>
    <s v="month"/>
    <s v="Not Cancelled"/>
    <x v="2"/>
    <x v="2"/>
  </r>
  <r>
    <n v="144160302"/>
    <x v="30"/>
    <x v="132"/>
    <x v="0"/>
    <n v="39"/>
    <s v="month"/>
    <n v="1"/>
    <x v="2"/>
    <x v="2"/>
  </r>
  <r>
    <n v="155045053"/>
    <x v="30"/>
    <x v="133"/>
    <x v="0"/>
    <n v="39"/>
    <s v="month"/>
    <n v="92"/>
    <x v="2"/>
    <x v="2"/>
  </r>
  <r>
    <n v="133869989"/>
    <x v="30"/>
    <x v="27"/>
    <x v="0"/>
    <n v="39"/>
    <s v="month"/>
    <n v="32"/>
    <x v="2"/>
    <x v="2"/>
  </r>
  <r>
    <n v="156863940"/>
    <x v="30"/>
    <x v="27"/>
    <x v="0"/>
    <n v="39"/>
    <s v="month"/>
    <n v="32"/>
    <x v="2"/>
    <x v="2"/>
  </r>
  <r>
    <n v="156884323"/>
    <x v="30"/>
    <x v="7"/>
    <x v="0"/>
    <n v="39"/>
    <s v="month"/>
    <n v="24"/>
    <x v="2"/>
    <x v="2"/>
  </r>
  <r>
    <n v="156365410"/>
    <x v="30"/>
    <x v="103"/>
    <x v="0"/>
    <n v="39"/>
    <s v="month"/>
    <n v="28"/>
    <x v="2"/>
    <x v="2"/>
  </r>
  <r>
    <n v="153957162"/>
    <x v="31"/>
    <x v="0"/>
    <x v="0"/>
    <n v="39"/>
    <s v="month"/>
    <s v="Not Cancelled"/>
    <x v="3"/>
    <x v="3"/>
  </r>
  <r>
    <n v="152436949"/>
    <x v="31"/>
    <x v="53"/>
    <x v="1"/>
    <n v="39"/>
    <s v="month"/>
    <n v="1"/>
    <x v="3"/>
    <x v="3"/>
  </r>
  <r>
    <n v="156403612"/>
    <x v="31"/>
    <x v="134"/>
    <x v="0"/>
    <n v="39"/>
    <s v="month"/>
    <n v="116"/>
    <x v="3"/>
    <x v="3"/>
  </r>
  <r>
    <n v="154198756"/>
    <x v="31"/>
    <x v="76"/>
    <x v="0"/>
    <n v="39"/>
    <s v="month"/>
    <n v="43"/>
    <x v="3"/>
    <x v="3"/>
  </r>
  <r>
    <n v="156917754"/>
    <x v="31"/>
    <x v="48"/>
    <x v="0"/>
    <n v="39"/>
    <s v="month"/>
    <n v="26"/>
    <x v="3"/>
    <x v="3"/>
  </r>
  <r>
    <n v="134975906"/>
    <x v="32"/>
    <x v="12"/>
    <x v="0"/>
    <n v="39"/>
    <s v="month"/>
    <n v="24"/>
    <x v="4"/>
    <x v="4"/>
  </r>
  <r>
    <n v="156955735"/>
    <x v="32"/>
    <x v="135"/>
    <x v="0"/>
    <n v="39"/>
    <s v="month"/>
    <n v="272"/>
    <x v="4"/>
    <x v="4"/>
  </r>
  <r>
    <n v="156982750"/>
    <x v="32"/>
    <x v="136"/>
    <x v="0"/>
    <n v="39"/>
    <s v="month"/>
    <n v="126"/>
    <x v="4"/>
    <x v="4"/>
  </r>
  <r>
    <n v="156953312"/>
    <x v="32"/>
    <x v="137"/>
    <x v="0"/>
    <n v="39"/>
    <s v="month"/>
    <n v="165"/>
    <x v="4"/>
    <x v="4"/>
  </r>
  <r>
    <n v="124642102"/>
    <x v="32"/>
    <x v="34"/>
    <x v="0"/>
    <n v="39"/>
    <s v="month"/>
    <n v="92"/>
    <x v="4"/>
    <x v="4"/>
  </r>
  <r>
    <n v="156940530"/>
    <x v="32"/>
    <x v="138"/>
    <x v="0"/>
    <n v="39"/>
    <s v="month"/>
    <n v="99"/>
    <x v="4"/>
    <x v="4"/>
  </r>
  <r>
    <n v="155602780"/>
    <x v="32"/>
    <x v="139"/>
    <x v="0"/>
    <n v="39"/>
    <s v="month"/>
    <n v="109"/>
    <x v="4"/>
    <x v="4"/>
  </r>
  <r>
    <n v="149635726"/>
    <x v="32"/>
    <x v="75"/>
    <x v="0"/>
    <n v="39"/>
    <s v="month"/>
    <n v="36"/>
    <x v="4"/>
    <x v="4"/>
  </r>
  <r>
    <n v="152660102"/>
    <x v="32"/>
    <x v="74"/>
    <x v="0"/>
    <n v="39"/>
    <s v="month"/>
    <n v="56"/>
    <x v="4"/>
    <x v="4"/>
  </r>
  <r>
    <n v="153620734"/>
    <x v="32"/>
    <x v="130"/>
    <x v="0"/>
    <n v="39"/>
    <s v="month"/>
    <n v="57"/>
    <x v="4"/>
    <x v="4"/>
  </r>
  <r>
    <n v="156940254"/>
    <x v="32"/>
    <x v="53"/>
    <x v="0"/>
    <n v="39"/>
    <s v="month"/>
    <n v="0"/>
    <x v="4"/>
    <x v="4"/>
  </r>
  <r>
    <n v="156940060"/>
    <x v="32"/>
    <x v="140"/>
    <x v="0"/>
    <n v="39"/>
    <s v="month"/>
    <n v="7"/>
    <x v="4"/>
    <x v="4"/>
  </r>
  <r>
    <n v="156938938"/>
    <x v="32"/>
    <x v="53"/>
    <x v="0"/>
    <n v="39"/>
    <s v="month"/>
    <n v="0"/>
    <x v="4"/>
    <x v="4"/>
  </r>
  <r>
    <n v="156955272"/>
    <x v="33"/>
    <x v="141"/>
    <x v="0"/>
    <n v="39"/>
    <s v="month"/>
    <n v="199"/>
    <x v="5"/>
    <x v="5"/>
  </r>
  <r>
    <n v="156941638"/>
    <x v="33"/>
    <x v="142"/>
    <x v="0"/>
    <n v="39"/>
    <s v="month"/>
    <n v="162"/>
    <x v="5"/>
    <x v="5"/>
  </r>
  <r>
    <n v="157154624"/>
    <x v="33"/>
    <x v="143"/>
    <x v="0"/>
    <n v="39"/>
    <s v="month"/>
    <n v="118"/>
    <x v="5"/>
    <x v="5"/>
  </r>
  <r>
    <n v="151677119"/>
    <x v="33"/>
    <x v="93"/>
    <x v="0"/>
    <n v="39"/>
    <s v="month"/>
    <n v="71"/>
    <x v="5"/>
    <x v="5"/>
  </r>
  <r>
    <n v="139465940"/>
    <x v="33"/>
    <x v="144"/>
    <x v="0"/>
    <n v="39"/>
    <s v="month"/>
    <n v="32"/>
    <x v="5"/>
    <x v="5"/>
  </r>
  <r>
    <n v="156895692"/>
    <x v="34"/>
    <x v="0"/>
    <x v="0"/>
    <n v="39"/>
    <s v="month"/>
    <s v="Not Cancelled"/>
    <x v="6"/>
    <x v="6"/>
  </r>
  <r>
    <n v="153587226"/>
    <x v="34"/>
    <x v="0"/>
    <x v="0"/>
    <n v="39"/>
    <s v="month"/>
    <s v="Not Cancelled"/>
    <x v="6"/>
    <x v="6"/>
  </r>
  <r>
    <n v="157295262"/>
    <x v="34"/>
    <x v="145"/>
    <x v="0"/>
    <n v="39"/>
    <s v="month"/>
    <n v="180"/>
    <x v="6"/>
    <x v="6"/>
  </r>
  <r>
    <n v="157284386"/>
    <x v="34"/>
    <x v="146"/>
    <x v="0"/>
    <n v="39"/>
    <s v="month"/>
    <n v="179"/>
    <x v="6"/>
    <x v="6"/>
  </r>
  <r>
    <n v="148762867"/>
    <x v="34"/>
    <x v="147"/>
    <x v="0"/>
    <n v="39"/>
    <s v="month"/>
    <n v="261"/>
    <x v="6"/>
    <x v="6"/>
  </r>
  <r>
    <n v="150433978"/>
    <x v="34"/>
    <x v="144"/>
    <x v="0"/>
    <n v="39"/>
    <s v="month"/>
    <n v="31"/>
    <x v="6"/>
    <x v="6"/>
  </r>
  <r>
    <n v="157272487"/>
    <x v="34"/>
    <x v="71"/>
    <x v="0"/>
    <n v="39"/>
    <s v="month"/>
    <n v="63"/>
    <x v="6"/>
    <x v="6"/>
  </r>
  <r>
    <n v="153776370"/>
    <x v="35"/>
    <x v="100"/>
    <x v="0"/>
    <n v="39"/>
    <s v="month"/>
    <n v="61"/>
    <x v="0"/>
    <x v="0"/>
  </r>
  <r>
    <n v="157371444"/>
    <x v="35"/>
    <x v="86"/>
    <x v="0"/>
    <n v="39"/>
    <s v="month"/>
    <n v="63"/>
    <x v="0"/>
    <x v="0"/>
  </r>
  <r>
    <n v="157095464"/>
    <x v="35"/>
    <x v="148"/>
    <x v="0"/>
    <n v="39"/>
    <s v="month"/>
    <n v="280"/>
    <x v="0"/>
    <x v="0"/>
  </r>
  <r>
    <n v="153554190"/>
    <x v="36"/>
    <x v="0"/>
    <x v="0"/>
    <n v="39"/>
    <s v="month"/>
    <s v="Not Cancelled"/>
    <x v="1"/>
    <x v="1"/>
  </r>
  <r>
    <n v="157411994"/>
    <x v="36"/>
    <x v="0"/>
    <x v="0"/>
    <n v="39"/>
    <s v="month"/>
    <s v="Not Cancelled"/>
    <x v="1"/>
    <x v="1"/>
  </r>
  <r>
    <n v="157374056"/>
    <x v="36"/>
    <x v="149"/>
    <x v="0"/>
    <n v="39"/>
    <s v="month"/>
    <n v="31"/>
    <x v="1"/>
    <x v="1"/>
  </r>
  <r>
    <n v="157397941"/>
    <x v="36"/>
    <x v="52"/>
    <x v="0"/>
    <n v="39"/>
    <s v="month"/>
    <n v="27"/>
    <x v="1"/>
    <x v="1"/>
  </r>
  <r>
    <n v="157234944"/>
    <x v="36"/>
    <x v="112"/>
    <x v="0"/>
    <n v="39"/>
    <s v="month"/>
    <n v="17"/>
    <x v="1"/>
    <x v="1"/>
  </r>
  <r>
    <n v="157490039"/>
    <x v="37"/>
    <x v="142"/>
    <x v="0"/>
    <n v="39"/>
    <s v="month"/>
    <n v="158"/>
    <x v="2"/>
    <x v="2"/>
  </r>
  <r>
    <n v="157484010"/>
    <x v="37"/>
    <x v="142"/>
    <x v="0"/>
    <n v="39"/>
    <s v="month"/>
    <n v="158"/>
    <x v="2"/>
    <x v="2"/>
  </r>
  <r>
    <n v="125038257"/>
    <x v="37"/>
    <x v="116"/>
    <x v="0"/>
    <n v="39"/>
    <s v="month"/>
    <n v="40"/>
    <x v="2"/>
    <x v="2"/>
  </r>
  <r>
    <n v="157400730"/>
    <x v="37"/>
    <x v="110"/>
    <x v="0"/>
    <n v="39"/>
    <s v="month"/>
    <n v="18"/>
    <x v="2"/>
    <x v="2"/>
  </r>
  <r>
    <n v="157450645"/>
    <x v="37"/>
    <x v="18"/>
    <x v="0"/>
    <n v="39"/>
    <s v="month"/>
    <n v="10"/>
    <x v="2"/>
    <x v="2"/>
  </r>
  <r>
    <n v="156943008"/>
    <x v="38"/>
    <x v="140"/>
    <x v="0"/>
    <n v="39"/>
    <s v="month"/>
    <n v="1"/>
    <x v="3"/>
    <x v="3"/>
  </r>
  <r>
    <n v="127328047"/>
    <x v="38"/>
    <x v="104"/>
    <x v="0"/>
    <n v="39"/>
    <s v="month"/>
    <n v="99"/>
    <x v="3"/>
    <x v="3"/>
  </r>
  <r>
    <n v="157506842"/>
    <x v="38"/>
    <x v="102"/>
    <x v="0"/>
    <n v="39"/>
    <s v="month"/>
    <n v="37"/>
    <x v="3"/>
    <x v="3"/>
  </r>
  <r>
    <n v="150924853"/>
    <x v="38"/>
    <x v="6"/>
    <x v="0"/>
    <n v="39"/>
    <s v="month"/>
    <n v="45"/>
    <x v="3"/>
    <x v="3"/>
  </r>
  <r>
    <n v="156996568"/>
    <x v="39"/>
    <x v="0"/>
    <x v="0"/>
    <n v="39"/>
    <s v="month"/>
    <s v="Not Cancelled"/>
    <x v="4"/>
    <x v="4"/>
  </r>
  <r>
    <n v="157627904"/>
    <x v="39"/>
    <x v="150"/>
    <x v="0"/>
    <n v="39"/>
    <s v="month"/>
    <n v="93"/>
    <x v="4"/>
    <x v="4"/>
  </r>
  <r>
    <n v="157058101"/>
    <x v="39"/>
    <x v="151"/>
    <x v="0"/>
    <n v="39"/>
    <s v="month"/>
    <n v="30"/>
    <x v="4"/>
    <x v="4"/>
  </r>
  <r>
    <n v="157394598"/>
    <x v="40"/>
    <x v="39"/>
    <x v="1"/>
    <n v="39"/>
    <s v="month"/>
    <n v="1"/>
    <x v="5"/>
    <x v="5"/>
  </r>
  <r>
    <n v="157765918"/>
    <x v="40"/>
    <x v="39"/>
    <x v="1"/>
    <n v="39"/>
    <s v="month"/>
    <n v="1"/>
    <x v="5"/>
    <x v="5"/>
  </r>
  <r>
    <n v="157746458"/>
    <x v="40"/>
    <x v="152"/>
    <x v="0"/>
    <n v="39"/>
    <s v="month"/>
    <n v="196"/>
    <x v="5"/>
    <x v="5"/>
  </r>
  <r>
    <n v="157590918"/>
    <x v="40"/>
    <x v="153"/>
    <x v="0"/>
    <n v="39"/>
    <s v="month"/>
    <n v="124"/>
    <x v="5"/>
    <x v="5"/>
  </r>
  <r>
    <n v="157290992"/>
    <x v="40"/>
    <x v="138"/>
    <x v="0"/>
    <n v="39"/>
    <s v="month"/>
    <n v="91"/>
    <x v="5"/>
    <x v="5"/>
  </r>
  <r>
    <n v="156895701"/>
    <x v="40"/>
    <x v="154"/>
    <x v="0"/>
    <n v="39"/>
    <s v="month"/>
    <n v="68"/>
    <x v="5"/>
    <x v="5"/>
  </r>
  <r>
    <n v="155926313"/>
    <x v="40"/>
    <x v="74"/>
    <x v="0"/>
    <n v="39"/>
    <s v="month"/>
    <n v="48"/>
    <x v="5"/>
    <x v="5"/>
  </r>
  <r>
    <n v="156110000"/>
    <x v="40"/>
    <x v="155"/>
    <x v="0"/>
    <n v="39"/>
    <s v="month"/>
    <n v="36"/>
    <x v="5"/>
    <x v="5"/>
  </r>
  <r>
    <n v="157851493"/>
    <x v="41"/>
    <x v="156"/>
    <x v="0"/>
    <n v="39"/>
    <s v="month"/>
    <n v="174"/>
    <x v="6"/>
    <x v="6"/>
  </r>
  <r>
    <n v="157792408"/>
    <x v="41"/>
    <x v="157"/>
    <x v="0"/>
    <n v="39"/>
    <s v="month"/>
    <n v="241"/>
    <x v="6"/>
    <x v="6"/>
  </r>
  <r>
    <n v="157868778"/>
    <x v="41"/>
    <x v="149"/>
    <x v="0"/>
    <n v="39"/>
    <s v="month"/>
    <n v="26"/>
    <x v="6"/>
    <x v="6"/>
  </r>
  <r>
    <n v="157833252"/>
    <x v="41"/>
    <x v="67"/>
    <x v="0"/>
    <n v="39"/>
    <s v="month"/>
    <n v="11"/>
    <x v="6"/>
    <x v="6"/>
  </r>
  <r>
    <n v="149662340"/>
    <x v="42"/>
    <x v="0"/>
    <x v="0"/>
    <n v="39"/>
    <s v="month"/>
    <s v="Not Cancelled"/>
    <x v="0"/>
    <x v="0"/>
  </r>
  <r>
    <n v="126918448"/>
    <x v="42"/>
    <x v="0"/>
    <x v="0"/>
    <n v="39"/>
    <s v="month"/>
    <s v="Not Cancelled"/>
    <x v="0"/>
    <x v="0"/>
  </r>
  <r>
    <n v="136897370"/>
    <x v="42"/>
    <x v="158"/>
    <x v="0"/>
    <n v="39"/>
    <s v="month"/>
    <n v="96"/>
    <x v="0"/>
    <x v="0"/>
  </r>
  <r>
    <n v="157921307"/>
    <x v="42"/>
    <x v="159"/>
    <x v="0"/>
    <n v="39"/>
    <s v="month"/>
    <n v="229"/>
    <x v="0"/>
    <x v="0"/>
  </r>
  <r>
    <n v="157905868"/>
    <x v="42"/>
    <x v="136"/>
    <x v="0"/>
    <n v="39"/>
    <s v="month"/>
    <n v="116"/>
    <x v="0"/>
    <x v="0"/>
  </r>
  <r>
    <n v="152377785"/>
    <x v="42"/>
    <x v="150"/>
    <x v="0"/>
    <n v="39"/>
    <s v="month"/>
    <n v="90"/>
    <x v="0"/>
    <x v="0"/>
  </r>
  <r>
    <n v="157567612"/>
    <x v="42"/>
    <x v="52"/>
    <x v="0"/>
    <n v="39"/>
    <s v="month"/>
    <n v="21"/>
    <x v="0"/>
    <x v="0"/>
  </r>
  <r>
    <n v="157993772"/>
    <x v="43"/>
    <x v="49"/>
    <x v="1"/>
    <n v="39"/>
    <s v="month"/>
    <n v="0"/>
    <x v="2"/>
    <x v="2"/>
  </r>
  <r>
    <n v="148769034"/>
    <x v="43"/>
    <x v="32"/>
    <x v="0"/>
    <n v="39"/>
    <s v="month"/>
    <n v="149"/>
    <x v="2"/>
    <x v="2"/>
  </r>
  <r>
    <n v="158050283"/>
    <x v="43"/>
    <x v="160"/>
    <x v="0"/>
    <n v="39"/>
    <s v="month"/>
    <n v="265"/>
    <x v="2"/>
    <x v="2"/>
  </r>
  <r>
    <n v="157436507"/>
    <x v="44"/>
    <x v="0"/>
    <x v="0"/>
    <n v="39"/>
    <s v="month"/>
    <s v="Not Cancelled"/>
    <x v="3"/>
    <x v="3"/>
  </r>
  <r>
    <n v="123808301"/>
    <x v="44"/>
    <x v="12"/>
    <x v="0"/>
    <n v="39"/>
    <s v="month"/>
    <n v="11"/>
    <x v="3"/>
    <x v="3"/>
  </r>
  <r>
    <n v="158033452"/>
    <x v="44"/>
    <x v="161"/>
    <x v="0"/>
    <n v="39"/>
    <s v="month"/>
    <n v="137"/>
    <x v="3"/>
    <x v="3"/>
  </r>
  <r>
    <n v="156796659"/>
    <x v="44"/>
    <x v="162"/>
    <x v="0"/>
    <n v="39"/>
    <s v="month"/>
    <n v="144"/>
    <x v="3"/>
    <x v="3"/>
  </r>
  <r>
    <n v="158093021"/>
    <x v="44"/>
    <x v="163"/>
    <x v="0"/>
    <n v="39"/>
    <s v="month"/>
    <n v="72"/>
    <x v="3"/>
    <x v="3"/>
  </r>
  <r>
    <n v="157900412"/>
    <x v="44"/>
    <x v="151"/>
    <x v="0"/>
    <n v="39"/>
    <s v="month"/>
    <n v="24"/>
    <x v="3"/>
    <x v="3"/>
  </r>
  <r>
    <n v="152892719"/>
    <x v="44"/>
    <x v="54"/>
    <x v="0"/>
    <n v="39"/>
    <s v="month"/>
    <n v="0"/>
    <x v="3"/>
    <x v="3"/>
  </r>
  <r>
    <n v="158009130"/>
    <x v="45"/>
    <x v="0"/>
    <x v="0"/>
    <n v="39"/>
    <s v="month"/>
    <s v="Not Cancelled"/>
    <x v="4"/>
    <x v="4"/>
  </r>
  <r>
    <n v="157904656"/>
    <x v="45"/>
    <x v="164"/>
    <x v="0"/>
    <n v="39"/>
    <s v="month"/>
    <n v="59"/>
    <x v="4"/>
    <x v="4"/>
  </r>
  <r>
    <n v="157838980"/>
    <x v="45"/>
    <x v="165"/>
    <x v="0"/>
    <n v="39"/>
    <s v="month"/>
    <n v="122"/>
    <x v="4"/>
    <x v="4"/>
  </r>
  <r>
    <n v="123402996"/>
    <x v="45"/>
    <x v="166"/>
    <x v="0"/>
    <n v="39"/>
    <s v="month"/>
    <n v="79"/>
    <x v="4"/>
    <x v="4"/>
  </r>
  <r>
    <n v="158112356"/>
    <x v="45"/>
    <x v="167"/>
    <x v="0"/>
    <n v="39"/>
    <s v="month"/>
    <n v="74"/>
    <x v="4"/>
    <x v="4"/>
  </r>
  <r>
    <n v="152410420"/>
    <x v="45"/>
    <x v="111"/>
    <x v="0"/>
    <n v="39"/>
    <s v="month"/>
    <n v="32"/>
    <x v="4"/>
    <x v="4"/>
  </r>
  <r>
    <n v="158164441"/>
    <x v="45"/>
    <x v="116"/>
    <x v="0"/>
    <n v="39"/>
    <s v="month"/>
    <n v="31"/>
    <x v="4"/>
    <x v="4"/>
  </r>
  <r>
    <n v="153956466"/>
    <x v="45"/>
    <x v="116"/>
    <x v="0"/>
    <n v="39"/>
    <s v="month"/>
    <n v="31"/>
    <x v="4"/>
    <x v="4"/>
  </r>
  <r>
    <n v="158100990"/>
    <x v="45"/>
    <x v="76"/>
    <x v="0"/>
    <n v="39"/>
    <s v="month"/>
    <n v="28"/>
    <x v="4"/>
    <x v="4"/>
  </r>
  <r>
    <n v="158096894"/>
    <x v="45"/>
    <x v="76"/>
    <x v="0"/>
    <n v="39"/>
    <s v="month"/>
    <n v="28"/>
    <x v="4"/>
    <x v="4"/>
  </r>
  <r>
    <n v="158066376"/>
    <x v="45"/>
    <x v="75"/>
    <x v="0"/>
    <n v="39"/>
    <s v="month"/>
    <n v="22"/>
    <x v="4"/>
    <x v="4"/>
  </r>
  <r>
    <n v="158220808"/>
    <x v="46"/>
    <x v="0"/>
    <x v="1"/>
    <n v="39"/>
    <s v="month"/>
    <s v="Not Cancelled"/>
    <x v="5"/>
    <x v="5"/>
  </r>
  <r>
    <n v="131779624"/>
    <x v="46"/>
    <x v="168"/>
    <x v="0"/>
    <n v="39"/>
    <s v="month"/>
    <n v="38"/>
    <x v="5"/>
    <x v="5"/>
  </r>
  <r>
    <n v="158267390"/>
    <x v="46"/>
    <x v="169"/>
    <x v="0"/>
    <n v="39"/>
    <s v="month"/>
    <n v="68"/>
    <x v="5"/>
    <x v="5"/>
  </r>
  <r>
    <n v="152354478"/>
    <x v="46"/>
    <x v="170"/>
    <x v="0"/>
    <n v="39"/>
    <s v="month"/>
    <n v="107"/>
    <x v="5"/>
    <x v="5"/>
  </r>
  <r>
    <n v="146376235"/>
    <x v="46"/>
    <x v="71"/>
    <x v="0"/>
    <n v="39"/>
    <s v="month"/>
    <n v="50"/>
    <x v="5"/>
    <x v="5"/>
  </r>
  <r>
    <n v="153953296"/>
    <x v="46"/>
    <x v="27"/>
    <x v="0"/>
    <n v="39"/>
    <s v="month"/>
    <n v="15"/>
    <x v="5"/>
    <x v="5"/>
  </r>
  <r>
    <n v="154659594"/>
    <x v="46"/>
    <x v="76"/>
    <x v="0"/>
    <n v="39"/>
    <s v="month"/>
    <n v="27"/>
    <x v="5"/>
    <x v="5"/>
  </r>
  <r>
    <n v="157998778"/>
    <x v="46"/>
    <x v="168"/>
    <x v="0"/>
    <n v="39"/>
    <s v="month"/>
    <n v="38"/>
    <x v="5"/>
    <x v="5"/>
  </r>
  <r>
    <n v="150668840"/>
    <x v="46"/>
    <x v="28"/>
    <x v="0"/>
    <n v="39"/>
    <s v="month"/>
    <n v="14"/>
    <x v="5"/>
    <x v="5"/>
  </r>
  <r>
    <n v="158184958"/>
    <x v="46"/>
    <x v="27"/>
    <x v="0"/>
    <n v="39"/>
    <s v="month"/>
    <n v="15"/>
    <x v="5"/>
    <x v="5"/>
  </r>
  <r>
    <n v="158362440"/>
    <x v="47"/>
    <x v="171"/>
    <x v="0"/>
    <n v="39"/>
    <s v="month"/>
    <n v="212"/>
    <x v="6"/>
    <x v="6"/>
  </r>
  <r>
    <n v="158477370"/>
    <x v="47"/>
    <x v="56"/>
    <x v="0"/>
    <n v="39"/>
    <s v="month"/>
    <n v="125"/>
    <x v="6"/>
    <x v="6"/>
  </r>
  <r>
    <n v="158047538"/>
    <x v="47"/>
    <x v="172"/>
    <x v="0"/>
    <n v="39"/>
    <s v="month"/>
    <n v="95"/>
    <x v="6"/>
    <x v="6"/>
  </r>
  <r>
    <n v="157910445"/>
    <x v="47"/>
    <x v="25"/>
    <x v="0"/>
    <n v="39"/>
    <s v="month"/>
    <n v="88"/>
    <x v="6"/>
    <x v="6"/>
  </r>
  <r>
    <n v="154091460"/>
    <x v="47"/>
    <x v="173"/>
    <x v="0"/>
    <n v="39"/>
    <s v="month"/>
    <n v="245"/>
    <x v="6"/>
    <x v="6"/>
  </r>
  <r>
    <n v="158532103"/>
    <x v="48"/>
    <x v="174"/>
    <x v="0"/>
    <n v="39"/>
    <s v="month"/>
    <n v="205"/>
    <x v="0"/>
    <x v="0"/>
  </r>
  <r>
    <n v="158591698"/>
    <x v="48"/>
    <x v="137"/>
    <x v="0"/>
    <n v="39"/>
    <s v="month"/>
    <n v="148"/>
    <x v="0"/>
    <x v="0"/>
  </r>
  <r>
    <n v="158533909"/>
    <x v="48"/>
    <x v="175"/>
    <x v="0"/>
    <n v="39"/>
    <s v="month"/>
    <n v="99"/>
    <x v="0"/>
    <x v="0"/>
  </r>
  <r>
    <n v="156372496"/>
    <x v="48"/>
    <x v="164"/>
    <x v="0"/>
    <n v="39"/>
    <s v="month"/>
    <n v="56"/>
    <x v="0"/>
    <x v="0"/>
  </r>
  <r>
    <n v="158620475"/>
    <x v="48"/>
    <x v="176"/>
    <x v="0"/>
    <n v="39"/>
    <s v="month"/>
    <n v="281"/>
    <x v="0"/>
    <x v="0"/>
  </r>
  <r>
    <n v="158539824"/>
    <x v="48"/>
    <x v="177"/>
    <x v="0"/>
    <n v="39"/>
    <s v="month"/>
    <n v="243"/>
    <x v="0"/>
    <x v="0"/>
  </r>
  <r>
    <n v="158499042"/>
    <x v="49"/>
    <x v="0"/>
    <x v="0"/>
    <n v="39"/>
    <s v="month"/>
    <s v="Not Cancelled"/>
    <x v="1"/>
    <x v="1"/>
  </r>
  <r>
    <n v="158755464"/>
    <x v="49"/>
    <x v="74"/>
    <x v="0"/>
    <n v="39"/>
    <s v="month"/>
    <n v="38"/>
    <x v="1"/>
    <x v="1"/>
  </r>
  <r>
    <n v="149112756"/>
    <x v="49"/>
    <x v="178"/>
    <x v="0"/>
    <n v="39"/>
    <s v="month"/>
    <n v="219"/>
    <x v="1"/>
    <x v="1"/>
  </r>
  <r>
    <n v="149065622"/>
    <x v="49"/>
    <x v="118"/>
    <x v="0"/>
    <n v="39"/>
    <s v="month"/>
    <n v="68"/>
    <x v="1"/>
    <x v="1"/>
  </r>
  <r>
    <n v="158656065"/>
    <x v="49"/>
    <x v="167"/>
    <x v="0"/>
    <n v="39"/>
    <s v="month"/>
    <n v="70"/>
    <x v="1"/>
    <x v="1"/>
  </r>
  <r>
    <n v="158756090"/>
    <x v="49"/>
    <x v="27"/>
    <x v="0"/>
    <n v="39"/>
    <s v="month"/>
    <n v="12"/>
    <x v="1"/>
    <x v="1"/>
  </r>
  <r>
    <n v="158447710"/>
    <x v="49"/>
    <x v="111"/>
    <x v="0"/>
    <n v="39"/>
    <s v="month"/>
    <n v="28"/>
    <x v="1"/>
    <x v="1"/>
  </r>
  <r>
    <n v="157568391"/>
    <x v="49"/>
    <x v="85"/>
    <x v="0"/>
    <n v="39"/>
    <s v="month"/>
    <n v="31"/>
    <x v="1"/>
    <x v="1"/>
  </r>
  <r>
    <n v="157505106"/>
    <x v="50"/>
    <x v="0"/>
    <x v="0"/>
    <n v="39"/>
    <s v="month"/>
    <s v="Not Cancelled"/>
    <x v="2"/>
    <x v="2"/>
  </r>
  <r>
    <n v="158761363"/>
    <x v="50"/>
    <x v="179"/>
    <x v="0"/>
    <n v="39"/>
    <s v="month"/>
    <n v="127"/>
    <x v="2"/>
    <x v="2"/>
  </r>
  <r>
    <n v="144858980"/>
    <x v="50"/>
    <x v="80"/>
    <x v="0"/>
    <n v="39"/>
    <s v="month"/>
    <n v="61"/>
    <x v="2"/>
    <x v="2"/>
  </r>
  <r>
    <n v="151000288"/>
    <x v="50"/>
    <x v="80"/>
    <x v="0"/>
    <n v="39"/>
    <s v="month"/>
    <n v="61"/>
    <x v="2"/>
    <x v="2"/>
  </r>
  <r>
    <n v="136276852"/>
    <x v="50"/>
    <x v="121"/>
    <x v="0"/>
    <n v="39"/>
    <s v="month"/>
    <n v="31"/>
    <x v="2"/>
    <x v="2"/>
  </r>
  <r>
    <n v="158767852"/>
    <x v="50"/>
    <x v="130"/>
    <x v="0"/>
    <n v="39"/>
    <s v="month"/>
    <n v="38"/>
    <x v="2"/>
    <x v="2"/>
  </r>
  <r>
    <n v="158849640"/>
    <x v="51"/>
    <x v="0"/>
    <x v="0"/>
    <n v="39"/>
    <s v="month"/>
    <s v="Not Cancelled"/>
    <x v="3"/>
    <x v="3"/>
  </r>
  <r>
    <n v="151491892"/>
    <x v="51"/>
    <x v="112"/>
    <x v="0"/>
    <n v="39"/>
    <s v="month"/>
    <n v="1"/>
    <x v="3"/>
    <x v="3"/>
  </r>
  <r>
    <n v="157474087"/>
    <x v="51"/>
    <x v="167"/>
    <x v="0"/>
    <n v="39"/>
    <s v="month"/>
    <n v="68"/>
    <x v="3"/>
    <x v="3"/>
  </r>
  <r>
    <n v="157997679"/>
    <x v="51"/>
    <x v="180"/>
    <x v="0"/>
    <n v="39"/>
    <s v="month"/>
    <n v="238"/>
    <x v="3"/>
    <x v="3"/>
  </r>
  <r>
    <n v="158566772"/>
    <x v="51"/>
    <x v="56"/>
    <x v="0"/>
    <n v="39"/>
    <s v="month"/>
    <n v="121"/>
    <x v="3"/>
    <x v="3"/>
  </r>
  <r>
    <n v="157788656"/>
    <x v="51"/>
    <x v="181"/>
    <x v="0"/>
    <n v="39"/>
    <s v="month"/>
    <n v="58"/>
    <x v="3"/>
    <x v="3"/>
  </r>
  <r>
    <n v="158832658"/>
    <x v="51"/>
    <x v="27"/>
    <x v="0"/>
    <n v="39"/>
    <s v="month"/>
    <n v="10"/>
    <x v="3"/>
    <x v="3"/>
  </r>
  <r>
    <n v="130837976"/>
    <x v="51"/>
    <x v="6"/>
    <x v="0"/>
    <n v="39"/>
    <s v="month"/>
    <n v="31"/>
    <x v="3"/>
    <x v="3"/>
  </r>
  <r>
    <n v="159095030"/>
    <x v="52"/>
    <x v="165"/>
    <x v="0"/>
    <n v="39"/>
    <s v="month"/>
    <n v="115"/>
    <x v="4"/>
    <x v="4"/>
  </r>
  <r>
    <n v="159028041"/>
    <x v="52"/>
    <x v="109"/>
    <x v="0"/>
    <n v="39"/>
    <s v="month"/>
    <n v="38"/>
    <x v="4"/>
    <x v="4"/>
  </r>
  <r>
    <n v="159018168"/>
    <x v="52"/>
    <x v="109"/>
    <x v="0"/>
    <n v="39"/>
    <s v="month"/>
    <n v="38"/>
    <x v="4"/>
    <x v="4"/>
  </r>
  <r>
    <n v="157981870"/>
    <x v="52"/>
    <x v="149"/>
    <x v="0"/>
    <n v="39"/>
    <s v="month"/>
    <n v="14"/>
    <x v="4"/>
    <x v="4"/>
  </r>
  <r>
    <n v="153061698"/>
    <x v="52"/>
    <x v="182"/>
    <x v="0"/>
    <n v="39"/>
    <s v="month"/>
    <n v="31"/>
    <x v="4"/>
    <x v="4"/>
  </r>
  <r>
    <n v="159204523"/>
    <x v="53"/>
    <x v="0"/>
    <x v="0"/>
    <n v="39"/>
    <s v="month"/>
    <s v="Not Cancelled"/>
    <x v="5"/>
    <x v="5"/>
  </r>
  <r>
    <n v="159236268"/>
    <x v="53"/>
    <x v="0"/>
    <x v="1"/>
    <n v="39"/>
    <s v="month"/>
    <s v="Not Cancelled"/>
    <x v="5"/>
    <x v="5"/>
  </r>
  <r>
    <n v="159256553"/>
    <x v="53"/>
    <x v="138"/>
    <x v="0"/>
    <n v="39"/>
    <s v="month"/>
    <n v="77"/>
    <x v="5"/>
    <x v="5"/>
  </r>
  <r>
    <n v="159211568"/>
    <x v="53"/>
    <x v="183"/>
    <x v="0"/>
    <n v="39"/>
    <s v="month"/>
    <n v="69"/>
    <x v="5"/>
    <x v="5"/>
  </r>
  <r>
    <n v="154778395"/>
    <x v="53"/>
    <x v="74"/>
    <x v="0"/>
    <n v="39"/>
    <s v="month"/>
    <n v="34"/>
    <x v="5"/>
    <x v="5"/>
  </r>
  <r>
    <n v="157961180"/>
    <x v="53"/>
    <x v="182"/>
    <x v="0"/>
    <n v="39"/>
    <s v="month"/>
    <n v="30"/>
    <x v="5"/>
    <x v="5"/>
  </r>
  <r>
    <n v="159281338"/>
    <x v="54"/>
    <x v="0"/>
    <x v="0"/>
    <n v="39"/>
    <s v="month"/>
    <s v="Not Cancelled"/>
    <x v="6"/>
    <x v="6"/>
  </r>
  <r>
    <n v="159364232"/>
    <x v="54"/>
    <x v="0"/>
    <x v="0"/>
    <n v="39"/>
    <s v="month"/>
    <s v="Not Cancelled"/>
    <x v="6"/>
    <x v="6"/>
  </r>
  <r>
    <n v="159276280"/>
    <x v="54"/>
    <x v="0"/>
    <x v="0"/>
    <n v="39"/>
    <s v="month"/>
    <s v="Not Cancelled"/>
    <x v="6"/>
    <x v="6"/>
  </r>
  <r>
    <n v="159326830"/>
    <x v="54"/>
    <x v="12"/>
    <x v="0"/>
    <n v="39"/>
    <s v="month"/>
    <n v="1"/>
    <x v="6"/>
    <x v="6"/>
  </r>
  <r>
    <n v="158144924"/>
    <x v="54"/>
    <x v="184"/>
    <x v="0"/>
    <n v="39"/>
    <s v="month"/>
    <n v="120"/>
    <x v="6"/>
    <x v="6"/>
  </r>
  <r>
    <n v="159239867"/>
    <x v="54"/>
    <x v="164"/>
    <x v="0"/>
    <n v="39"/>
    <s v="month"/>
    <n v="50"/>
    <x v="6"/>
    <x v="6"/>
  </r>
  <r>
    <n v="159108970"/>
    <x v="54"/>
    <x v="181"/>
    <x v="0"/>
    <n v="39"/>
    <s v="month"/>
    <n v="55"/>
    <x v="6"/>
    <x v="6"/>
  </r>
  <r>
    <n v="158644133"/>
    <x v="54"/>
    <x v="5"/>
    <x v="0"/>
    <n v="39"/>
    <s v="month"/>
    <n v="31"/>
    <x v="6"/>
    <x v="6"/>
  </r>
  <r>
    <n v="153830193"/>
    <x v="54"/>
    <x v="12"/>
    <x v="0"/>
    <n v="39"/>
    <s v="month"/>
    <n v="1"/>
    <x v="6"/>
    <x v="6"/>
  </r>
  <r>
    <n v="159664292"/>
    <x v="55"/>
    <x v="0"/>
    <x v="0"/>
    <n v="39"/>
    <s v="month"/>
    <s v="Not Cancelled"/>
    <x v="0"/>
    <x v="0"/>
  </r>
  <r>
    <n v="152937944"/>
    <x v="55"/>
    <x v="48"/>
    <x v="1"/>
    <n v="39"/>
    <s v="month"/>
    <n v="1"/>
    <x v="0"/>
    <x v="0"/>
  </r>
  <r>
    <n v="159446393"/>
    <x v="55"/>
    <x v="185"/>
    <x v="0"/>
    <n v="39"/>
    <s v="month"/>
    <n v="174"/>
    <x v="0"/>
    <x v="0"/>
  </r>
  <r>
    <n v="156837717"/>
    <x v="55"/>
    <x v="186"/>
    <x v="0"/>
    <n v="39"/>
    <s v="month"/>
    <n v="227"/>
    <x v="0"/>
    <x v="0"/>
  </r>
  <r>
    <n v="149000400"/>
    <x v="55"/>
    <x v="179"/>
    <x v="0"/>
    <n v="39"/>
    <s v="month"/>
    <n v="122"/>
    <x v="0"/>
    <x v="0"/>
  </r>
  <r>
    <n v="157923615"/>
    <x v="55"/>
    <x v="34"/>
    <x v="0"/>
    <n v="39"/>
    <s v="month"/>
    <n v="68"/>
    <x v="0"/>
    <x v="0"/>
  </r>
  <r>
    <n v="159699736"/>
    <x v="55"/>
    <x v="168"/>
    <x v="0"/>
    <n v="39"/>
    <s v="month"/>
    <n v="29"/>
    <x v="0"/>
    <x v="0"/>
  </r>
  <r>
    <n v="150816815"/>
    <x v="55"/>
    <x v="155"/>
    <x v="0"/>
    <n v="39"/>
    <s v="month"/>
    <n v="20"/>
    <x v="0"/>
    <x v="0"/>
  </r>
  <r>
    <n v="159634168"/>
    <x v="55"/>
    <x v="187"/>
    <x v="0"/>
    <n v="39"/>
    <s v="month"/>
    <n v="246"/>
    <x v="0"/>
    <x v="0"/>
  </r>
  <r>
    <n v="158114418"/>
    <x v="56"/>
    <x v="0"/>
    <x v="0"/>
    <n v="39"/>
    <s v="month"/>
    <s v="Not Cancelled"/>
    <x v="1"/>
    <x v="1"/>
  </r>
  <r>
    <n v="159706104"/>
    <x v="56"/>
    <x v="0"/>
    <x v="0"/>
    <n v="39"/>
    <s v="month"/>
    <s v="Not Cancelled"/>
    <x v="1"/>
    <x v="1"/>
  </r>
  <r>
    <n v="150704581"/>
    <x v="56"/>
    <x v="15"/>
    <x v="0"/>
    <n v="39"/>
    <s v="month"/>
    <n v="194"/>
    <x v="1"/>
    <x v="1"/>
  </r>
  <r>
    <n v="159733207"/>
    <x v="56"/>
    <x v="188"/>
    <x v="0"/>
    <n v="39"/>
    <s v="month"/>
    <n v="122"/>
    <x v="1"/>
    <x v="1"/>
  </r>
  <r>
    <n v="159775056"/>
    <x v="56"/>
    <x v="189"/>
    <x v="0"/>
    <n v="39"/>
    <s v="month"/>
    <n v="154"/>
    <x v="1"/>
    <x v="1"/>
  </r>
  <r>
    <n v="144328609"/>
    <x v="56"/>
    <x v="169"/>
    <x v="0"/>
    <n v="39"/>
    <s v="month"/>
    <n v="58"/>
    <x v="1"/>
    <x v="1"/>
  </r>
  <r>
    <n v="153172687"/>
    <x v="56"/>
    <x v="190"/>
    <x v="0"/>
    <n v="39"/>
    <s v="month"/>
    <n v="297"/>
    <x v="1"/>
    <x v="1"/>
  </r>
  <r>
    <n v="159861170"/>
    <x v="57"/>
    <x v="0"/>
    <x v="0"/>
    <n v="39"/>
    <s v="month"/>
    <s v="Not Cancelled"/>
    <x v="2"/>
    <x v="2"/>
  </r>
  <r>
    <n v="133474642"/>
    <x v="57"/>
    <x v="181"/>
    <x v="0"/>
    <n v="39"/>
    <s v="month"/>
    <n v="52"/>
    <x v="2"/>
    <x v="2"/>
  </r>
  <r>
    <n v="159817608"/>
    <x v="57"/>
    <x v="78"/>
    <x v="0"/>
    <n v="39"/>
    <s v="month"/>
    <n v="145"/>
    <x v="2"/>
    <x v="2"/>
  </r>
  <r>
    <n v="159867686"/>
    <x v="57"/>
    <x v="79"/>
    <x v="0"/>
    <n v="39"/>
    <s v="month"/>
    <n v="68"/>
    <x v="2"/>
    <x v="2"/>
  </r>
  <r>
    <n v="158484064"/>
    <x v="57"/>
    <x v="79"/>
    <x v="0"/>
    <n v="39"/>
    <s v="month"/>
    <n v="68"/>
    <x v="2"/>
    <x v="2"/>
  </r>
  <r>
    <n v="159829834"/>
    <x v="58"/>
    <x v="0"/>
    <x v="0"/>
    <n v="39"/>
    <s v="month"/>
    <s v="Not Cancelled"/>
    <x v="3"/>
    <x v="3"/>
  </r>
  <r>
    <n v="159875790"/>
    <x v="58"/>
    <x v="191"/>
    <x v="0"/>
    <n v="39"/>
    <s v="month"/>
    <n v="128"/>
    <x v="3"/>
    <x v="3"/>
  </r>
  <r>
    <n v="155520280"/>
    <x v="58"/>
    <x v="71"/>
    <x v="0"/>
    <n v="39"/>
    <s v="month"/>
    <n v="38"/>
    <x v="3"/>
    <x v="3"/>
  </r>
  <r>
    <n v="159783942"/>
    <x v="58"/>
    <x v="118"/>
    <x v="0"/>
    <n v="39"/>
    <s v="month"/>
    <n v="59"/>
    <x v="3"/>
    <x v="3"/>
  </r>
  <r>
    <n v="149696432"/>
    <x v="58"/>
    <x v="5"/>
    <x v="0"/>
    <n v="39"/>
    <s v="month"/>
    <n v="27"/>
    <x v="3"/>
    <x v="3"/>
  </r>
  <r>
    <n v="159979372"/>
    <x v="59"/>
    <x v="0"/>
    <x v="0"/>
    <n v="39"/>
    <s v="month"/>
    <s v="Not Cancelled"/>
    <x v="4"/>
    <x v="4"/>
  </r>
  <r>
    <n v="153814649"/>
    <x v="59"/>
    <x v="0"/>
    <x v="0"/>
    <n v="39"/>
    <s v="month"/>
    <s v="Not Cancelled"/>
    <x v="4"/>
    <x v="4"/>
  </r>
  <r>
    <n v="159931469"/>
    <x v="59"/>
    <x v="0"/>
    <x v="0"/>
    <n v="39"/>
    <s v="month"/>
    <s v="Not Cancelled"/>
    <x v="4"/>
    <x v="4"/>
  </r>
  <r>
    <n v="138061210"/>
    <x v="59"/>
    <x v="8"/>
    <x v="0"/>
    <n v="39"/>
    <s v="month"/>
    <n v="0"/>
    <x v="4"/>
    <x v="4"/>
  </r>
  <r>
    <n v="141403460"/>
    <x v="59"/>
    <x v="104"/>
    <x v="0"/>
    <n v="39"/>
    <s v="month"/>
    <n v="77"/>
    <x v="4"/>
    <x v="4"/>
  </r>
  <r>
    <n v="159991922"/>
    <x v="59"/>
    <x v="92"/>
    <x v="0"/>
    <n v="39"/>
    <s v="month"/>
    <n v="47"/>
    <x v="4"/>
    <x v="4"/>
  </r>
  <r>
    <n v="159241648"/>
    <x v="59"/>
    <x v="93"/>
    <x v="0"/>
    <n v="39"/>
    <s v="month"/>
    <n v="44"/>
    <x v="4"/>
    <x v="4"/>
  </r>
  <r>
    <n v="150703411"/>
    <x v="59"/>
    <x v="109"/>
    <x v="0"/>
    <n v="39"/>
    <s v="month"/>
    <n v="31"/>
    <x v="4"/>
    <x v="4"/>
  </r>
  <r>
    <n v="159773641"/>
    <x v="59"/>
    <x v="102"/>
    <x v="0"/>
    <n v="39"/>
    <s v="month"/>
    <n v="15"/>
    <x v="4"/>
    <x v="4"/>
  </r>
  <r>
    <n v="128002797"/>
    <x v="59"/>
    <x v="106"/>
    <x v="0"/>
    <n v="39"/>
    <s v="month"/>
    <n v="30"/>
    <x v="4"/>
    <x v="4"/>
  </r>
  <r>
    <n v="155807489"/>
    <x v="60"/>
    <x v="27"/>
    <x v="1"/>
    <n v="39"/>
    <s v="month"/>
    <n v="1"/>
    <x v="5"/>
    <x v="5"/>
  </r>
  <r>
    <n v="143077712"/>
    <x v="60"/>
    <x v="27"/>
    <x v="1"/>
    <n v="39"/>
    <s v="month"/>
    <n v="1"/>
    <x v="5"/>
    <x v="5"/>
  </r>
  <r>
    <n v="159745646"/>
    <x v="60"/>
    <x v="122"/>
    <x v="0"/>
    <n v="39"/>
    <s v="month"/>
    <n v="164"/>
    <x v="5"/>
    <x v="5"/>
  </r>
  <r>
    <n v="139004918"/>
    <x v="60"/>
    <x v="109"/>
    <x v="0"/>
    <n v="39"/>
    <s v="month"/>
    <n v="30"/>
    <x v="5"/>
    <x v="5"/>
  </r>
  <r>
    <n v="153255183"/>
    <x v="60"/>
    <x v="165"/>
    <x v="0"/>
    <n v="39"/>
    <s v="month"/>
    <n v="107"/>
    <x v="5"/>
    <x v="5"/>
  </r>
  <r>
    <n v="157708746"/>
    <x v="60"/>
    <x v="192"/>
    <x v="0"/>
    <n v="39"/>
    <s v="month"/>
    <n v="91"/>
    <x v="5"/>
    <x v="5"/>
  </r>
  <r>
    <n v="155652993"/>
    <x v="60"/>
    <x v="193"/>
    <x v="0"/>
    <n v="39"/>
    <s v="month"/>
    <n v="68"/>
    <x v="5"/>
    <x v="5"/>
  </r>
  <r>
    <n v="159977918"/>
    <x v="60"/>
    <x v="194"/>
    <x v="0"/>
    <n v="39"/>
    <s v="month"/>
    <n v="84"/>
    <x v="5"/>
    <x v="5"/>
  </r>
  <r>
    <n v="160108159"/>
    <x v="60"/>
    <x v="113"/>
    <x v="0"/>
    <n v="39"/>
    <s v="month"/>
    <n v="33"/>
    <x v="5"/>
    <x v="5"/>
  </r>
  <r>
    <n v="160051910"/>
    <x v="60"/>
    <x v="151"/>
    <x v="0"/>
    <n v="39"/>
    <s v="month"/>
    <n v="8"/>
    <x v="5"/>
    <x v="5"/>
  </r>
  <r>
    <n v="146169043"/>
    <x v="60"/>
    <x v="195"/>
    <x v="0"/>
    <n v="39"/>
    <s v="month"/>
    <n v="282"/>
    <x v="5"/>
    <x v="5"/>
  </r>
  <r>
    <n v="159927090"/>
    <x v="61"/>
    <x v="0"/>
    <x v="0"/>
    <n v="39"/>
    <s v="month"/>
    <s v="Not Cancelled"/>
    <x v="6"/>
    <x v="6"/>
  </r>
  <r>
    <n v="149188028"/>
    <x v="61"/>
    <x v="0"/>
    <x v="0"/>
    <n v="39"/>
    <s v="month"/>
    <s v="Not Cancelled"/>
    <x v="6"/>
    <x v="6"/>
  </r>
  <r>
    <n v="138535334"/>
    <x v="61"/>
    <x v="164"/>
    <x v="0"/>
    <n v="39"/>
    <s v="month"/>
    <n v="43"/>
    <x v="6"/>
    <x v="6"/>
  </r>
  <r>
    <n v="159901871"/>
    <x v="61"/>
    <x v="11"/>
    <x v="0"/>
    <n v="39"/>
    <s v="month"/>
    <n v="37"/>
    <x v="6"/>
    <x v="6"/>
  </r>
  <r>
    <n v="159620660"/>
    <x v="61"/>
    <x v="36"/>
    <x v="0"/>
    <n v="39"/>
    <s v="month"/>
    <n v="40"/>
    <x v="6"/>
    <x v="6"/>
  </r>
  <r>
    <n v="160199525"/>
    <x v="61"/>
    <x v="6"/>
    <x v="0"/>
    <n v="39"/>
    <s v="month"/>
    <n v="21"/>
    <x v="6"/>
    <x v="6"/>
  </r>
  <r>
    <n v="160183686"/>
    <x v="62"/>
    <x v="196"/>
    <x v="1"/>
    <n v="39"/>
    <s v="month"/>
    <n v="1"/>
    <x v="0"/>
    <x v="0"/>
  </r>
  <r>
    <n v="152504354"/>
    <x v="62"/>
    <x v="197"/>
    <x v="0"/>
    <n v="39"/>
    <s v="month"/>
    <n v="120"/>
    <x v="0"/>
    <x v="0"/>
  </r>
  <r>
    <n v="143164854"/>
    <x v="62"/>
    <x v="198"/>
    <x v="0"/>
    <n v="39"/>
    <s v="month"/>
    <n v="107"/>
    <x v="0"/>
    <x v="0"/>
  </r>
  <r>
    <n v="160366020"/>
    <x v="62"/>
    <x v="199"/>
    <x v="0"/>
    <n v="39"/>
    <s v="month"/>
    <n v="30"/>
    <x v="0"/>
    <x v="0"/>
  </r>
  <r>
    <n v="160298168"/>
    <x v="62"/>
    <x v="51"/>
    <x v="0"/>
    <n v="39"/>
    <s v="month"/>
    <n v="29"/>
    <x v="0"/>
    <x v="0"/>
  </r>
  <r>
    <n v="160243008"/>
    <x v="62"/>
    <x v="123"/>
    <x v="0"/>
    <n v="39"/>
    <s v="month"/>
    <n v="56"/>
    <x v="0"/>
    <x v="0"/>
  </r>
  <r>
    <n v="150878120"/>
    <x v="62"/>
    <x v="200"/>
    <x v="0"/>
    <n v="39"/>
    <s v="month"/>
    <n v="37"/>
    <x v="0"/>
    <x v="0"/>
  </r>
  <r>
    <n v="160208723"/>
    <x v="63"/>
    <x v="0"/>
    <x v="0"/>
    <n v="39"/>
    <s v="month"/>
    <s v="Not Cancelled"/>
    <x v="1"/>
    <x v="1"/>
  </r>
  <r>
    <n v="153539322"/>
    <x v="63"/>
    <x v="201"/>
    <x v="0"/>
    <n v="39"/>
    <s v="month"/>
    <n v="95"/>
    <x v="1"/>
    <x v="1"/>
  </r>
  <r>
    <n v="160164472"/>
    <x v="63"/>
    <x v="202"/>
    <x v="0"/>
    <n v="39"/>
    <s v="month"/>
    <n v="112"/>
    <x v="1"/>
    <x v="1"/>
  </r>
  <r>
    <n v="160193644"/>
    <x v="63"/>
    <x v="150"/>
    <x v="0"/>
    <n v="39"/>
    <s v="month"/>
    <n v="68"/>
    <x v="1"/>
    <x v="1"/>
  </r>
  <r>
    <n v="156294098"/>
    <x v="63"/>
    <x v="199"/>
    <x v="0"/>
    <n v="39"/>
    <s v="month"/>
    <n v="29"/>
    <x v="1"/>
    <x v="1"/>
  </r>
  <r>
    <n v="146625866"/>
    <x v="63"/>
    <x v="203"/>
    <x v="0"/>
    <n v="39"/>
    <s v="month"/>
    <n v="15"/>
    <x v="1"/>
    <x v="1"/>
  </r>
  <r>
    <n v="157663870"/>
    <x v="64"/>
    <x v="131"/>
    <x v="0"/>
    <n v="39"/>
    <s v="month"/>
    <n v="1"/>
    <x v="2"/>
    <x v="2"/>
  </r>
  <r>
    <n v="159679042"/>
    <x v="64"/>
    <x v="131"/>
    <x v="1"/>
    <n v="39"/>
    <s v="month"/>
    <n v="1"/>
    <x v="2"/>
    <x v="2"/>
  </r>
  <r>
    <n v="160558904"/>
    <x v="64"/>
    <x v="194"/>
    <x v="0"/>
    <n v="39"/>
    <s v="month"/>
    <n v="80"/>
    <x v="2"/>
    <x v="2"/>
  </r>
  <r>
    <n v="127836197"/>
    <x v="64"/>
    <x v="144"/>
    <x v="0"/>
    <n v="39"/>
    <s v="month"/>
    <n v="0"/>
    <x v="2"/>
    <x v="2"/>
  </r>
  <r>
    <n v="155334332"/>
    <x v="64"/>
    <x v="113"/>
    <x v="0"/>
    <n v="39"/>
    <s v="month"/>
    <n v="29"/>
    <x v="2"/>
    <x v="2"/>
  </r>
  <r>
    <n v="160523170"/>
    <x v="64"/>
    <x v="36"/>
    <x v="0"/>
    <n v="39"/>
    <s v="month"/>
    <n v="37"/>
    <x v="2"/>
    <x v="2"/>
  </r>
  <r>
    <n v="156907890"/>
    <x v="64"/>
    <x v="144"/>
    <x v="0"/>
    <n v="39"/>
    <s v="month"/>
    <n v="0"/>
    <x v="2"/>
    <x v="2"/>
  </r>
  <r>
    <n v="160608516"/>
    <x v="64"/>
    <x v="204"/>
    <x v="0"/>
    <n v="39"/>
    <s v="month"/>
    <n v="271"/>
    <x v="2"/>
    <x v="2"/>
  </r>
  <r>
    <n v="113181220"/>
    <x v="64"/>
    <x v="205"/>
    <x v="0"/>
    <n v="39"/>
    <s v="month"/>
    <n v="260"/>
    <x v="2"/>
    <x v="2"/>
  </r>
  <r>
    <n v="159790393"/>
    <x v="65"/>
    <x v="206"/>
    <x v="0"/>
    <n v="39"/>
    <s v="month"/>
    <n v="99"/>
    <x v="3"/>
    <x v="3"/>
  </r>
  <r>
    <n v="147813476"/>
    <x v="65"/>
    <x v="175"/>
    <x v="0"/>
    <n v="39"/>
    <s v="month"/>
    <n v="82"/>
    <x v="3"/>
    <x v="3"/>
  </r>
  <r>
    <n v="156078158"/>
    <x v="65"/>
    <x v="84"/>
    <x v="0"/>
    <n v="39"/>
    <s v="month"/>
    <n v="80"/>
    <x v="3"/>
    <x v="3"/>
  </r>
  <r>
    <n v="154879898"/>
    <x v="65"/>
    <x v="116"/>
    <x v="0"/>
    <n v="39"/>
    <s v="month"/>
    <n v="11"/>
    <x v="3"/>
    <x v="3"/>
  </r>
  <r>
    <n v="136157937"/>
    <x v="65"/>
    <x v="207"/>
    <x v="0"/>
    <n v="39"/>
    <s v="month"/>
    <n v="37"/>
    <x v="3"/>
    <x v="3"/>
  </r>
  <r>
    <n v="160176868"/>
    <x v="65"/>
    <x v="109"/>
    <x v="0"/>
    <n v="39"/>
    <s v="month"/>
    <n v="25"/>
    <x v="3"/>
    <x v="3"/>
  </r>
  <r>
    <n v="160622888"/>
    <x v="65"/>
    <x v="131"/>
    <x v="0"/>
    <n v="39"/>
    <s v="month"/>
    <n v="0"/>
    <x v="3"/>
    <x v="3"/>
  </r>
  <r>
    <n v="158736659"/>
    <x v="66"/>
    <x v="0"/>
    <x v="0"/>
    <n v="39"/>
    <s v="month"/>
    <s v="Not Cancelled"/>
    <x v="4"/>
    <x v="4"/>
  </r>
  <r>
    <n v="160813660"/>
    <x v="66"/>
    <x v="0"/>
    <x v="0"/>
    <n v="39"/>
    <s v="month"/>
    <s v="Not Cancelled"/>
    <x v="4"/>
    <x v="4"/>
  </r>
  <r>
    <n v="158524240"/>
    <x v="66"/>
    <x v="0"/>
    <x v="0"/>
    <n v="39"/>
    <s v="month"/>
    <s v="Not Cancelled"/>
    <x v="4"/>
    <x v="4"/>
  </r>
  <r>
    <n v="160702738"/>
    <x v="66"/>
    <x v="0"/>
    <x v="0"/>
    <n v="39"/>
    <s v="month"/>
    <s v="Not Cancelled"/>
    <x v="4"/>
    <x v="4"/>
  </r>
  <r>
    <n v="138919619"/>
    <x v="66"/>
    <x v="100"/>
    <x v="0"/>
    <n v="39"/>
    <s v="month"/>
    <n v="29"/>
    <x v="4"/>
    <x v="4"/>
  </r>
  <r>
    <n v="121571816"/>
    <x v="66"/>
    <x v="208"/>
    <x v="0"/>
    <n v="39"/>
    <s v="month"/>
    <n v="139"/>
    <x v="4"/>
    <x v="4"/>
  </r>
  <r>
    <n v="160623955"/>
    <x v="66"/>
    <x v="209"/>
    <x v="0"/>
    <n v="39"/>
    <s v="month"/>
    <n v="240"/>
    <x v="4"/>
    <x v="4"/>
  </r>
  <r>
    <n v="160010850"/>
    <x v="66"/>
    <x v="162"/>
    <x v="0"/>
    <n v="39"/>
    <s v="month"/>
    <n v="122"/>
    <x v="4"/>
    <x v="4"/>
  </r>
  <r>
    <n v="160823268"/>
    <x v="66"/>
    <x v="136"/>
    <x v="0"/>
    <n v="39"/>
    <s v="month"/>
    <n v="91"/>
    <x v="4"/>
    <x v="4"/>
  </r>
  <r>
    <n v="158992873"/>
    <x v="66"/>
    <x v="210"/>
    <x v="0"/>
    <n v="39"/>
    <s v="month"/>
    <n v="99"/>
    <x v="4"/>
    <x v="4"/>
  </r>
  <r>
    <n v="159878556"/>
    <x v="66"/>
    <x v="71"/>
    <x v="0"/>
    <n v="39"/>
    <s v="month"/>
    <n v="30"/>
    <x v="4"/>
    <x v="4"/>
  </r>
  <r>
    <n v="160833652"/>
    <x v="66"/>
    <x v="93"/>
    <x v="0"/>
    <n v="39"/>
    <s v="month"/>
    <n v="37"/>
    <x v="4"/>
    <x v="4"/>
  </r>
  <r>
    <n v="157663870"/>
    <x v="66"/>
    <x v="86"/>
    <x v="0"/>
    <n v="39"/>
    <s v="month"/>
    <n v="31"/>
    <x v="4"/>
    <x v="4"/>
  </r>
  <r>
    <n v="160615413"/>
    <x v="66"/>
    <x v="169"/>
    <x v="0"/>
    <n v="39"/>
    <s v="month"/>
    <n v="48"/>
    <x v="4"/>
    <x v="4"/>
  </r>
  <r>
    <n v="156207052"/>
    <x v="66"/>
    <x v="113"/>
    <x v="0"/>
    <n v="39"/>
    <s v="month"/>
    <n v="27"/>
    <x v="4"/>
    <x v="4"/>
  </r>
  <r>
    <n v="160103792"/>
    <x v="66"/>
    <x v="149"/>
    <x v="0"/>
    <n v="39"/>
    <s v="month"/>
    <n v="0"/>
    <x v="4"/>
    <x v="4"/>
  </r>
  <r>
    <n v="160969302"/>
    <x v="67"/>
    <x v="211"/>
    <x v="0"/>
    <n v="39"/>
    <s v="month"/>
    <n v="294"/>
    <x v="6"/>
    <x v="6"/>
  </r>
  <r>
    <n v="149648746"/>
    <x v="67"/>
    <x v="212"/>
    <x v="0"/>
    <n v="39"/>
    <s v="month"/>
    <n v="205"/>
    <x v="6"/>
    <x v="6"/>
  </r>
  <r>
    <n v="155643390"/>
    <x v="67"/>
    <x v="189"/>
    <x v="0"/>
    <n v="39"/>
    <s v="month"/>
    <n v="142"/>
    <x v="6"/>
    <x v="6"/>
  </r>
  <r>
    <n v="119294384"/>
    <x v="67"/>
    <x v="161"/>
    <x v="0"/>
    <n v="39"/>
    <s v="month"/>
    <n v="113"/>
    <x v="6"/>
    <x v="6"/>
  </r>
  <r>
    <n v="160171541"/>
    <x v="67"/>
    <x v="34"/>
    <x v="0"/>
    <n v="39"/>
    <s v="month"/>
    <n v="55"/>
    <x v="6"/>
    <x v="6"/>
  </r>
  <r>
    <n v="150569213"/>
    <x v="67"/>
    <x v="213"/>
    <x v="0"/>
    <n v="39"/>
    <s v="month"/>
    <n v="37"/>
    <x v="6"/>
    <x v="6"/>
  </r>
  <r>
    <n v="156710028"/>
    <x v="68"/>
    <x v="191"/>
    <x v="0"/>
    <n v="39"/>
    <s v="month"/>
    <n v="117"/>
    <x v="0"/>
    <x v="0"/>
  </r>
  <r>
    <n v="157670310"/>
    <x v="68"/>
    <x v="214"/>
    <x v="0"/>
    <n v="39"/>
    <s v="month"/>
    <n v="83"/>
    <x v="0"/>
    <x v="0"/>
  </r>
  <r>
    <n v="157091067"/>
    <x v="68"/>
    <x v="153"/>
    <x v="0"/>
    <n v="39"/>
    <s v="month"/>
    <n v="94"/>
    <x v="0"/>
    <x v="0"/>
  </r>
  <r>
    <n v="159639128"/>
    <x v="68"/>
    <x v="215"/>
    <x v="0"/>
    <n v="39"/>
    <s v="month"/>
    <n v="0"/>
    <x v="0"/>
    <x v="0"/>
  </r>
  <r>
    <n v="149728468"/>
    <x v="69"/>
    <x v="87"/>
    <x v="0"/>
    <n v="39"/>
    <s v="month"/>
    <n v="1"/>
    <x v="1"/>
    <x v="1"/>
  </r>
  <r>
    <n v="160714172"/>
    <x v="69"/>
    <x v="216"/>
    <x v="0"/>
    <n v="39"/>
    <s v="month"/>
    <n v="50"/>
    <x v="1"/>
    <x v="1"/>
  </r>
  <r>
    <n v="161464205"/>
    <x v="69"/>
    <x v="213"/>
    <x v="0"/>
    <n v="39"/>
    <s v="month"/>
    <n v="35"/>
    <x v="1"/>
    <x v="1"/>
  </r>
  <r>
    <n v="141084753"/>
    <x v="70"/>
    <x v="185"/>
    <x v="0"/>
    <n v="39"/>
    <s v="month"/>
    <n v="158"/>
    <x v="2"/>
    <x v="2"/>
  </r>
  <r>
    <n v="161768948"/>
    <x v="70"/>
    <x v="22"/>
    <x v="0"/>
    <n v="39"/>
    <s v="month"/>
    <n v="144"/>
    <x v="2"/>
    <x v="2"/>
  </r>
  <r>
    <n v="161692109"/>
    <x v="70"/>
    <x v="26"/>
    <x v="0"/>
    <n v="39"/>
    <s v="month"/>
    <n v="99"/>
    <x v="2"/>
    <x v="2"/>
  </r>
  <r>
    <n v="161424706"/>
    <x v="70"/>
    <x v="11"/>
    <x v="0"/>
    <n v="39"/>
    <s v="month"/>
    <n v="27"/>
    <x v="2"/>
    <x v="2"/>
  </r>
  <r>
    <n v="153186137"/>
    <x v="70"/>
    <x v="87"/>
    <x v="0"/>
    <n v="39"/>
    <s v="month"/>
    <n v="0"/>
    <x v="2"/>
    <x v="2"/>
  </r>
  <r>
    <n v="158906669"/>
    <x v="71"/>
    <x v="153"/>
    <x v="0"/>
    <n v="39"/>
    <s v="month"/>
    <n v="91"/>
    <x v="3"/>
    <x v="3"/>
  </r>
  <r>
    <n v="154085972"/>
    <x v="71"/>
    <x v="217"/>
    <x v="0"/>
    <n v="39"/>
    <s v="month"/>
    <n v="22"/>
    <x v="3"/>
    <x v="3"/>
  </r>
  <r>
    <n v="162409676"/>
    <x v="72"/>
    <x v="0"/>
    <x v="0"/>
    <n v="39"/>
    <s v="month"/>
    <s v="Not Cancelled"/>
    <x v="4"/>
    <x v="4"/>
  </r>
  <r>
    <n v="157438261"/>
    <x v="72"/>
    <x v="0"/>
    <x v="0"/>
    <n v="39"/>
    <s v="month"/>
    <s v="Not Cancelled"/>
    <x v="4"/>
    <x v="4"/>
  </r>
  <r>
    <n v="132579012"/>
    <x v="72"/>
    <x v="218"/>
    <x v="0"/>
    <n v="39"/>
    <s v="month"/>
    <n v="120"/>
    <x v="4"/>
    <x v="4"/>
  </r>
  <r>
    <n v="129140042"/>
    <x v="72"/>
    <x v="219"/>
    <x v="0"/>
    <n v="39"/>
    <s v="month"/>
    <n v="87"/>
    <x v="4"/>
    <x v="4"/>
  </r>
  <r>
    <n v="147100996"/>
    <x v="72"/>
    <x v="25"/>
    <x v="0"/>
    <n v="39"/>
    <s v="month"/>
    <n v="62"/>
    <x v="4"/>
    <x v="4"/>
  </r>
  <r>
    <n v="158437198"/>
    <x v="72"/>
    <x v="208"/>
    <x v="0"/>
    <n v="39"/>
    <s v="month"/>
    <n v="132"/>
    <x v="4"/>
    <x v="4"/>
  </r>
  <r>
    <n v="162343403"/>
    <x v="72"/>
    <x v="220"/>
    <x v="0"/>
    <n v="39"/>
    <s v="month"/>
    <n v="122"/>
    <x v="4"/>
    <x v="4"/>
  </r>
  <r>
    <n v="162218672"/>
    <x v="72"/>
    <x v="162"/>
    <x v="0"/>
    <n v="39"/>
    <s v="month"/>
    <n v="115"/>
    <x v="4"/>
    <x v="4"/>
  </r>
  <r>
    <n v="120738319"/>
    <x v="72"/>
    <x v="145"/>
    <x v="0"/>
    <n v="39"/>
    <s v="month"/>
    <n v="140"/>
    <x v="4"/>
    <x v="4"/>
  </r>
  <r>
    <n v="162147786"/>
    <x v="72"/>
    <x v="122"/>
    <x v="0"/>
    <n v="39"/>
    <s v="month"/>
    <n v="151"/>
    <x v="4"/>
    <x v="4"/>
  </r>
  <r>
    <n v="153165084"/>
    <x v="72"/>
    <x v="35"/>
    <x v="0"/>
    <n v="39"/>
    <s v="month"/>
    <n v="86"/>
    <x v="4"/>
    <x v="4"/>
  </r>
  <r>
    <n v="161815335"/>
    <x v="72"/>
    <x v="26"/>
    <x v="0"/>
    <n v="39"/>
    <s v="month"/>
    <n v="97"/>
    <x v="4"/>
    <x v="4"/>
  </r>
  <r>
    <n v="162294529"/>
    <x v="72"/>
    <x v="201"/>
    <x v="0"/>
    <n v="39"/>
    <s v="month"/>
    <n v="85"/>
    <x v="4"/>
    <x v="4"/>
  </r>
  <r>
    <n v="162176080"/>
    <x v="72"/>
    <x v="221"/>
    <x v="0"/>
    <n v="39"/>
    <s v="month"/>
    <n v="83"/>
    <x v="4"/>
    <x v="4"/>
  </r>
  <r>
    <n v="162412232"/>
    <x v="72"/>
    <x v="97"/>
    <x v="0"/>
    <n v="39"/>
    <s v="month"/>
    <n v="37"/>
    <x v="4"/>
    <x v="4"/>
  </r>
  <r>
    <n v="158575772"/>
    <x v="72"/>
    <x v="213"/>
    <x v="0"/>
    <n v="39"/>
    <s v="month"/>
    <n v="32"/>
    <x v="4"/>
    <x v="4"/>
  </r>
  <r>
    <n v="162247173"/>
    <x v="72"/>
    <x v="60"/>
    <x v="0"/>
    <n v="39"/>
    <s v="month"/>
    <n v="27"/>
    <x v="4"/>
    <x v="4"/>
  </r>
  <r>
    <n v="153630282"/>
    <x v="72"/>
    <x v="86"/>
    <x v="0"/>
    <n v="39"/>
    <s v="month"/>
    <n v="24"/>
    <x v="4"/>
    <x v="4"/>
  </r>
  <r>
    <n v="156699431"/>
    <x v="72"/>
    <x v="6"/>
    <x v="0"/>
    <n v="39"/>
    <s v="month"/>
    <n v="9"/>
    <x v="4"/>
    <x v="4"/>
  </r>
  <r>
    <n v="148018000"/>
    <x v="72"/>
    <x v="222"/>
    <x v="0"/>
    <n v="39"/>
    <s v="month"/>
    <n v="260"/>
    <x v="4"/>
    <x v="4"/>
  </r>
  <r>
    <n v="161623906"/>
    <x v="73"/>
    <x v="0"/>
    <x v="0"/>
    <n v="39"/>
    <s v="month"/>
    <s v="Not Cancelled"/>
    <x v="5"/>
    <x v="5"/>
  </r>
  <r>
    <n v="145664226"/>
    <x v="73"/>
    <x v="0"/>
    <x v="0"/>
    <n v="39"/>
    <s v="month"/>
    <s v="Not Cancelled"/>
    <x v="5"/>
    <x v="5"/>
  </r>
  <r>
    <n v="162529715"/>
    <x v="73"/>
    <x v="223"/>
    <x v="0"/>
    <n v="39"/>
    <s v="month"/>
    <n v="127"/>
    <x v="5"/>
    <x v="5"/>
  </r>
  <r>
    <n v="162581284"/>
    <x v="73"/>
    <x v="60"/>
    <x v="0"/>
    <n v="39"/>
    <s v="month"/>
    <n v="26"/>
    <x v="5"/>
    <x v="5"/>
  </r>
  <r>
    <n v="152655443"/>
    <x v="73"/>
    <x v="194"/>
    <x v="0"/>
    <n v="39"/>
    <s v="month"/>
    <n v="70"/>
    <x v="5"/>
    <x v="5"/>
  </r>
  <r>
    <n v="162443327"/>
    <x v="73"/>
    <x v="224"/>
    <x v="0"/>
    <n v="39"/>
    <s v="month"/>
    <n v="58"/>
    <x v="5"/>
    <x v="5"/>
  </r>
  <r>
    <n v="148348600"/>
    <x v="73"/>
    <x v="207"/>
    <x v="0"/>
    <n v="39"/>
    <s v="month"/>
    <n v="28"/>
    <x v="5"/>
    <x v="5"/>
  </r>
  <r>
    <n v="162992590"/>
    <x v="74"/>
    <x v="0"/>
    <x v="0"/>
    <n v="39"/>
    <s v="month"/>
    <s v="Not Cancelled"/>
    <x v="6"/>
    <x v="6"/>
  </r>
  <r>
    <n v="156633222"/>
    <x v="74"/>
    <x v="155"/>
    <x v="1"/>
    <n v="39"/>
    <s v="month"/>
    <n v="0"/>
    <x v="6"/>
    <x v="6"/>
  </r>
  <r>
    <n v="133595094"/>
    <x v="74"/>
    <x v="197"/>
    <x v="0"/>
    <n v="39"/>
    <s v="month"/>
    <n v="107"/>
    <x v="6"/>
    <x v="6"/>
  </r>
  <r>
    <n v="147770763"/>
    <x v="74"/>
    <x v="197"/>
    <x v="0"/>
    <n v="39"/>
    <s v="month"/>
    <n v="107"/>
    <x v="6"/>
    <x v="6"/>
  </r>
  <r>
    <n v="155370139"/>
    <x v="74"/>
    <x v="78"/>
    <x v="0"/>
    <n v="39"/>
    <s v="month"/>
    <n v="127"/>
    <x v="6"/>
    <x v="6"/>
  </r>
  <r>
    <n v="151890876"/>
    <x v="74"/>
    <x v="184"/>
    <x v="0"/>
    <n v="39"/>
    <s v="month"/>
    <n v="99"/>
    <x v="6"/>
    <x v="6"/>
  </r>
  <r>
    <n v="162920304"/>
    <x v="74"/>
    <x v="25"/>
    <x v="0"/>
    <n v="39"/>
    <s v="month"/>
    <n v="60"/>
    <x v="6"/>
    <x v="6"/>
  </r>
  <r>
    <n v="148838269"/>
    <x v="74"/>
    <x v="155"/>
    <x v="0"/>
    <n v="39"/>
    <s v="month"/>
    <n v="0"/>
    <x v="6"/>
    <x v="6"/>
  </r>
  <r>
    <n v="162913792"/>
    <x v="74"/>
    <x v="225"/>
    <x v="0"/>
    <n v="39"/>
    <s v="month"/>
    <n v="280"/>
    <x v="6"/>
    <x v="6"/>
  </r>
  <r>
    <n v="152316740"/>
    <x v="75"/>
    <x v="0"/>
    <x v="0"/>
    <n v="39"/>
    <s v="month"/>
    <s v="Not Cancelled"/>
    <x v="0"/>
    <x v="0"/>
  </r>
  <r>
    <n v="135480868"/>
    <x v="75"/>
    <x v="134"/>
    <x v="0"/>
    <n v="39"/>
    <s v="month"/>
    <n v="70"/>
    <x v="0"/>
    <x v="0"/>
  </r>
  <r>
    <n v="136315690"/>
    <x v="75"/>
    <x v="202"/>
    <x v="0"/>
    <n v="39"/>
    <s v="month"/>
    <n v="99"/>
    <x v="0"/>
    <x v="0"/>
  </r>
  <r>
    <n v="163224262"/>
    <x v="75"/>
    <x v="153"/>
    <x v="0"/>
    <n v="39"/>
    <s v="month"/>
    <n v="87"/>
    <x v="0"/>
    <x v="0"/>
  </r>
  <r>
    <n v="163330072"/>
    <x v="75"/>
    <x v="194"/>
    <x v="0"/>
    <n v="39"/>
    <s v="month"/>
    <n v="68"/>
    <x v="0"/>
    <x v="0"/>
  </r>
  <r>
    <n v="134646164"/>
    <x v="75"/>
    <x v="61"/>
    <x v="0"/>
    <n v="39"/>
    <s v="month"/>
    <n v="37"/>
    <x v="0"/>
    <x v="0"/>
  </r>
  <r>
    <n v="163282336"/>
    <x v="75"/>
    <x v="195"/>
    <x v="0"/>
    <n v="39"/>
    <s v="month"/>
    <n v="266"/>
    <x v="0"/>
    <x v="0"/>
  </r>
  <r>
    <n v="162490128"/>
    <x v="76"/>
    <x v="0"/>
    <x v="0"/>
    <n v="39"/>
    <s v="month"/>
    <s v="Not Cancelled"/>
    <x v="1"/>
    <x v="1"/>
  </r>
  <r>
    <n v="147122277"/>
    <x v="76"/>
    <x v="203"/>
    <x v="1"/>
    <n v="39"/>
    <s v="month"/>
    <n v="1"/>
    <x v="1"/>
    <x v="1"/>
  </r>
  <r>
    <n v="163623375"/>
    <x v="76"/>
    <x v="203"/>
    <x v="1"/>
    <n v="39"/>
    <s v="month"/>
    <n v="1"/>
    <x v="1"/>
    <x v="1"/>
  </r>
  <r>
    <n v="132918654"/>
    <x v="76"/>
    <x v="117"/>
    <x v="0"/>
    <n v="39"/>
    <s v="month"/>
    <n v="61"/>
    <x v="1"/>
    <x v="1"/>
  </r>
  <r>
    <n v="160601062"/>
    <x v="76"/>
    <x v="226"/>
    <x v="0"/>
    <n v="39"/>
    <s v="month"/>
    <n v="52"/>
    <x v="1"/>
    <x v="1"/>
  </r>
  <r>
    <n v="144573808"/>
    <x v="76"/>
    <x v="117"/>
    <x v="0"/>
    <n v="39"/>
    <s v="month"/>
    <n v="61"/>
    <x v="1"/>
    <x v="1"/>
  </r>
  <r>
    <n v="114435366"/>
    <x v="76"/>
    <x v="111"/>
    <x v="0"/>
    <n v="39"/>
    <s v="month"/>
    <n v="0"/>
    <x v="1"/>
    <x v="1"/>
  </r>
  <r>
    <n v="163399934"/>
    <x v="76"/>
    <x v="111"/>
    <x v="0"/>
    <n v="39"/>
    <s v="month"/>
    <n v="0"/>
    <x v="1"/>
    <x v="1"/>
  </r>
  <r>
    <n v="133599090"/>
    <x v="77"/>
    <x v="227"/>
    <x v="0"/>
    <n v="39"/>
    <s v="month"/>
    <n v="112"/>
    <x v="2"/>
    <x v="2"/>
  </r>
  <r>
    <n v="154767246"/>
    <x v="77"/>
    <x v="181"/>
    <x v="0"/>
    <n v="39"/>
    <s v="month"/>
    <n v="31"/>
    <x v="2"/>
    <x v="2"/>
  </r>
  <r>
    <n v="164085988"/>
    <x v="77"/>
    <x v="181"/>
    <x v="0"/>
    <n v="39"/>
    <s v="month"/>
    <n v="31"/>
    <x v="2"/>
    <x v="2"/>
  </r>
  <r>
    <n v="164255751"/>
    <x v="78"/>
    <x v="190"/>
    <x v="0"/>
    <n v="39"/>
    <s v="month"/>
    <n v="274"/>
    <x v="3"/>
    <x v="3"/>
  </r>
  <r>
    <n v="150663530"/>
    <x v="78"/>
    <x v="228"/>
    <x v="0"/>
    <n v="39"/>
    <s v="month"/>
    <n v="158"/>
    <x v="3"/>
    <x v="3"/>
  </r>
  <r>
    <n v="155333508"/>
    <x v="78"/>
    <x v="229"/>
    <x v="0"/>
    <n v="39"/>
    <s v="month"/>
    <n v="60"/>
    <x v="3"/>
    <x v="3"/>
  </r>
  <r>
    <n v="163178244"/>
    <x v="79"/>
    <x v="0"/>
    <x v="1"/>
    <n v="39"/>
    <s v="month"/>
    <s v="Not Cancelled"/>
    <x v="4"/>
    <x v="4"/>
  </r>
  <r>
    <n v="130245484"/>
    <x v="79"/>
    <x v="230"/>
    <x v="0"/>
    <n v="39"/>
    <s v="month"/>
    <n v="91"/>
    <x v="4"/>
    <x v="4"/>
  </r>
  <r>
    <n v="164578320"/>
    <x v="79"/>
    <x v="97"/>
    <x v="0"/>
    <n v="39"/>
    <s v="month"/>
    <n v="30"/>
    <x v="4"/>
    <x v="4"/>
  </r>
  <r>
    <n v="164542692"/>
    <x v="79"/>
    <x v="118"/>
    <x v="0"/>
    <n v="39"/>
    <s v="month"/>
    <n v="37"/>
    <x v="4"/>
    <x v="4"/>
  </r>
  <r>
    <n v="164087136"/>
    <x v="80"/>
    <x v="0"/>
    <x v="0"/>
    <n v="39"/>
    <s v="month"/>
    <s v="Not Cancelled"/>
    <x v="5"/>
    <x v="5"/>
  </r>
  <r>
    <n v="155414052"/>
    <x v="80"/>
    <x v="6"/>
    <x v="1"/>
    <n v="39"/>
    <s v="month"/>
    <n v="1"/>
    <x v="5"/>
    <x v="5"/>
  </r>
  <r>
    <n v="152253972"/>
    <x v="80"/>
    <x v="231"/>
    <x v="0"/>
    <n v="39"/>
    <s v="month"/>
    <n v="127"/>
    <x v="5"/>
    <x v="5"/>
  </r>
  <r>
    <n v="152754329"/>
    <x v="80"/>
    <x v="115"/>
    <x v="0"/>
    <n v="39"/>
    <s v="month"/>
    <n v="62"/>
    <x v="5"/>
    <x v="5"/>
  </r>
  <r>
    <n v="159724071"/>
    <x v="81"/>
    <x v="229"/>
    <x v="0"/>
    <n v="39"/>
    <s v="month"/>
    <n v="57"/>
    <x v="6"/>
    <x v="6"/>
  </r>
  <r>
    <n v="165164673"/>
    <x v="81"/>
    <x v="5"/>
    <x v="0"/>
    <n v="39"/>
    <s v="month"/>
    <n v="3"/>
    <x v="6"/>
    <x v="6"/>
  </r>
  <r>
    <n v="165529460"/>
    <x v="82"/>
    <x v="141"/>
    <x v="0"/>
    <n v="39"/>
    <s v="month"/>
    <n v="148"/>
    <x v="0"/>
    <x v="0"/>
  </r>
  <r>
    <n v="163362190"/>
    <x v="83"/>
    <x v="0"/>
    <x v="0"/>
    <n v="39"/>
    <s v="month"/>
    <s v="Not Cancelled"/>
    <x v="1"/>
    <x v="1"/>
  </r>
  <r>
    <n v="155810350"/>
    <x v="83"/>
    <x v="80"/>
    <x v="0"/>
    <n v="39"/>
    <s v="month"/>
    <n v="27"/>
    <x v="1"/>
    <x v="1"/>
  </r>
  <r>
    <n v="161793136"/>
    <x v="83"/>
    <x v="232"/>
    <x v="0"/>
    <n v="39"/>
    <s v="month"/>
    <n v="200"/>
    <x v="1"/>
    <x v="1"/>
  </r>
  <r>
    <n v="159255776"/>
    <x v="83"/>
    <x v="233"/>
    <x v="0"/>
    <n v="39"/>
    <s v="month"/>
    <n v="116"/>
    <x v="1"/>
    <x v="1"/>
  </r>
  <r>
    <n v="165807144"/>
    <x v="83"/>
    <x v="214"/>
    <x v="0"/>
    <n v="39"/>
    <s v="month"/>
    <n v="68"/>
    <x v="1"/>
    <x v="1"/>
  </r>
  <r>
    <n v="165788743"/>
    <x v="83"/>
    <x v="198"/>
    <x v="0"/>
    <n v="39"/>
    <s v="month"/>
    <n v="85"/>
    <x v="1"/>
    <x v="1"/>
  </r>
  <r>
    <n v="162513776"/>
    <x v="83"/>
    <x v="143"/>
    <x v="0"/>
    <n v="39"/>
    <s v="month"/>
    <n v="66"/>
    <x v="1"/>
    <x v="1"/>
  </r>
  <r>
    <n v="161841028"/>
    <x v="83"/>
    <x v="84"/>
    <x v="0"/>
    <n v="39"/>
    <s v="month"/>
    <n v="61"/>
    <x v="1"/>
    <x v="1"/>
  </r>
  <r>
    <n v="160597612"/>
    <x v="83"/>
    <x v="60"/>
    <x v="0"/>
    <n v="39"/>
    <s v="month"/>
    <n v="16"/>
    <x v="1"/>
    <x v="1"/>
  </r>
  <r>
    <n v="165937140"/>
    <x v="84"/>
    <x v="234"/>
    <x v="1"/>
    <n v="39"/>
    <s v="month"/>
    <n v="1"/>
    <x v="2"/>
    <x v="2"/>
  </r>
  <r>
    <n v="165613975"/>
    <x v="84"/>
    <x v="235"/>
    <x v="0"/>
    <n v="39"/>
    <s v="month"/>
    <n v="162"/>
    <x v="2"/>
    <x v="2"/>
  </r>
  <r>
    <n v="164662173"/>
    <x v="84"/>
    <x v="134"/>
    <x v="0"/>
    <n v="39"/>
    <s v="month"/>
    <n v="61"/>
    <x v="2"/>
    <x v="2"/>
  </r>
  <r>
    <n v="162411394"/>
    <x v="84"/>
    <x v="166"/>
    <x v="0"/>
    <n v="39"/>
    <s v="month"/>
    <n v="39"/>
    <x v="2"/>
    <x v="2"/>
  </r>
  <r>
    <n v="121439836"/>
    <x v="85"/>
    <x v="0"/>
    <x v="0"/>
    <n v="39"/>
    <s v="month"/>
    <s v="Not Cancelled"/>
    <x v="3"/>
    <x v="3"/>
  </r>
  <r>
    <n v="157353623"/>
    <x v="85"/>
    <x v="234"/>
    <x v="1"/>
    <n v="39"/>
    <s v="month"/>
    <n v="0"/>
    <x v="3"/>
    <x v="3"/>
  </r>
  <r>
    <n v="165953219"/>
    <x v="85"/>
    <x v="34"/>
    <x v="0"/>
    <n v="39"/>
    <s v="month"/>
    <n v="37"/>
    <x v="3"/>
    <x v="3"/>
  </r>
  <r>
    <n v="154710805"/>
    <x v="86"/>
    <x v="0"/>
    <x v="0"/>
    <n v="39"/>
    <s v="month"/>
    <s v="Not Cancelled"/>
    <x v="4"/>
    <x v="4"/>
  </r>
  <r>
    <n v="164084318"/>
    <x v="86"/>
    <x v="0"/>
    <x v="0"/>
    <n v="39"/>
    <s v="month"/>
    <s v="Not Cancelled"/>
    <x v="4"/>
    <x v="4"/>
  </r>
  <r>
    <n v="160043327"/>
    <x v="86"/>
    <x v="130"/>
    <x v="1"/>
    <n v="39"/>
    <s v="month"/>
    <n v="1"/>
    <x v="4"/>
    <x v="4"/>
  </r>
  <r>
    <n v="131166579"/>
    <x v="86"/>
    <x v="166"/>
    <x v="0"/>
    <n v="39"/>
    <s v="month"/>
    <n v="37"/>
    <x v="4"/>
    <x v="4"/>
  </r>
  <r>
    <n v="166109726"/>
    <x v="86"/>
    <x v="224"/>
    <x v="0"/>
    <n v="39"/>
    <s v="month"/>
    <n v="45"/>
    <x v="4"/>
    <x v="4"/>
  </r>
  <r>
    <n v="155446081"/>
    <x v="86"/>
    <x v="133"/>
    <x v="0"/>
    <n v="39"/>
    <s v="month"/>
    <n v="34"/>
    <x v="4"/>
    <x v="4"/>
  </r>
  <r>
    <n v="166342075"/>
    <x v="86"/>
    <x v="118"/>
    <x v="0"/>
    <n v="39"/>
    <s v="month"/>
    <n v="30"/>
    <x v="4"/>
    <x v="4"/>
  </r>
  <r>
    <n v="154063985"/>
    <x v="86"/>
    <x v="236"/>
    <x v="0"/>
    <n v="39"/>
    <s v="month"/>
    <n v="249"/>
    <x v="4"/>
    <x v="4"/>
  </r>
  <r>
    <n v="164141888"/>
    <x v="87"/>
    <x v="0"/>
    <x v="0"/>
    <n v="39"/>
    <s v="month"/>
    <s v="Not Cancelled"/>
    <x v="5"/>
    <x v="5"/>
  </r>
  <r>
    <n v="165244044"/>
    <x v="87"/>
    <x v="237"/>
    <x v="0"/>
    <n v="39"/>
    <s v="month"/>
    <n v="167"/>
    <x v="5"/>
    <x v="5"/>
  </r>
  <r>
    <n v="136149379"/>
    <x v="87"/>
    <x v="146"/>
    <x v="0"/>
    <n v="39"/>
    <s v="month"/>
    <n v="124"/>
    <x v="5"/>
    <x v="5"/>
  </r>
  <r>
    <n v="158227426"/>
    <x v="87"/>
    <x v="50"/>
    <x v="0"/>
    <n v="39"/>
    <s v="month"/>
    <n v="92"/>
    <x v="5"/>
    <x v="5"/>
  </r>
  <r>
    <n v="166366125"/>
    <x v="87"/>
    <x v="162"/>
    <x v="0"/>
    <n v="39"/>
    <s v="month"/>
    <n v="100"/>
    <x v="5"/>
    <x v="5"/>
  </r>
  <r>
    <n v="166753946"/>
    <x v="87"/>
    <x v="221"/>
    <x v="0"/>
    <n v="39"/>
    <s v="month"/>
    <n v="68"/>
    <x v="5"/>
    <x v="5"/>
  </r>
  <r>
    <n v="157883110"/>
    <x v="87"/>
    <x v="115"/>
    <x v="0"/>
    <n v="39"/>
    <s v="month"/>
    <n v="55"/>
    <x v="5"/>
    <x v="5"/>
  </r>
  <r>
    <n v="138475621"/>
    <x v="87"/>
    <x v="164"/>
    <x v="0"/>
    <n v="39"/>
    <s v="month"/>
    <n v="16"/>
    <x v="5"/>
    <x v="5"/>
  </r>
  <r>
    <n v="166529240"/>
    <x v="88"/>
    <x v="0"/>
    <x v="0"/>
    <n v="39"/>
    <s v="month"/>
    <s v="Not Cancelled"/>
    <x v="6"/>
    <x v="6"/>
  </r>
  <r>
    <n v="125828506"/>
    <x v="88"/>
    <x v="210"/>
    <x v="0"/>
    <n v="39"/>
    <s v="month"/>
    <n v="76"/>
    <x v="6"/>
    <x v="6"/>
  </r>
  <r>
    <n v="148869381"/>
    <x v="88"/>
    <x v="192"/>
    <x v="0"/>
    <n v="39"/>
    <s v="month"/>
    <n v="62"/>
    <x v="6"/>
    <x v="6"/>
  </r>
  <r>
    <n v="134825962"/>
    <x v="88"/>
    <x v="133"/>
    <x v="0"/>
    <n v="39"/>
    <s v="month"/>
    <n v="32"/>
    <x v="6"/>
    <x v="6"/>
  </r>
  <r>
    <n v="151163143"/>
    <x v="88"/>
    <x v="129"/>
    <x v="0"/>
    <n v="39"/>
    <s v="month"/>
    <n v="37"/>
    <x v="6"/>
    <x v="6"/>
  </r>
  <r>
    <n v="156111982"/>
    <x v="88"/>
    <x v="238"/>
    <x v="0"/>
    <n v="39"/>
    <s v="month"/>
    <n v="23"/>
    <x v="6"/>
    <x v="6"/>
  </r>
  <r>
    <n v="166546201"/>
    <x v="88"/>
    <x v="60"/>
    <x v="0"/>
    <n v="39"/>
    <s v="month"/>
    <n v="11"/>
    <x v="6"/>
    <x v="6"/>
  </r>
  <r>
    <n v="162126074"/>
    <x v="89"/>
    <x v="0"/>
    <x v="0"/>
    <n v="39"/>
    <s v="month"/>
    <s v="Not Cancelled"/>
    <x v="0"/>
    <x v="0"/>
  </r>
  <r>
    <n v="162640429"/>
    <x v="89"/>
    <x v="0"/>
    <x v="0"/>
    <n v="39"/>
    <s v="month"/>
    <s v="Not Cancelled"/>
    <x v="0"/>
    <x v="0"/>
  </r>
  <r>
    <n v="164413682"/>
    <x v="89"/>
    <x v="0"/>
    <x v="0"/>
    <n v="39"/>
    <s v="month"/>
    <s v="Not Cancelled"/>
    <x v="0"/>
    <x v="0"/>
  </r>
  <r>
    <n v="162850052"/>
    <x v="89"/>
    <x v="0"/>
    <x v="0"/>
    <n v="39"/>
    <s v="month"/>
    <s v="Not Cancelled"/>
    <x v="0"/>
    <x v="0"/>
  </r>
  <r>
    <n v="162177746"/>
    <x v="89"/>
    <x v="123"/>
    <x v="0"/>
    <n v="39"/>
    <s v="month"/>
    <n v="28"/>
    <x v="0"/>
    <x v="0"/>
  </r>
  <r>
    <n v="135587508"/>
    <x v="89"/>
    <x v="219"/>
    <x v="0"/>
    <n v="39"/>
    <s v="month"/>
    <n v="70"/>
    <x v="0"/>
    <x v="0"/>
  </r>
  <r>
    <n v="161428649"/>
    <x v="89"/>
    <x v="239"/>
    <x v="0"/>
    <n v="39"/>
    <s v="month"/>
    <n v="128"/>
    <x v="0"/>
    <x v="0"/>
  </r>
  <r>
    <n v="166977144"/>
    <x v="89"/>
    <x v="239"/>
    <x v="0"/>
    <n v="39"/>
    <s v="month"/>
    <n v="128"/>
    <x v="0"/>
    <x v="0"/>
  </r>
  <r>
    <n v="161640666"/>
    <x v="89"/>
    <x v="50"/>
    <x v="0"/>
    <n v="39"/>
    <s v="month"/>
    <n v="90"/>
    <x v="0"/>
    <x v="0"/>
  </r>
  <r>
    <n v="165932696"/>
    <x v="89"/>
    <x v="50"/>
    <x v="0"/>
    <n v="39"/>
    <s v="month"/>
    <n v="90"/>
    <x v="0"/>
    <x v="0"/>
  </r>
  <r>
    <n v="165204032"/>
    <x v="89"/>
    <x v="210"/>
    <x v="0"/>
    <n v="39"/>
    <s v="month"/>
    <n v="75"/>
    <x v="0"/>
    <x v="0"/>
  </r>
  <r>
    <n v="162469903"/>
    <x v="89"/>
    <x v="35"/>
    <x v="0"/>
    <n v="39"/>
    <s v="month"/>
    <n v="69"/>
    <x v="0"/>
    <x v="0"/>
  </r>
  <r>
    <n v="166515564"/>
    <x v="89"/>
    <x v="229"/>
    <x v="0"/>
    <n v="39"/>
    <s v="month"/>
    <n v="49"/>
    <x v="0"/>
    <x v="0"/>
  </r>
  <r>
    <n v="139323228"/>
    <x v="89"/>
    <x v="194"/>
    <x v="0"/>
    <n v="39"/>
    <s v="month"/>
    <n v="54"/>
    <x v="0"/>
    <x v="0"/>
  </r>
  <r>
    <n v="162569750"/>
    <x v="89"/>
    <x v="113"/>
    <x v="0"/>
    <n v="39"/>
    <s v="month"/>
    <n v="3"/>
    <x v="0"/>
    <x v="0"/>
  </r>
  <r>
    <n v="165959602"/>
    <x v="89"/>
    <x v="238"/>
    <x v="0"/>
    <n v="39"/>
    <s v="month"/>
    <n v="22"/>
    <x v="0"/>
    <x v="0"/>
  </r>
  <r>
    <n v="160968524"/>
    <x v="89"/>
    <x v="240"/>
    <x v="0"/>
    <n v="39"/>
    <s v="month"/>
    <n v="231"/>
    <x v="0"/>
    <x v="0"/>
  </r>
  <r>
    <n v="163258260"/>
    <x v="90"/>
    <x v="0"/>
    <x v="0"/>
    <n v="39"/>
    <s v="month"/>
    <s v="Not Cancelled"/>
    <x v="1"/>
    <x v="1"/>
  </r>
  <r>
    <n v="167051046"/>
    <x v="90"/>
    <x v="0"/>
    <x v="0"/>
    <n v="39"/>
    <s v="month"/>
    <s v="Not Cancelled"/>
    <x v="1"/>
    <x v="1"/>
  </r>
  <r>
    <n v="161182367"/>
    <x v="90"/>
    <x v="199"/>
    <x v="0"/>
    <n v="39"/>
    <s v="month"/>
    <n v="1"/>
    <x v="1"/>
    <x v="1"/>
  </r>
  <r>
    <n v="167292985"/>
    <x v="90"/>
    <x v="199"/>
    <x v="1"/>
    <n v="39"/>
    <s v="month"/>
    <n v="1"/>
    <x v="1"/>
    <x v="1"/>
  </r>
  <r>
    <n v="166183014"/>
    <x v="90"/>
    <x v="199"/>
    <x v="1"/>
    <n v="39"/>
    <s v="month"/>
    <n v="1"/>
    <x v="1"/>
    <x v="1"/>
  </r>
  <r>
    <n v="165143920"/>
    <x v="90"/>
    <x v="212"/>
    <x v="0"/>
    <n v="39"/>
    <s v="month"/>
    <n v="182"/>
    <x v="1"/>
    <x v="1"/>
  </r>
  <r>
    <n v="165958089"/>
    <x v="90"/>
    <x v="219"/>
    <x v="0"/>
    <n v="39"/>
    <s v="month"/>
    <n v="69"/>
    <x v="1"/>
    <x v="1"/>
  </r>
  <r>
    <n v="165431576"/>
    <x v="90"/>
    <x v="214"/>
    <x v="0"/>
    <n v="39"/>
    <s v="month"/>
    <n v="61"/>
    <x v="1"/>
    <x v="1"/>
  </r>
  <r>
    <n v="163708513"/>
    <x v="90"/>
    <x v="167"/>
    <x v="0"/>
    <n v="39"/>
    <s v="month"/>
    <n v="28"/>
    <x v="1"/>
    <x v="1"/>
  </r>
  <r>
    <n v="164521419"/>
    <x v="90"/>
    <x v="123"/>
    <x v="0"/>
    <n v="39"/>
    <s v="month"/>
    <n v="27"/>
    <x v="1"/>
    <x v="1"/>
  </r>
  <r>
    <n v="166257164"/>
    <x v="90"/>
    <x v="97"/>
    <x v="0"/>
    <n v="39"/>
    <s v="month"/>
    <n v="19"/>
    <x v="1"/>
    <x v="1"/>
  </r>
  <r>
    <n v="121348156"/>
    <x v="90"/>
    <x v="100"/>
    <x v="0"/>
    <n v="39"/>
    <s v="month"/>
    <n v="4"/>
    <x v="1"/>
    <x v="1"/>
  </r>
  <r>
    <n v="167280894"/>
    <x v="90"/>
    <x v="241"/>
    <x v="0"/>
    <n v="39"/>
    <s v="month"/>
    <n v="216"/>
    <x v="1"/>
    <x v="1"/>
  </r>
  <r>
    <n v="160980795"/>
    <x v="91"/>
    <x v="0"/>
    <x v="0"/>
    <n v="39"/>
    <s v="month"/>
    <s v="Not Cancelled"/>
    <x v="2"/>
    <x v="2"/>
  </r>
  <r>
    <n v="167544686"/>
    <x v="91"/>
    <x v="0"/>
    <x v="0"/>
    <n v="39"/>
    <s v="month"/>
    <s v="Not Cancelled"/>
    <x v="2"/>
    <x v="2"/>
  </r>
  <r>
    <n v="161968719"/>
    <x v="91"/>
    <x v="0"/>
    <x v="0"/>
    <n v="39"/>
    <s v="month"/>
    <s v="Not Cancelled"/>
    <x v="2"/>
    <x v="2"/>
  </r>
  <r>
    <n v="159070152"/>
    <x v="91"/>
    <x v="0"/>
    <x v="0"/>
    <n v="39"/>
    <s v="month"/>
    <s v="Not Cancelled"/>
    <x v="2"/>
    <x v="2"/>
  </r>
  <r>
    <n v="167445788"/>
    <x v="91"/>
    <x v="113"/>
    <x v="1"/>
    <n v="39"/>
    <s v="month"/>
    <n v="1"/>
    <x v="2"/>
    <x v="2"/>
  </r>
  <r>
    <n v="167441263"/>
    <x v="91"/>
    <x v="157"/>
    <x v="0"/>
    <n v="39"/>
    <s v="month"/>
    <n v="189"/>
    <x v="2"/>
    <x v="2"/>
  </r>
  <r>
    <n v="167586100"/>
    <x v="91"/>
    <x v="161"/>
    <x v="0"/>
    <n v="39"/>
    <s v="month"/>
    <n v="89"/>
    <x v="2"/>
    <x v="2"/>
  </r>
  <r>
    <n v="139789436"/>
    <x v="91"/>
    <x v="242"/>
    <x v="0"/>
    <n v="39"/>
    <s v="month"/>
    <n v="57"/>
    <x v="2"/>
    <x v="2"/>
  </r>
  <r>
    <n v="116319450"/>
    <x v="92"/>
    <x v="185"/>
    <x v="0"/>
    <n v="39"/>
    <s v="month"/>
    <n v="136"/>
    <x v="3"/>
    <x v="3"/>
  </r>
  <r>
    <n v="162939264"/>
    <x v="92"/>
    <x v="243"/>
    <x v="0"/>
    <n v="39"/>
    <s v="month"/>
    <n v="151"/>
    <x v="3"/>
    <x v="3"/>
  </r>
  <r>
    <n v="167711417"/>
    <x v="92"/>
    <x v="120"/>
    <x v="0"/>
    <n v="39"/>
    <s v="month"/>
    <n v="111"/>
    <x v="3"/>
    <x v="3"/>
  </r>
  <r>
    <n v="157381517"/>
    <x v="93"/>
    <x v="0"/>
    <x v="0"/>
    <n v="39"/>
    <s v="month"/>
    <s v="Not Cancelled"/>
    <x v="4"/>
    <x v="4"/>
  </r>
  <r>
    <n v="162912102"/>
    <x v="93"/>
    <x v="100"/>
    <x v="0"/>
    <n v="39"/>
    <s v="month"/>
    <n v="1"/>
    <x v="4"/>
    <x v="4"/>
  </r>
  <r>
    <n v="167833210"/>
    <x v="93"/>
    <x v="244"/>
    <x v="0"/>
    <n v="39"/>
    <s v="month"/>
    <n v="210"/>
    <x v="4"/>
    <x v="4"/>
  </r>
  <r>
    <n v="165676999"/>
    <x v="93"/>
    <x v="221"/>
    <x v="0"/>
    <n v="39"/>
    <s v="month"/>
    <n v="62"/>
    <x v="4"/>
    <x v="4"/>
  </r>
  <r>
    <n v="167253106"/>
    <x v="93"/>
    <x v="136"/>
    <x v="0"/>
    <n v="39"/>
    <s v="month"/>
    <n v="63"/>
    <x v="4"/>
    <x v="4"/>
  </r>
  <r>
    <n v="168022972"/>
    <x v="93"/>
    <x v="245"/>
    <x v="0"/>
    <n v="39"/>
    <s v="month"/>
    <n v="39"/>
    <x v="4"/>
    <x v="4"/>
  </r>
  <r>
    <n v="167315920"/>
    <x v="93"/>
    <x v="79"/>
    <x v="0"/>
    <n v="39"/>
    <s v="month"/>
    <n v="31"/>
    <x v="4"/>
    <x v="4"/>
  </r>
  <r>
    <n v="167928962"/>
    <x v="93"/>
    <x v="123"/>
    <x v="0"/>
    <n v="39"/>
    <s v="month"/>
    <n v="24"/>
    <x v="4"/>
    <x v="4"/>
  </r>
  <r>
    <n v="166211741"/>
    <x v="94"/>
    <x v="246"/>
    <x v="0"/>
    <n v="39"/>
    <s v="month"/>
    <n v="126"/>
    <x v="5"/>
    <x v="5"/>
  </r>
  <r>
    <n v="161450418"/>
    <x v="94"/>
    <x v="243"/>
    <x v="0"/>
    <n v="39"/>
    <s v="month"/>
    <n v="149"/>
    <x v="5"/>
    <x v="5"/>
  </r>
  <r>
    <n v="144961802"/>
    <x v="94"/>
    <x v="161"/>
    <x v="0"/>
    <n v="39"/>
    <s v="month"/>
    <n v="86"/>
    <x v="5"/>
    <x v="5"/>
  </r>
  <r>
    <n v="168137404"/>
    <x v="94"/>
    <x v="214"/>
    <x v="0"/>
    <n v="39"/>
    <s v="month"/>
    <n v="57"/>
    <x v="5"/>
    <x v="5"/>
  </r>
  <r>
    <n v="153441732"/>
    <x v="94"/>
    <x v="206"/>
    <x v="0"/>
    <n v="39"/>
    <s v="month"/>
    <n v="69"/>
    <x v="5"/>
    <x v="5"/>
  </r>
  <r>
    <n v="167649041"/>
    <x v="94"/>
    <x v="192"/>
    <x v="0"/>
    <n v="39"/>
    <s v="month"/>
    <n v="56"/>
    <x v="5"/>
    <x v="5"/>
  </r>
  <r>
    <n v="168089746"/>
    <x v="94"/>
    <x v="245"/>
    <x v="0"/>
    <n v="39"/>
    <s v="month"/>
    <n v="38"/>
    <x v="5"/>
    <x v="5"/>
  </r>
  <r>
    <n v="158177274"/>
    <x v="94"/>
    <x v="134"/>
    <x v="0"/>
    <n v="39"/>
    <s v="month"/>
    <n v="51"/>
    <x v="5"/>
    <x v="5"/>
  </r>
  <r>
    <n v="168061628"/>
    <x v="94"/>
    <x v="245"/>
    <x v="0"/>
    <n v="39"/>
    <s v="month"/>
    <n v="38"/>
    <x v="5"/>
    <x v="5"/>
  </r>
  <r>
    <n v="168436401"/>
    <x v="95"/>
    <x v="0"/>
    <x v="0"/>
    <n v="39"/>
    <s v="month"/>
    <s v="Not Cancelled"/>
    <x v="6"/>
    <x v="6"/>
  </r>
  <r>
    <n v="126770376"/>
    <x v="95"/>
    <x v="183"/>
    <x v="0"/>
    <n v="39"/>
    <s v="month"/>
    <n v="26"/>
    <x v="6"/>
    <x v="6"/>
  </r>
  <r>
    <n v="153468957"/>
    <x v="95"/>
    <x v="210"/>
    <x v="0"/>
    <n v="39"/>
    <s v="month"/>
    <n v="69"/>
    <x v="6"/>
    <x v="6"/>
  </r>
  <r>
    <n v="168336474"/>
    <x v="95"/>
    <x v="188"/>
    <x v="0"/>
    <n v="39"/>
    <s v="month"/>
    <n v="82"/>
    <x v="6"/>
    <x v="6"/>
  </r>
  <r>
    <n v="166929423"/>
    <x v="95"/>
    <x v="118"/>
    <x v="0"/>
    <n v="39"/>
    <s v="month"/>
    <n v="21"/>
    <x v="6"/>
    <x v="6"/>
  </r>
  <r>
    <n v="163990458"/>
    <x v="95"/>
    <x v="80"/>
    <x v="0"/>
    <n v="39"/>
    <s v="month"/>
    <n v="15"/>
    <x v="6"/>
    <x v="6"/>
  </r>
  <r>
    <n v="166411463"/>
    <x v="96"/>
    <x v="0"/>
    <x v="0"/>
    <n v="39"/>
    <s v="month"/>
    <s v="Not Cancelled"/>
    <x v="0"/>
    <x v="0"/>
  </r>
  <r>
    <n v="168433088"/>
    <x v="96"/>
    <x v="0"/>
    <x v="0"/>
    <n v="39"/>
    <s v="month"/>
    <s v="Not Cancelled"/>
    <x v="0"/>
    <x v="0"/>
  </r>
  <r>
    <n v="155426075"/>
    <x v="96"/>
    <x v="0"/>
    <x v="0"/>
    <n v="39"/>
    <s v="month"/>
    <s v="Not Cancelled"/>
    <x v="0"/>
    <x v="0"/>
  </r>
  <r>
    <n v="168555694"/>
    <x v="96"/>
    <x v="11"/>
    <x v="1"/>
    <n v="39"/>
    <s v="month"/>
    <n v="1"/>
    <x v="0"/>
    <x v="0"/>
  </r>
  <r>
    <n v="162912102"/>
    <x v="96"/>
    <x v="237"/>
    <x v="0"/>
    <n v="39"/>
    <s v="month"/>
    <n v="158"/>
    <x v="0"/>
    <x v="0"/>
  </r>
  <r>
    <n v="168471192"/>
    <x v="96"/>
    <x v="247"/>
    <x v="0"/>
    <n v="39"/>
    <s v="month"/>
    <n v="57"/>
    <x v="0"/>
    <x v="0"/>
  </r>
  <r>
    <n v="168825734"/>
    <x v="96"/>
    <x v="25"/>
    <x v="0"/>
    <n v="39"/>
    <s v="month"/>
    <n v="38"/>
    <x v="0"/>
    <x v="0"/>
  </r>
  <r>
    <n v="163852568"/>
    <x v="96"/>
    <x v="36"/>
    <x v="0"/>
    <n v="39"/>
    <s v="month"/>
    <n v="4"/>
    <x v="0"/>
    <x v="0"/>
  </r>
  <r>
    <n v="168460834"/>
    <x v="96"/>
    <x v="163"/>
    <x v="0"/>
    <n v="39"/>
    <s v="month"/>
    <n v="19"/>
    <x v="0"/>
    <x v="0"/>
  </r>
  <r>
    <n v="169085351"/>
    <x v="97"/>
    <x v="209"/>
    <x v="0"/>
    <n v="39"/>
    <s v="month"/>
    <n v="208"/>
    <x v="1"/>
    <x v="1"/>
  </r>
  <r>
    <n v="168456070"/>
    <x v="97"/>
    <x v="248"/>
    <x v="0"/>
    <n v="39"/>
    <s v="month"/>
    <n v="134"/>
    <x v="1"/>
    <x v="1"/>
  </r>
  <r>
    <n v="168900021"/>
    <x v="97"/>
    <x v="136"/>
    <x v="0"/>
    <n v="39"/>
    <s v="month"/>
    <n v="59"/>
    <x v="1"/>
    <x v="1"/>
  </r>
  <r>
    <n v="169113748"/>
    <x v="97"/>
    <x v="245"/>
    <x v="0"/>
    <n v="39"/>
    <s v="month"/>
    <n v="35"/>
    <x v="1"/>
    <x v="1"/>
  </r>
  <r>
    <n v="162193491"/>
    <x v="97"/>
    <x v="139"/>
    <x v="0"/>
    <n v="39"/>
    <s v="month"/>
    <n v="42"/>
    <x v="1"/>
    <x v="1"/>
  </r>
  <r>
    <n v="167761722"/>
    <x v="97"/>
    <x v="249"/>
    <x v="0"/>
    <n v="39"/>
    <s v="month"/>
    <n v="219"/>
    <x v="1"/>
    <x v="1"/>
  </r>
  <r>
    <n v="169244937"/>
    <x v="98"/>
    <x v="250"/>
    <x v="0"/>
    <n v="39"/>
    <s v="month"/>
    <n v="84"/>
    <x v="2"/>
    <x v="2"/>
  </r>
  <r>
    <n v="167923504"/>
    <x v="98"/>
    <x v="35"/>
    <x v="0"/>
    <n v="39"/>
    <s v="month"/>
    <n v="60"/>
    <x v="2"/>
    <x v="2"/>
  </r>
  <r>
    <n v="167459469"/>
    <x v="98"/>
    <x v="83"/>
    <x v="0"/>
    <n v="39"/>
    <s v="month"/>
    <n v="35"/>
    <x v="2"/>
    <x v="2"/>
  </r>
  <r>
    <n v="123169152"/>
    <x v="98"/>
    <x v="34"/>
    <x v="0"/>
    <n v="39"/>
    <s v="month"/>
    <n v="24"/>
    <x v="2"/>
    <x v="2"/>
  </r>
  <r>
    <n v="153157541"/>
    <x v="99"/>
    <x v="0"/>
    <x v="0"/>
    <n v="39"/>
    <s v="month"/>
    <s v="Not Cancelled"/>
    <x v="3"/>
    <x v="3"/>
  </r>
  <r>
    <n v="169133180"/>
    <x v="99"/>
    <x v="0"/>
    <x v="0"/>
    <n v="39"/>
    <s v="month"/>
    <s v="Not Cancelled"/>
    <x v="3"/>
    <x v="3"/>
  </r>
  <r>
    <n v="129447970"/>
    <x v="99"/>
    <x v="36"/>
    <x v="0"/>
    <n v="39"/>
    <s v="month"/>
    <n v="1"/>
    <x v="3"/>
    <x v="3"/>
  </r>
  <r>
    <n v="169388365"/>
    <x v="99"/>
    <x v="180"/>
    <x v="0"/>
    <n v="39"/>
    <s v="month"/>
    <n v="189"/>
    <x v="3"/>
    <x v="3"/>
  </r>
  <r>
    <n v="130872019"/>
    <x v="99"/>
    <x v="246"/>
    <x v="0"/>
    <n v="39"/>
    <s v="month"/>
    <n v="121"/>
    <x v="3"/>
    <x v="3"/>
  </r>
  <r>
    <n v="167674086"/>
    <x v="99"/>
    <x v="251"/>
    <x v="0"/>
    <n v="39"/>
    <s v="month"/>
    <n v="141"/>
    <x v="3"/>
    <x v="3"/>
  </r>
  <r>
    <n v="169590994"/>
    <x v="99"/>
    <x v="179"/>
    <x v="0"/>
    <n v="39"/>
    <s v="month"/>
    <n v="77"/>
    <x v="3"/>
    <x v="3"/>
  </r>
  <r>
    <n v="166199181"/>
    <x v="99"/>
    <x v="117"/>
    <x v="0"/>
    <n v="39"/>
    <s v="month"/>
    <n v="38"/>
    <x v="3"/>
    <x v="3"/>
  </r>
  <r>
    <n v="169895510"/>
    <x v="100"/>
    <x v="0"/>
    <x v="0"/>
    <n v="39"/>
    <s v="month"/>
    <s v="Not Cancelled"/>
    <x v="4"/>
    <x v="4"/>
  </r>
  <r>
    <n v="169837410"/>
    <x v="100"/>
    <x v="0"/>
    <x v="0"/>
    <n v="39"/>
    <s v="month"/>
    <s v="Not Cancelled"/>
    <x v="4"/>
    <x v="4"/>
  </r>
  <r>
    <n v="169854397"/>
    <x v="100"/>
    <x v="0"/>
    <x v="1"/>
    <n v="39"/>
    <s v="month"/>
    <s v="Not Cancelled"/>
    <x v="4"/>
    <x v="4"/>
  </r>
  <r>
    <n v="145987169"/>
    <x v="100"/>
    <x v="175"/>
    <x v="0"/>
    <n v="39"/>
    <s v="month"/>
    <n v="46"/>
    <x v="4"/>
    <x v="4"/>
  </r>
  <r>
    <n v="169915574"/>
    <x v="100"/>
    <x v="32"/>
    <x v="0"/>
    <n v="39"/>
    <s v="month"/>
    <n v="91"/>
    <x v="4"/>
    <x v="4"/>
  </r>
  <r>
    <n v="164632485"/>
    <x v="100"/>
    <x v="191"/>
    <x v="0"/>
    <n v="39"/>
    <s v="month"/>
    <n v="85"/>
    <x v="4"/>
    <x v="4"/>
  </r>
  <r>
    <n v="169830063"/>
    <x v="100"/>
    <x v="143"/>
    <x v="0"/>
    <n v="39"/>
    <s v="month"/>
    <n v="49"/>
    <x v="4"/>
    <x v="4"/>
  </r>
  <r>
    <n v="162624984"/>
    <x v="100"/>
    <x v="115"/>
    <x v="0"/>
    <n v="39"/>
    <s v="month"/>
    <n v="42"/>
    <x v="4"/>
    <x v="4"/>
  </r>
  <r>
    <n v="169020452"/>
    <x v="100"/>
    <x v="252"/>
    <x v="0"/>
    <n v="39"/>
    <s v="month"/>
    <n v="240"/>
    <x v="4"/>
    <x v="4"/>
  </r>
  <r>
    <n v="170037760"/>
    <x v="101"/>
    <x v="0"/>
    <x v="0"/>
    <n v="39"/>
    <s v="month"/>
    <s v="Not Cancelled"/>
    <x v="5"/>
    <x v="5"/>
  </r>
  <r>
    <n v="116060198"/>
    <x v="101"/>
    <x v="253"/>
    <x v="0"/>
    <n v="39"/>
    <s v="month"/>
    <n v="97"/>
    <x v="5"/>
    <x v="5"/>
  </r>
  <r>
    <n v="129798657"/>
    <x v="101"/>
    <x v="32"/>
    <x v="0"/>
    <n v="39"/>
    <s v="month"/>
    <n v="90"/>
    <x v="5"/>
    <x v="5"/>
  </r>
  <r>
    <n v="170426615"/>
    <x v="101"/>
    <x v="206"/>
    <x v="0"/>
    <n v="39"/>
    <s v="month"/>
    <n v="62"/>
    <x v="5"/>
    <x v="5"/>
  </r>
  <r>
    <n v="161574018"/>
    <x v="101"/>
    <x v="56"/>
    <x v="0"/>
    <n v="39"/>
    <s v="month"/>
    <n v="70"/>
    <x v="5"/>
    <x v="5"/>
  </r>
  <r>
    <n v="160272364"/>
    <x v="102"/>
    <x v="0"/>
    <x v="0"/>
    <n v="39"/>
    <s v="month"/>
    <s v="Not Cancelled"/>
    <x v="6"/>
    <x v="6"/>
  </r>
  <r>
    <n v="144938943"/>
    <x v="102"/>
    <x v="0"/>
    <x v="1"/>
    <n v="39"/>
    <s v="month"/>
    <s v="Not Cancelled"/>
    <x v="6"/>
    <x v="6"/>
  </r>
  <r>
    <n v="170004555"/>
    <x v="102"/>
    <x v="254"/>
    <x v="0"/>
    <n v="39"/>
    <s v="month"/>
    <n v="59"/>
    <x v="6"/>
    <x v="6"/>
  </r>
  <r>
    <n v="167673987"/>
    <x v="102"/>
    <x v="56"/>
    <x v="0"/>
    <n v="39"/>
    <s v="month"/>
    <n v="69"/>
    <x v="6"/>
    <x v="6"/>
  </r>
  <r>
    <n v="154448870"/>
    <x v="102"/>
    <x v="183"/>
    <x v="0"/>
    <n v="39"/>
    <s v="month"/>
    <n v="19"/>
    <x v="6"/>
    <x v="6"/>
  </r>
  <r>
    <n v="153508650"/>
    <x v="102"/>
    <x v="192"/>
    <x v="0"/>
    <n v="39"/>
    <s v="month"/>
    <n v="48"/>
    <x v="6"/>
    <x v="6"/>
  </r>
  <r>
    <n v="156521981"/>
    <x v="102"/>
    <x v="83"/>
    <x v="0"/>
    <n v="39"/>
    <s v="month"/>
    <n v="31"/>
    <x v="6"/>
    <x v="6"/>
  </r>
  <r>
    <n v="170897520"/>
    <x v="102"/>
    <x v="255"/>
    <x v="0"/>
    <n v="39"/>
    <s v="month"/>
    <n v="202"/>
    <x v="6"/>
    <x v="6"/>
  </r>
  <r>
    <n v="167076396"/>
    <x v="102"/>
    <x v="236"/>
    <x v="0"/>
    <n v="39"/>
    <s v="month"/>
    <n v="233"/>
    <x v="6"/>
    <x v="6"/>
  </r>
  <r>
    <n v="170968987"/>
    <x v="103"/>
    <x v="0"/>
    <x v="0"/>
    <n v="39"/>
    <s v="month"/>
    <s v="Not Cancelled"/>
    <x v="0"/>
    <x v="0"/>
  </r>
  <r>
    <n v="170154956"/>
    <x v="103"/>
    <x v="256"/>
    <x v="0"/>
    <n v="39"/>
    <s v="month"/>
    <n v="124"/>
    <x v="0"/>
    <x v="0"/>
  </r>
  <r>
    <n v="170976924"/>
    <x v="103"/>
    <x v="159"/>
    <x v="0"/>
    <n v="39"/>
    <s v="month"/>
    <n v="166"/>
    <x v="0"/>
    <x v="0"/>
  </r>
  <r>
    <n v="171090027"/>
    <x v="103"/>
    <x v="218"/>
    <x v="0"/>
    <n v="39"/>
    <s v="month"/>
    <n v="89"/>
    <x v="0"/>
    <x v="0"/>
  </r>
  <r>
    <n v="167135160"/>
    <x v="103"/>
    <x v="117"/>
    <x v="0"/>
    <n v="39"/>
    <s v="month"/>
    <n v="34"/>
    <x v="0"/>
    <x v="0"/>
  </r>
  <r>
    <n v="171339244"/>
    <x v="103"/>
    <x v="164"/>
    <x v="0"/>
    <n v="39"/>
    <s v="month"/>
    <n v="0"/>
    <x v="0"/>
    <x v="0"/>
  </r>
  <r>
    <n v="169285280"/>
    <x v="104"/>
    <x v="92"/>
    <x v="1"/>
    <n v="39"/>
    <s v="month"/>
    <n v="1"/>
    <x v="1"/>
    <x v="1"/>
  </r>
  <r>
    <n v="137315832"/>
    <x v="104"/>
    <x v="78"/>
    <x v="0"/>
    <n v="39"/>
    <s v="month"/>
    <n v="97"/>
    <x v="1"/>
    <x v="1"/>
  </r>
  <r>
    <n v="171286538"/>
    <x v="104"/>
    <x v="257"/>
    <x v="0"/>
    <n v="39"/>
    <s v="month"/>
    <n v="118"/>
    <x v="1"/>
    <x v="1"/>
  </r>
  <r>
    <n v="154531106"/>
    <x v="104"/>
    <x v="122"/>
    <x v="0"/>
    <n v="39"/>
    <s v="month"/>
    <n v="119"/>
    <x v="1"/>
    <x v="1"/>
  </r>
  <r>
    <n v="169998988"/>
    <x v="104"/>
    <x v="258"/>
    <x v="0"/>
    <n v="39"/>
    <s v="month"/>
    <n v="152"/>
    <x v="1"/>
    <x v="1"/>
  </r>
  <r>
    <n v="171860036"/>
    <x v="104"/>
    <x v="259"/>
    <x v="0"/>
    <n v="39"/>
    <s v="month"/>
    <n v="92"/>
    <x v="1"/>
    <x v="1"/>
  </r>
  <r>
    <n v="169906376"/>
    <x v="104"/>
    <x v="206"/>
    <x v="0"/>
    <n v="39"/>
    <s v="month"/>
    <n v="59"/>
    <x v="1"/>
    <x v="1"/>
  </r>
  <r>
    <n v="171681744"/>
    <x v="104"/>
    <x v="46"/>
    <x v="0"/>
    <n v="39"/>
    <s v="month"/>
    <n v="68"/>
    <x v="1"/>
    <x v="1"/>
  </r>
  <r>
    <n v="171375108"/>
    <x v="104"/>
    <x v="104"/>
    <x v="0"/>
    <n v="39"/>
    <s v="month"/>
    <n v="31"/>
    <x v="1"/>
    <x v="1"/>
  </r>
  <r>
    <n v="166358674"/>
    <x v="104"/>
    <x v="115"/>
    <x v="0"/>
    <n v="39"/>
    <s v="month"/>
    <n v="38"/>
    <x v="1"/>
    <x v="1"/>
  </r>
  <r>
    <n v="168696864"/>
    <x v="105"/>
    <x v="154"/>
    <x v="0"/>
    <n v="39"/>
    <s v="month"/>
    <n v="1"/>
    <x v="2"/>
    <x v="2"/>
  </r>
  <r>
    <n v="149303812"/>
    <x v="105"/>
    <x v="230"/>
    <x v="0"/>
    <n v="39"/>
    <s v="month"/>
    <n v="65"/>
    <x v="2"/>
    <x v="2"/>
  </r>
  <r>
    <n v="145969392"/>
    <x v="105"/>
    <x v="214"/>
    <x v="0"/>
    <n v="39"/>
    <s v="month"/>
    <n v="46"/>
    <x v="2"/>
    <x v="2"/>
  </r>
  <r>
    <n v="169399624"/>
    <x v="105"/>
    <x v="91"/>
    <x v="0"/>
    <n v="39"/>
    <s v="month"/>
    <n v="55"/>
    <x v="2"/>
    <x v="2"/>
  </r>
  <r>
    <n v="162423643"/>
    <x v="105"/>
    <x v="92"/>
    <x v="0"/>
    <n v="39"/>
    <s v="month"/>
    <n v="0"/>
    <x v="2"/>
    <x v="2"/>
  </r>
  <r>
    <n v="171131528"/>
    <x v="106"/>
    <x v="0"/>
    <x v="0"/>
    <n v="39"/>
    <s v="month"/>
    <s v="Not Cancelled"/>
    <x v="3"/>
    <x v="3"/>
  </r>
  <r>
    <n v="172370430"/>
    <x v="106"/>
    <x v="260"/>
    <x v="1"/>
    <n v="39"/>
    <s v="month"/>
    <n v="1"/>
    <x v="3"/>
    <x v="3"/>
  </r>
  <r>
    <n v="122646091"/>
    <x v="106"/>
    <x v="233"/>
    <x v="0"/>
    <n v="39"/>
    <s v="month"/>
    <n v="93"/>
    <x v="3"/>
    <x v="3"/>
  </r>
  <r>
    <n v="171688728"/>
    <x v="106"/>
    <x v="245"/>
    <x v="0"/>
    <n v="39"/>
    <s v="month"/>
    <n v="26"/>
    <x v="3"/>
    <x v="3"/>
  </r>
  <r>
    <n v="173037778"/>
    <x v="106"/>
    <x v="175"/>
    <x v="0"/>
    <n v="39"/>
    <s v="month"/>
    <n v="40"/>
    <x v="3"/>
    <x v="3"/>
  </r>
  <r>
    <n v="139247241"/>
    <x v="106"/>
    <x v="261"/>
    <x v="0"/>
    <n v="39"/>
    <s v="month"/>
    <n v="20"/>
    <x v="3"/>
    <x v="3"/>
  </r>
  <r>
    <n v="138235674"/>
    <x v="107"/>
    <x v="0"/>
    <x v="0"/>
    <n v="39"/>
    <s v="month"/>
    <s v="Not Cancelled"/>
    <x v="4"/>
    <x v="4"/>
  </r>
  <r>
    <n v="173832314"/>
    <x v="107"/>
    <x v="179"/>
    <x v="0"/>
    <n v="39"/>
    <s v="month"/>
    <n v="69"/>
    <x v="4"/>
    <x v="4"/>
  </r>
  <r>
    <n v="170752898"/>
    <x v="107"/>
    <x v="184"/>
    <x v="0"/>
    <n v="39"/>
    <s v="month"/>
    <n v="66"/>
    <x v="4"/>
    <x v="4"/>
  </r>
  <r>
    <n v="172517999"/>
    <x v="107"/>
    <x v="134"/>
    <x v="0"/>
    <n v="39"/>
    <s v="month"/>
    <n v="38"/>
    <x v="4"/>
    <x v="4"/>
  </r>
  <r>
    <n v="150779000"/>
    <x v="107"/>
    <x v="183"/>
    <x v="0"/>
    <n v="39"/>
    <s v="month"/>
    <n v="14"/>
    <x v="4"/>
    <x v="4"/>
  </r>
  <r>
    <n v="171304646"/>
    <x v="107"/>
    <x v="262"/>
    <x v="0"/>
    <n v="39"/>
    <s v="month"/>
    <n v="250"/>
    <x v="4"/>
    <x v="4"/>
  </r>
  <r>
    <n v="168696864"/>
    <x v="108"/>
    <x v="0"/>
    <x v="0"/>
    <n v="39"/>
    <s v="month"/>
    <s v="Not Cancelled"/>
    <x v="5"/>
    <x v="5"/>
  </r>
  <r>
    <n v="174268714"/>
    <x v="108"/>
    <x v="0"/>
    <x v="0"/>
    <n v="39"/>
    <s v="month"/>
    <s v="Not Cancelled"/>
    <x v="5"/>
    <x v="5"/>
  </r>
  <r>
    <n v="147022677"/>
    <x v="108"/>
    <x v="0"/>
    <x v="0"/>
    <n v="39"/>
    <s v="month"/>
    <s v="Not Cancelled"/>
    <x v="5"/>
    <x v="5"/>
  </r>
  <r>
    <n v="156864062"/>
    <x v="108"/>
    <x v="97"/>
    <x v="1"/>
    <n v="39"/>
    <s v="month"/>
    <n v="1"/>
    <x v="5"/>
    <x v="5"/>
  </r>
  <r>
    <n v="123065349"/>
    <x v="108"/>
    <x v="95"/>
    <x v="0"/>
    <n v="39"/>
    <s v="month"/>
    <n v="97"/>
    <x v="5"/>
    <x v="5"/>
  </r>
  <r>
    <n v="174258180"/>
    <x v="108"/>
    <x v="263"/>
    <x v="0"/>
    <n v="39"/>
    <s v="month"/>
    <n v="130"/>
    <x v="5"/>
    <x v="5"/>
  </r>
  <r>
    <n v="174269667"/>
    <x v="108"/>
    <x v="197"/>
    <x v="0"/>
    <n v="39"/>
    <s v="month"/>
    <n v="73"/>
    <x v="5"/>
    <x v="5"/>
  </r>
  <r>
    <n v="171889946"/>
    <x v="108"/>
    <x v="91"/>
    <x v="0"/>
    <n v="39"/>
    <s v="month"/>
    <n v="52"/>
    <x v="5"/>
    <x v="5"/>
  </r>
  <r>
    <n v="171613468"/>
    <x v="108"/>
    <x v="46"/>
    <x v="0"/>
    <n v="39"/>
    <s v="month"/>
    <n v="64"/>
    <x v="5"/>
    <x v="5"/>
  </r>
  <r>
    <n v="122922737"/>
    <x v="109"/>
    <x v="0"/>
    <x v="0"/>
    <n v="39"/>
    <s v="month"/>
    <s v="Not Cancelled"/>
    <x v="6"/>
    <x v="6"/>
  </r>
  <r>
    <n v="174646924"/>
    <x v="109"/>
    <x v="125"/>
    <x v="0"/>
    <n v="39"/>
    <s v="month"/>
    <n v="97"/>
    <x v="6"/>
    <x v="6"/>
  </r>
  <r>
    <n v="174264280"/>
    <x v="109"/>
    <x v="125"/>
    <x v="0"/>
    <n v="39"/>
    <s v="month"/>
    <n v="97"/>
    <x v="6"/>
    <x v="6"/>
  </r>
  <r>
    <n v="174609120"/>
    <x v="109"/>
    <x v="259"/>
    <x v="0"/>
    <n v="39"/>
    <s v="month"/>
    <n v="87"/>
    <x v="6"/>
    <x v="6"/>
  </r>
  <r>
    <n v="174158995"/>
    <x v="109"/>
    <x v="264"/>
    <x v="0"/>
    <n v="39"/>
    <s v="month"/>
    <n v="66"/>
    <x v="6"/>
    <x v="6"/>
  </r>
  <r>
    <n v="174484311"/>
    <x v="109"/>
    <x v="264"/>
    <x v="0"/>
    <n v="39"/>
    <s v="month"/>
    <n v="66"/>
    <x v="6"/>
    <x v="6"/>
  </r>
  <r>
    <n v="169556175"/>
    <x v="109"/>
    <x v="172"/>
    <x v="0"/>
    <n v="39"/>
    <s v="month"/>
    <n v="32"/>
    <x v="6"/>
    <x v="6"/>
  </r>
  <r>
    <n v="153122282"/>
    <x v="109"/>
    <x v="97"/>
    <x v="0"/>
    <n v="39"/>
    <s v="month"/>
    <n v="0"/>
    <x v="6"/>
    <x v="6"/>
  </r>
  <r>
    <n v="174576654"/>
    <x v="109"/>
    <x v="160"/>
    <x v="0"/>
    <n v="39"/>
    <s v="month"/>
    <n v="198"/>
    <x v="6"/>
    <x v="6"/>
  </r>
  <r>
    <n v="154711077"/>
    <x v="110"/>
    <x v="0"/>
    <x v="0"/>
    <n v="39"/>
    <s v="month"/>
    <s v="Not Cancelled"/>
    <x v="0"/>
    <x v="0"/>
  </r>
  <r>
    <n v="163619032"/>
    <x v="110"/>
    <x v="0"/>
    <x v="0"/>
    <n v="39"/>
    <s v="month"/>
    <s v="Not Cancelled"/>
    <x v="0"/>
    <x v="0"/>
  </r>
  <r>
    <n v="171001864"/>
    <x v="110"/>
    <x v="0"/>
    <x v="0"/>
    <n v="39"/>
    <s v="month"/>
    <s v="Not Cancelled"/>
    <x v="0"/>
    <x v="0"/>
  </r>
  <r>
    <n v="151890014"/>
    <x v="110"/>
    <x v="0"/>
    <x v="0"/>
    <n v="39"/>
    <s v="month"/>
    <s v="Not Cancelled"/>
    <x v="0"/>
    <x v="0"/>
  </r>
  <r>
    <n v="158575772"/>
    <x v="110"/>
    <x v="238"/>
    <x v="0"/>
    <n v="39"/>
    <s v="month"/>
    <n v="1"/>
    <x v="0"/>
    <x v="0"/>
  </r>
  <r>
    <n v="164462665"/>
    <x v="110"/>
    <x v="238"/>
    <x v="1"/>
    <n v="39"/>
    <s v="month"/>
    <n v="1"/>
    <x v="0"/>
    <x v="0"/>
  </r>
  <r>
    <n v="121830768"/>
    <x v="110"/>
    <x v="194"/>
    <x v="0"/>
    <n v="39"/>
    <s v="month"/>
    <n v="33"/>
    <x v="0"/>
    <x v="0"/>
  </r>
  <r>
    <n v="174605216"/>
    <x v="110"/>
    <x v="82"/>
    <x v="0"/>
    <n v="39"/>
    <s v="month"/>
    <n v="141"/>
    <x v="0"/>
    <x v="0"/>
  </r>
  <r>
    <n v="174655316"/>
    <x v="110"/>
    <x v="142"/>
    <x v="0"/>
    <n v="39"/>
    <s v="month"/>
    <n v="83"/>
    <x v="0"/>
    <x v="0"/>
  </r>
  <r>
    <n v="174622570"/>
    <x v="110"/>
    <x v="133"/>
    <x v="0"/>
    <n v="39"/>
    <s v="month"/>
    <n v="10"/>
    <x v="0"/>
    <x v="0"/>
  </r>
  <r>
    <n v="174720005"/>
    <x v="110"/>
    <x v="238"/>
    <x v="0"/>
    <n v="39"/>
    <s v="month"/>
    <n v="1"/>
    <x v="0"/>
    <x v="0"/>
  </r>
  <r>
    <n v="174696512"/>
    <x v="111"/>
    <x v="0"/>
    <x v="0"/>
    <n v="39"/>
    <s v="month"/>
    <s v="Not Cancelled"/>
    <x v="1"/>
    <x v="1"/>
  </r>
  <r>
    <n v="175314293"/>
    <x v="111"/>
    <x v="0"/>
    <x v="0"/>
    <n v="39"/>
    <s v="month"/>
    <s v="Not Cancelled"/>
    <x v="1"/>
    <x v="1"/>
  </r>
  <r>
    <n v="175451863"/>
    <x v="111"/>
    <x v="253"/>
    <x v="0"/>
    <n v="39"/>
    <s v="month"/>
    <n v="87"/>
    <x v="1"/>
    <x v="1"/>
  </r>
  <r>
    <n v="174752844"/>
    <x v="111"/>
    <x v="143"/>
    <x v="0"/>
    <n v="39"/>
    <s v="month"/>
    <n v="38"/>
    <x v="1"/>
    <x v="1"/>
  </r>
  <r>
    <n v="175431141"/>
    <x v="112"/>
    <x v="0"/>
    <x v="0"/>
    <n v="39"/>
    <s v="month"/>
    <s v="Not Cancelled"/>
    <x v="2"/>
    <x v="2"/>
  </r>
  <r>
    <n v="132228678"/>
    <x v="112"/>
    <x v="61"/>
    <x v="0"/>
    <n v="39"/>
    <s v="month"/>
    <n v="0"/>
    <x v="2"/>
    <x v="2"/>
  </r>
  <r>
    <n v="161151062"/>
    <x v="112"/>
    <x v="185"/>
    <x v="0"/>
    <n v="39"/>
    <s v="month"/>
    <n v="116"/>
    <x v="2"/>
    <x v="2"/>
  </r>
  <r>
    <n v="167653319"/>
    <x v="112"/>
    <x v="32"/>
    <x v="0"/>
    <n v="39"/>
    <s v="month"/>
    <n v="79"/>
    <x v="2"/>
    <x v="2"/>
  </r>
  <r>
    <n v="171659515"/>
    <x v="112"/>
    <x v="115"/>
    <x v="0"/>
    <n v="39"/>
    <s v="month"/>
    <n v="30"/>
    <x v="2"/>
    <x v="2"/>
  </r>
  <r>
    <n v="175720159"/>
    <x v="112"/>
    <x v="226"/>
    <x v="0"/>
    <n v="39"/>
    <s v="month"/>
    <n v="16"/>
    <x v="2"/>
    <x v="2"/>
  </r>
  <r>
    <n v="170593141"/>
    <x v="112"/>
    <x v="193"/>
    <x v="0"/>
    <n v="39"/>
    <s v="month"/>
    <n v="15"/>
    <x v="2"/>
    <x v="2"/>
  </r>
  <r>
    <n v="173981170"/>
    <x v="112"/>
    <x v="169"/>
    <x v="0"/>
    <n v="39"/>
    <s v="month"/>
    <n v="1"/>
    <x v="2"/>
    <x v="2"/>
  </r>
  <r>
    <n v="175166391"/>
    <x v="113"/>
    <x v="0"/>
    <x v="0"/>
    <n v="39"/>
    <s v="month"/>
    <s v="Not Cancelled"/>
    <x v="3"/>
    <x v="3"/>
  </r>
  <r>
    <n v="161175048"/>
    <x v="113"/>
    <x v="46"/>
    <x v="0"/>
    <n v="39"/>
    <s v="month"/>
    <n v="59"/>
    <x v="3"/>
    <x v="3"/>
  </r>
  <r>
    <n v="164254865"/>
    <x v="113"/>
    <x v="194"/>
    <x v="0"/>
    <n v="39"/>
    <s v="month"/>
    <n v="30"/>
    <x v="3"/>
    <x v="3"/>
  </r>
  <r>
    <n v="143248615"/>
    <x v="114"/>
    <x v="0"/>
    <x v="0"/>
    <n v="39"/>
    <s v="month"/>
    <s v="Not Cancelled"/>
    <x v="4"/>
    <x v="4"/>
  </r>
  <r>
    <n v="176032070"/>
    <x v="114"/>
    <x v="83"/>
    <x v="0"/>
    <n v="39"/>
    <s v="month"/>
    <n v="19"/>
    <x v="4"/>
    <x v="4"/>
  </r>
  <r>
    <n v="174132333"/>
    <x v="115"/>
    <x v="0"/>
    <x v="0"/>
    <n v="39"/>
    <s v="month"/>
    <s v="Not Cancelled"/>
    <x v="5"/>
    <x v="5"/>
  </r>
  <r>
    <n v="177051147"/>
    <x v="115"/>
    <x v="118"/>
    <x v="0"/>
    <n v="39"/>
    <s v="month"/>
    <n v="1"/>
    <x v="5"/>
    <x v="5"/>
  </r>
  <r>
    <n v="176571319"/>
    <x v="115"/>
    <x v="16"/>
    <x v="0"/>
    <n v="39"/>
    <s v="month"/>
    <n v="95"/>
    <x v="5"/>
    <x v="5"/>
  </r>
  <r>
    <n v="166932902"/>
    <x v="115"/>
    <x v="70"/>
    <x v="0"/>
    <n v="39"/>
    <s v="month"/>
    <n v="69"/>
    <x v="5"/>
    <x v="5"/>
  </r>
  <r>
    <n v="175851244"/>
    <x v="115"/>
    <x v="247"/>
    <x v="0"/>
    <n v="39"/>
    <s v="month"/>
    <n v="38"/>
    <x v="5"/>
    <x v="5"/>
  </r>
  <r>
    <n v="155613371"/>
    <x v="115"/>
    <x v="247"/>
    <x v="0"/>
    <n v="39"/>
    <s v="month"/>
    <n v="38"/>
    <x v="5"/>
    <x v="5"/>
  </r>
  <r>
    <n v="167678290"/>
    <x v="115"/>
    <x v="175"/>
    <x v="0"/>
    <n v="39"/>
    <s v="month"/>
    <n v="31"/>
    <x v="5"/>
    <x v="5"/>
  </r>
  <r>
    <n v="176995917"/>
    <x v="115"/>
    <x v="3"/>
    <x v="0"/>
    <n v="39"/>
    <s v="month"/>
    <n v="184"/>
    <x v="5"/>
    <x v="5"/>
  </r>
  <r>
    <n v="161187523"/>
    <x v="115"/>
    <x v="265"/>
    <x v="0"/>
    <n v="39"/>
    <s v="month"/>
    <n v="204"/>
    <x v="5"/>
    <x v="5"/>
  </r>
  <r>
    <n v="175884318"/>
    <x v="116"/>
    <x v="83"/>
    <x v="0"/>
    <n v="39"/>
    <s v="month"/>
    <n v="17"/>
    <x v="6"/>
    <x v="6"/>
  </r>
  <r>
    <n v="173911972"/>
    <x v="116"/>
    <x v="266"/>
    <x v="0"/>
    <n v="39"/>
    <s v="month"/>
    <n v="117"/>
    <x v="6"/>
    <x v="6"/>
  </r>
  <r>
    <n v="177696301"/>
    <x v="116"/>
    <x v="267"/>
    <x v="0"/>
    <n v="39"/>
    <s v="month"/>
    <n v="150"/>
    <x v="6"/>
    <x v="6"/>
  </r>
  <r>
    <n v="165744582"/>
    <x v="116"/>
    <x v="153"/>
    <x v="0"/>
    <n v="39"/>
    <s v="month"/>
    <n v="46"/>
    <x v="6"/>
    <x v="6"/>
  </r>
  <r>
    <n v="177323966"/>
    <x v="116"/>
    <x v="118"/>
    <x v="0"/>
    <n v="39"/>
    <s v="month"/>
    <n v="0"/>
    <x v="6"/>
    <x v="6"/>
  </r>
  <r>
    <n v="178355844"/>
    <x v="117"/>
    <x v="0"/>
    <x v="0"/>
    <n v="39"/>
    <s v="month"/>
    <s v="Not Cancelled"/>
    <x v="0"/>
    <x v="0"/>
  </r>
  <r>
    <n v="176989743"/>
    <x v="117"/>
    <x v="0"/>
    <x v="0"/>
    <n v="39"/>
    <s v="month"/>
    <s v="Not Cancelled"/>
    <x v="0"/>
    <x v="0"/>
  </r>
  <r>
    <n v="177971827"/>
    <x v="117"/>
    <x v="0"/>
    <x v="0"/>
    <n v="39"/>
    <s v="month"/>
    <s v="Not Cancelled"/>
    <x v="0"/>
    <x v="0"/>
  </r>
  <r>
    <n v="131147038"/>
    <x v="117"/>
    <x v="206"/>
    <x v="0"/>
    <n v="39"/>
    <s v="month"/>
    <n v="46"/>
    <x v="0"/>
    <x v="0"/>
  </r>
  <r>
    <n v="152142457"/>
    <x v="117"/>
    <x v="153"/>
    <x v="0"/>
    <n v="39"/>
    <s v="month"/>
    <n v="45"/>
    <x v="0"/>
    <x v="0"/>
  </r>
  <r>
    <n v="174293226"/>
    <x v="117"/>
    <x v="268"/>
    <x v="0"/>
    <n v="39"/>
    <s v="month"/>
    <n v="159"/>
    <x v="0"/>
    <x v="0"/>
  </r>
  <r>
    <n v="177051147"/>
    <x v="117"/>
    <x v="95"/>
    <x v="0"/>
    <n v="39"/>
    <s v="month"/>
    <n v="88"/>
    <x v="0"/>
    <x v="0"/>
  </r>
  <r>
    <n v="177963240"/>
    <x v="117"/>
    <x v="175"/>
    <x v="0"/>
    <n v="39"/>
    <s v="month"/>
    <n v="29"/>
    <x v="0"/>
    <x v="0"/>
  </r>
  <r>
    <n v="176639972"/>
    <x v="117"/>
    <x v="269"/>
    <x v="0"/>
    <n v="39"/>
    <s v="month"/>
    <n v="30"/>
    <x v="0"/>
    <x v="0"/>
  </r>
  <r>
    <n v="175818000"/>
    <x v="118"/>
    <x v="270"/>
    <x v="0"/>
    <n v="39"/>
    <s v="month"/>
    <n v="161"/>
    <x v="1"/>
    <x v="1"/>
  </r>
  <r>
    <n v="117856836"/>
    <x v="118"/>
    <x v="170"/>
    <x v="0"/>
    <n v="39"/>
    <s v="month"/>
    <n v="34"/>
    <x v="1"/>
    <x v="1"/>
  </r>
  <r>
    <n v="177266058"/>
    <x v="118"/>
    <x v="128"/>
    <x v="0"/>
    <n v="39"/>
    <s v="month"/>
    <n v="97"/>
    <x v="1"/>
    <x v="1"/>
  </r>
  <r>
    <n v="174203866"/>
    <x v="118"/>
    <x v="271"/>
    <x v="0"/>
    <n v="39"/>
    <s v="month"/>
    <n v="60"/>
    <x v="1"/>
    <x v="1"/>
  </r>
  <r>
    <n v="174991614"/>
    <x v="118"/>
    <x v="143"/>
    <x v="0"/>
    <n v="39"/>
    <s v="month"/>
    <n v="31"/>
    <x v="1"/>
    <x v="1"/>
  </r>
  <r>
    <n v="175354348"/>
    <x v="118"/>
    <x v="105"/>
    <x v="0"/>
    <n v="39"/>
    <s v="month"/>
    <n v="22"/>
    <x v="1"/>
    <x v="1"/>
  </r>
  <r>
    <n v="176573512"/>
    <x v="118"/>
    <x v="244"/>
    <x v="0"/>
    <n v="39"/>
    <s v="month"/>
    <n v="185"/>
    <x v="1"/>
    <x v="1"/>
  </r>
  <r>
    <n v="178379352"/>
    <x v="119"/>
    <x v="183"/>
    <x v="0"/>
    <n v="39"/>
    <s v="month"/>
    <n v="2"/>
    <x v="2"/>
    <x v="2"/>
  </r>
  <r>
    <n v="152980676"/>
    <x v="119"/>
    <x v="105"/>
    <x v="0"/>
    <n v="39"/>
    <s v="month"/>
    <n v="21"/>
    <x v="2"/>
    <x v="2"/>
  </r>
  <r>
    <n v="179551652"/>
    <x v="119"/>
    <x v="235"/>
    <x v="0"/>
    <n v="39"/>
    <s v="month"/>
    <n v="127"/>
    <x v="2"/>
    <x v="2"/>
  </r>
  <r>
    <n v="175899028"/>
    <x v="119"/>
    <x v="272"/>
    <x v="0"/>
    <n v="39"/>
    <s v="month"/>
    <n v="83"/>
    <x v="2"/>
    <x v="2"/>
  </r>
  <r>
    <n v="148427368"/>
    <x v="119"/>
    <x v="201"/>
    <x v="0"/>
    <n v="39"/>
    <s v="month"/>
    <n v="38"/>
    <x v="2"/>
    <x v="2"/>
  </r>
  <r>
    <n v="149335749"/>
    <x v="119"/>
    <x v="143"/>
    <x v="0"/>
    <n v="39"/>
    <s v="month"/>
    <n v="30"/>
    <x v="2"/>
    <x v="2"/>
  </r>
  <r>
    <n v="179395204"/>
    <x v="119"/>
    <x v="104"/>
    <x v="0"/>
    <n v="39"/>
    <s v="month"/>
    <n v="16"/>
    <x v="2"/>
    <x v="2"/>
  </r>
  <r>
    <n v="150870576"/>
    <x v="120"/>
    <x v="273"/>
    <x v="0"/>
    <n v="39"/>
    <s v="month"/>
    <n v="165"/>
    <x v="3"/>
    <x v="3"/>
  </r>
  <r>
    <n v="176200716"/>
    <x v="120"/>
    <x v="266"/>
    <x v="0"/>
    <n v="39"/>
    <s v="month"/>
    <n v="113"/>
    <x v="3"/>
    <x v="3"/>
  </r>
  <r>
    <n v="178097351"/>
    <x v="120"/>
    <x v="35"/>
    <x v="0"/>
    <n v="39"/>
    <s v="month"/>
    <n v="38"/>
    <x v="3"/>
    <x v="3"/>
  </r>
  <r>
    <n v="177238262"/>
    <x v="121"/>
    <x v="0"/>
    <x v="0"/>
    <n v="39"/>
    <s v="month"/>
    <s v="Not Cancelled"/>
    <x v="4"/>
    <x v="4"/>
  </r>
  <r>
    <n v="173131478"/>
    <x v="121"/>
    <x v="0"/>
    <x v="0"/>
    <n v="39"/>
    <s v="month"/>
    <s v="Not Cancelled"/>
    <x v="4"/>
    <x v="4"/>
  </r>
  <r>
    <n v="180123121"/>
    <x v="121"/>
    <x v="183"/>
    <x v="1"/>
    <n v="39"/>
    <s v="month"/>
    <n v="0"/>
    <x v="4"/>
    <x v="4"/>
  </r>
  <r>
    <n v="139136640"/>
    <x v="121"/>
    <x v="162"/>
    <x v="0"/>
    <n v="39"/>
    <s v="month"/>
    <n v="66"/>
    <x v="4"/>
    <x v="4"/>
  </r>
  <r>
    <n v="172951272"/>
    <x v="121"/>
    <x v="274"/>
    <x v="0"/>
    <n v="39"/>
    <s v="month"/>
    <n v="124"/>
    <x v="4"/>
    <x v="4"/>
  </r>
  <r>
    <n v="175473611"/>
    <x v="121"/>
    <x v="275"/>
    <x v="0"/>
    <n v="39"/>
    <s v="month"/>
    <n v="111"/>
    <x v="4"/>
    <x v="4"/>
  </r>
  <r>
    <n v="170776130"/>
    <x v="121"/>
    <x v="256"/>
    <x v="0"/>
    <n v="39"/>
    <s v="month"/>
    <n v="106"/>
    <x v="4"/>
    <x v="4"/>
  </r>
  <r>
    <n v="180558466"/>
    <x v="121"/>
    <x v="272"/>
    <x v="0"/>
    <n v="39"/>
    <s v="month"/>
    <n v="81"/>
    <x v="4"/>
    <x v="4"/>
  </r>
  <r>
    <n v="171398636"/>
    <x v="121"/>
    <x v="276"/>
    <x v="0"/>
    <n v="39"/>
    <s v="month"/>
    <n v="67"/>
    <x v="4"/>
    <x v="4"/>
  </r>
  <r>
    <n v="180424776"/>
    <x v="121"/>
    <x v="277"/>
    <x v="0"/>
    <n v="39"/>
    <s v="month"/>
    <n v="76"/>
    <x v="4"/>
    <x v="4"/>
  </r>
  <r>
    <n v="180198528"/>
    <x v="121"/>
    <x v="219"/>
    <x v="0"/>
    <n v="39"/>
    <s v="month"/>
    <n v="38"/>
    <x v="4"/>
    <x v="4"/>
  </r>
  <r>
    <n v="124634385"/>
    <x v="122"/>
    <x v="0"/>
    <x v="0"/>
    <n v="39"/>
    <s v="month"/>
    <s v="Not Cancelled"/>
    <x v="5"/>
    <x v="5"/>
  </r>
  <r>
    <n v="180740092"/>
    <x v="122"/>
    <x v="0"/>
    <x v="0"/>
    <n v="39"/>
    <s v="month"/>
    <s v="Not Cancelled"/>
    <x v="5"/>
    <x v="5"/>
  </r>
  <r>
    <n v="144385898"/>
    <x v="122"/>
    <x v="244"/>
    <x v="0"/>
    <n v="39"/>
    <s v="month"/>
    <n v="181"/>
    <x v="5"/>
    <x v="5"/>
  </r>
  <r>
    <n v="175138132"/>
    <x v="122"/>
    <x v="275"/>
    <x v="0"/>
    <n v="39"/>
    <s v="month"/>
    <n v="110"/>
    <x v="5"/>
    <x v="5"/>
  </r>
  <r>
    <n v="180968287"/>
    <x v="122"/>
    <x v="95"/>
    <x v="0"/>
    <n v="39"/>
    <s v="month"/>
    <n v="83"/>
    <x v="5"/>
    <x v="5"/>
  </r>
  <r>
    <n v="180959934"/>
    <x v="122"/>
    <x v="278"/>
    <x v="0"/>
    <n v="39"/>
    <s v="month"/>
    <n v="64"/>
    <x v="5"/>
    <x v="5"/>
  </r>
  <r>
    <n v="176445635"/>
    <x v="122"/>
    <x v="198"/>
    <x v="0"/>
    <n v="39"/>
    <s v="month"/>
    <n v="46"/>
    <x v="5"/>
    <x v="5"/>
  </r>
  <r>
    <n v="180798046"/>
    <x v="122"/>
    <x v="192"/>
    <x v="0"/>
    <n v="39"/>
    <s v="month"/>
    <n v="28"/>
    <x v="5"/>
    <x v="5"/>
  </r>
  <r>
    <n v="180718702"/>
    <x v="122"/>
    <x v="84"/>
    <x v="0"/>
    <n v="39"/>
    <s v="month"/>
    <n v="22"/>
    <x v="5"/>
    <x v="5"/>
  </r>
  <r>
    <n v="181052392"/>
    <x v="122"/>
    <x v="225"/>
    <x v="0"/>
    <n v="39"/>
    <s v="month"/>
    <n v="232"/>
    <x v="5"/>
    <x v="5"/>
  </r>
  <r>
    <n v="181717508"/>
    <x v="123"/>
    <x v="0"/>
    <x v="0"/>
    <n v="39"/>
    <s v="month"/>
    <s v="Not Cancelled"/>
    <x v="6"/>
    <x v="6"/>
  </r>
  <r>
    <n v="163103592"/>
    <x v="123"/>
    <x v="79"/>
    <x v="1"/>
    <n v="39"/>
    <s v="month"/>
    <n v="1"/>
    <x v="6"/>
    <x v="6"/>
  </r>
  <r>
    <n v="146860806"/>
    <x v="123"/>
    <x v="250"/>
    <x v="0"/>
    <n v="39"/>
    <s v="month"/>
    <n v="59"/>
    <x v="6"/>
    <x v="6"/>
  </r>
  <r>
    <n v="160532210"/>
    <x v="123"/>
    <x v="153"/>
    <x v="0"/>
    <n v="39"/>
    <s v="month"/>
    <n v="39"/>
    <x v="6"/>
    <x v="6"/>
  </r>
  <r>
    <n v="181003342"/>
    <x v="123"/>
    <x v="271"/>
    <x v="0"/>
    <n v="39"/>
    <s v="month"/>
    <n v="55"/>
    <x v="6"/>
    <x v="6"/>
  </r>
  <r>
    <n v="178661698"/>
    <x v="123"/>
    <x v="279"/>
    <x v="0"/>
    <n v="39"/>
    <s v="month"/>
    <n v="188"/>
    <x v="6"/>
    <x v="6"/>
  </r>
  <r>
    <n v="178928897"/>
    <x v="124"/>
    <x v="0"/>
    <x v="0"/>
    <n v="39"/>
    <s v="month"/>
    <s v="Not Cancelled"/>
    <x v="0"/>
    <x v="0"/>
  </r>
  <r>
    <n v="181840814"/>
    <x v="124"/>
    <x v="0"/>
    <x v="0"/>
    <n v="39"/>
    <s v="month"/>
    <s v="Not Cancelled"/>
    <x v="0"/>
    <x v="0"/>
  </r>
  <r>
    <n v="166930287"/>
    <x v="124"/>
    <x v="129"/>
    <x v="1"/>
    <n v="39"/>
    <s v="month"/>
    <n v="1"/>
    <x v="0"/>
    <x v="0"/>
  </r>
  <r>
    <n v="155956314"/>
    <x v="124"/>
    <x v="79"/>
    <x v="1"/>
    <n v="39"/>
    <s v="month"/>
    <n v="0"/>
    <x v="0"/>
    <x v="0"/>
  </r>
  <r>
    <n v="182408564"/>
    <x v="124"/>
    <x v="243"/>
    <x v="0"/>
    <n v="39"/>
    <s v="month"/>
    <n v="119"/>
    <x v="0"/>
    <x v="0"/>
  </r>
  <r>
    <n v="182295766"/>
    <x v="124"/>
    <x v="33"/>
    <x v="0"/>
    <n v="39"/>
    <s v="month"/>
    <n v="66"/>
    <x v="0"/>
    <x v="0"/>
  </r>
  <r>
    <n v="155881023"/>
    <x v="124"/>
    <x v="161"/>
    <x v="0"/>
    <n v="39"/>
    <s v="month"/>
    <n v="56"/>
    <x v="0"/>
    <x v="0"/>
  </r>
  <r>
    <n v="152750569"/>
    <x v="124"/>
    <x v="153"/>
    <x v="0"/>
    <n v="39"/>
    <s v="month"/>
    <n v="38"/>
    <x v="0"/>
    <x v="0"/>
  </r>
  <r>
    <n v="178345451"/>
    <x v="124"/>
    <x v="153"/>
    <x v="0"/>
    <n v="39"/>
    <s v="month"/>
    <n v="38"/>
    <x v="0"/>
    <x v="0"/>
  </r>
  <r>
    <n v="179758181"/>
    <x v="125"/>
    <x v="0"/>
    <x v="0"/>
    <n v="39"/>
    <s v="month"/>
    <s v="Not Cancelled"/>
    <x v="1"/>
    <x v="1"/>
  </r>
  <r>
    <n v="167266048"/>
    <x v="125"/>
    <x v="0"/>
    <x v="0"/>
    <n v="39"/>
    <s v="month"/>
    <s v="Not Cancelled"/>
    <x v="1"/>
    <x v="1"/>
  </r>
  <r>
    <n v="182719870"/>
    <x v="125"/>
    <x v="243"/>
    <x v="0"/>
    <n v="39"/>
    <s v="month"/>
    <n v="118"/>
    <x v="1"/>
    <x v="1"/>
  </r>
  <r>
    <n v="182408430"/>
    <x v="125"/>
    <x v="15"/>
    <x v="0"/>
    <n v="39"/>
    <s v="month"/>
    <n v="124"/>
    <x v="1"/>
    <x v="1"/>
  </r>
  <r>
    <n v="181072524"/>
    <x v="125"/>
    <x v="187"/>
    <x v="0"/>
    <n v="39"/>
    <s v="month"/>
    <n v="175"/>
    <x v="1"/>
    <x v="1"/>
  </r>
  <r>
    <n v="182747824"/>
    <x v="125"/>
    <x v="257"/>
    <x v="0"/>
    <n v="39"/>
    <s v="month"/>
    <n v="97"/>
    <x v="1"/>
    <x v="1"/>
  </r>
  <r>
    <n v="182700534"/>
    <x v="125"/>
    <x v="208"/>
    <x v="0"/>
    <n v="39"/>
    <s v="month"/>
    <n v="79"/>
    <x v="1"/>
    <x v="1"/>
  </r>
  <r>
    <n v="182727349"/>
    <x v="125"/>
    <x v="136"/>
    <x v="0"/>
    <n v="39"/>
    <s v="month"/>
    <n v="31"/>
    <x v="1"/>
    <x v="1"/>
  </r>
  <r>
    <n v="182636324"/>
    <x v="125"/>
    <x v="247"/>
    <x v="0"/>
    <n v="39"/>
    <s v="month"/>
    <n v="28"/>
    <x v="1"/>
    <x v="1"/>
  </r>
  <r>
    <n v="170485769"/>
    <x v="125"/>
    <x v="129"/>
    <x v="0"/>
    <n v="39"/>
    <s v="month"/>
    <n v="0"/>
    <x v="1"/>
    <x v="1"/>
  </r>
  <r>
    <n v="182627508"/>
    <x v="125"/>
    <x v="129"/>
    <x v="0"/>
    <n v="39"/>
    <s v="month"/>
    <n v="0"/>
    <x v="1"/>
    <x v="1"/>
  </r>
  <r>
    <n v="182834016"/>
    <x v="126"/>
    <x v="69"/>
    <x v="0"/>
    <n v="39"/>
    <s v="month"/>
    <n v="158"/>
    <x v="2"/>
    <x v="2"/>
  </r>
  <r>
    <n v="163535855"/>
    <x v="126"/>
    <x v="173"/>
    <x v="0"/>
    <n v="39"/>
    <s v="month"/>
    <n v="165"/>
    <x v="2"/>
    <x v="2"/>
  </r>
  <r>
    <n v="183002853"/>
    <x v="126"/>
    <x v="239"/>
    <x v="0"/>
    <n v="39"/>
    <s v="month"/>
    <n v="91"/>
    <x v="2"/>
    <x v="2"/>
  </r>
  <r>
    <n v="148338824"/>
    <x v="126"/>
    <x v="201"/>
    <x v="0"/>
    <n v="39"/>
    <s v="month"/>
    <n v="31"/>
    <x v="2"/>
    <x v="2"/>
  </r>
  <r>
    <n v="181712692"/>
    <x v="126"/>
    <x v="261"/>
    <x v="0"/>
    <n v="39"/>
    <s v="month"/>
    <n v="0"/>
    <x v="2"/>
    <x v="2"/>
  </r>
  <r>
    <n v="181770777"/>
    <x v="127"/>
    <x v="0"/>
    <x v="0"/>
    <n v="39"/>
    <s v="month"/>
    <s v="Not Cancelled"/>
    <x v="3"/>
    <x v="3"/>
  </r>
  <r>
    <n v="161269602"/>
    <x v="127"/>
    <x v="193"/>
    <x v="0"/>
    <n v="39"/>
    <s v="month"/>
    <n v="0"/>
    <x v="3"/>
    <x v="3"/>
  </r>
  <r>
    <n v="145799416"/>
    <x v="127"/>
    <x v="91"/>
    <x v="0"/>
    <n v="39"/>
    <s v="month"/>
    <n v="33"/>
    <x v="3"/>
    <x v="3"/>
  </r>
  <r>
    <n v="182753953"/>
    <x v="127"/>
    <x v="145"/>
    <x v="0"/>
    <n v="39"/>
    <s v="month"/>
    <n v="85"/>
    <x v="3"/>
    <x v="3"/>
  </r>
  <r>
    <n v="162944728"/>
    <x v="127"/>
    <x v="50"/>
    <x v="0"/>
    <n v="39"/>
    <s v="month"/>
    <n v="52"/>
    <x v="3"/>
    <x v="3"/>
  </r>
  <r>
    <n v="161249852"/>
    <x v="127"/>
    <x v="25"/>
    <x v="0"/>
    <n v="39"/>
    <s v="month"/>
    <n v="7"/>
    <x v="3"/>
    <x v="3"/>
  </r>
  <r>
    <n v="183916833"/>
    <x v="128"/>
    <x v="0"/>
    <x v="0"/>
    <n v="39"/>
    <s v="month"/>
    <s v="Not Cancelled"/>
    <x v="4"/>
    <x v="4"/>
  </r>
  <r>
    <n v="169141612"/>
    <x v="128"/>
    <x v="138"/>
    <x v="1"/>
    <n v="39"/>
    <s v="month"/>
    <n v="1"/>
    <x v="4"/>
    <x v="4"/>
  </r>
  <r>
    <n v="128768010"/>
    <x v="128"/>
    <x v="224"/>
    <x v="0"/>
    <n v="39"/>
    <s v="month"/>
    <n v="3"/>
    <x v="4"/>
    <x v="4"/>
  </r>
  <r>
    <n v="138520918"/>
    <x v="128"/>
    <x v="226"/>
    <x v="0"/>
    <n v="39"/>
    <s v="month"/>
    <n v="0"/>
    <x v="4"/>
    <x v="4"/>
  </r>
  <r>
    <n v="162946328"/>
    <x v="128"/>
    <x v="4"/>
    <x v="0"/>
    <n v="39"/>
    <s v="month"/>
    <n v="119"/>
    <x v="4"/>
    <x v="4"/>
  </r>
  <r>
    <n v="182929556"/>
    <x v="128"/>
    <x v="17"/>
    <x v="0"/>
    <n v="39"/>
    <s v="month"/>
    <n v="91"/>
    <x v="4"/>
    <x v="4"/>
  </r>
  <r>
    <n v="153704184"/>
    <x v="128"/>
    <x v="239"/>
    <x v="0"/>
    <n v="39"/>
    <s v="month"/>
    <n v="89"/>
    <x v="4"/>
    <x v="4"/>
  </r>
  <r>
    <n v="136326172"/>
    <x v="128"/>
    <x v="278"/>
    <x v="0"/>
    <n v="39"/>
    <s v="month"/>
    <n v="58"/>
    <x v="4"/>
    <x v="4"/>
  </r>
  <r>
    <n v="182505210"/>
    <x v="128"/>
    <x v="35"/>
    <x v="0"/>
    <n v="39"/>
    <s v="month"/>
    <n v="30"/>
    <x v="4"/>
    <x v="4"/>
  </r>
  <r>
    <n v="184370857"/>
    <x v="129"/>
    <x v="0"/>
    <x v="0"/>
    <n v="39"/>
    <s v="month"/>
    <s v="Not Cancelled"/>
    <x v="5"/>
    <x v="5"/>
  </r>
  <r>
    <n v="184310344"/>
    <x v="129"/>
    <x v="246"/>
    <x v="0"/>
    <n v="39"/>
    <s v="month"/>
    <n v="91"/>
    <x v="5"/>
    <x v="5"/>
  </r>
  <r>
    <n v="183346055"/>
    <x v="129"/>
    <x v="137"/>
    <x v="0"/>
    <n v="39"/>
    <s v="month"/>
    <n v="66"/>
    <x v="5"/>
    <x v="5"/>
  </r>
  <r>
    <n v="178952278"/>
    <x v="129"/>
    <x v="227"/>
    <x v="0"/>
    <n v="39"/>
    <s v="month"/>
    <n v="60"/>
    <x v="5"/>
    <x v="5"/>
  </r>
  <r>
    <n v="184345202"/>
    <x v="129"/>
    <x v="184"/>
    <x v="0"/>
    <n v="39"/>
    <s v="month"/>
    <n v="44"/>
    <x v="5"/>
    <x v="5"/>
  </r>
  <r>
    <n v="182837162"/>
    <x v="129"/>
    <x v="221"/>
    <x v="0"/>
    <n v="39"/>
    <s v="month"/>
    <n v="26"/>
    <x v="5"/>
    <x v="5"/>
  </r>
  <r>
    <n v="182927038"/>
    <x v="129"/>
    <x v="198"/>
    <x v="0"/>
    <n v="39"/>
    <s v="month"/>
    <n v="39"/>
    <x v="5"/>
    <x v="5"/>
  </r>
  <r>
    <n v="181739784"/>
    <x v="129"/>
    <x v="35"/>
    <x v="0"/>
    <n v="39"/>
    <s v="month"/>
    <n v="29"/>
    <x v="5"/>
    <x v="5"/>
  </r>
  <r>
    <n v="178605410"/>
    <x v="129"/>
    <x v="280"/>
    <x v="0"/>
    <n v="39"/>
    <s v="month"/>
    <n v="38"/>
    <x v="5"/>
    <x v="5"/>
  </r>
  <r>
    <n v="184334484"/>
    <x v="130"/>
    <x v="0"/>
    <x v="0"/>
    <n v="39"/>
    <s v="month"/>
    <s v="Not Cancelled"/>
    <x v="6"/>
    <x v="6"/>
  </r>
  <r>
    <n v="181576265"/>
    <x v="130"/>
    <x v="0"/>
    <x v="0"/>
    <n v="39"/>
    <s v="month"/>
    <s v="Not Cancelled"/>
    <x v="6"/>
    <x v="6"/>
  </r>
  <r>
    <n v="183645116"/>
    <x v="130"/>
    <x v="0"/>
    <x v="0"/>
    <n v="39"/>
    <s v="month"/>
    <s v="Not Cancelled"/>
    <x v="6"/>
    <x v="6"/>
  </r>
  <r>
    <n v="184812094"/>
    <x v="130"/>
    <x v="114"/>
    <x v="0"/>
    <n v="39"/>
    <s v="month"/>
    <n v="86"/>
    <x v="6"/>
    <x v="6"/>
  </r>
  <r>
    <n v="152089648"/>
    <x v="130"/>
    <x v="259"/>
    <x v="0"/>
    <n v="39"/>
    <s v="month"/>
    <n v="66"/>
    <x v="6"/>
    <x v="6"/>
  </r>
  <r>
    <n v="148710968"/>
    <x v="130"/>
    <x v="201"/>
    <x v="0"/>
    <n v="39"/>
    <s v="month"/>
    <n v="27"/>
    <x v="6"/>
    <x v="6"/>
  </r>
  <r>
    <n v="183197132"/>
    <x v="131"/>
    <x v="0"/>
    <x v="0"/>
    <n v="39"/>
    <s v="month"/>
    <s v="Not Cancelled"/>
    <x v="0"/>
    <x v="0"/>
  </r>
  <r>
    <n v="156239744"/>
    <x v="131"/>
    <x v="0"/>
    <x v="0"/>
    <n v="39"/>
    <s v="month"/>
    <s v="Not Cancelled"/>
    <x v="0"/>
    <x v="0"/>
  </r>
  <r>
    <n v="184481262"/>
    <x v="131"/>
    <x v="0"/>
    <x v="0"/>
    <n v="39"/>
    <s v="month"/>
    <s v="Not Cancelled"/>
    <x v="0"/>
    <x v="0"/>
  </r>
  <r>
    <n v="153186137"/>
    <x v="131"/>
    <x v="245"/>
    <x v="0"/>
    <n v="39"/>
    <s v="month"/>
    <n v="1"/>
    <x v="0"/>
    <x v="0"/>
  </r>
  <r>
    <n v="185374268"/>
    <x v="131"/>
    <x v="245"/>
    <x v="1"/>
    <n v="39"/>
    <s v="month"/>
    <n v="1"/>
    <x v="0"/>
    <x v="0"/>
  </r>
  <r>
    <n v="185367349"/>
    <x v="131"/>
    <x v="245"/>
    <x v="1"/>
    <n v="39"/>
    <s v="month"/>
    <n v="1"/>
    <x v="0"/>
    <x v="0"/>
  </r>
  <r>
    <n v="150793080"/>
    <x v="131"/>
    <x v="50"/>
    <x v="0"/>
    <n v="39"/>
    <s v="month"/>
    <n v="48"/>
    <x v="0"/>
    <x v="0"/>
  </r>
  <r>
    <n v="183406772"/>
    <x v="131"/>
    <x v="281"/>
    <x v="0"/>
    <n v="39"/>
    <s v="month"/>
    <n v="52"/>
    <x v="0"/>
    <x v="0"/>
  </r>
  <r>
    <n v="175760281"/>
    <x v="131"/>
    <x v="153"/>
    <x v="0"/>
    <n v="39"/>
    <s v="month"/>
    <n v="31"/>
    <x v="0"/>
    <x v="0"/>
  </r>
  <r>
    <n v="162095012"/>
    <x v="131"/>
    <x v="84"/>
    <x v="0"/>
    <n v="39"/>
    <s v="month"/>
    <n v="13"/>
    <x v="0"/>
    <x v="0"/>
  </r>
  <r>
    <n v="179356036"/>
    <x v="131"/>
    <x v="224"/>
    <x v="0"/>
    <n v="39"/>
    <s v="month"/>
    <n v="0"/>
    <x v="0"/>
    <x v="0"/>
  </r>
  <r>
    <n v="184567432"/>
    <x v="131"/>
    <x v="115"/>
    <x v="0"/>
    <n v="39"/>
    <s v="month"/>
    <n v="11"/>
    <x v="0"/>
    <x v="0"/>
  </r>
  <r>
    <n v="185503171"/>
    <x v="131"/>
    <x v="209"/>
    <x v="0"/>
    <n v="39"/>
    <s v="month"/>
    <n v="174"/>
    <x v="0"/>
    <x v="0"/>
  </r>
  <r>
    <n v="171922477"/>
    <x v="131"/>
    <x v="99"/>
    <x v="0"/>
    <n v="39"/>
    <s v="month"/>
    <n v="167"/>
    <x v="0"/>
    <x v="0"/>
  </r>
  <r>
    <n v="144830936"/>
    <x v="131"/>
    <x v="282"/>
    <x v="0"/>
    <n v="39"/>
    <s v="month"/>
    <n v="196"/>
    <x v="0"/>
    <x v="0"/>
  </r>
  <r>
    <n v="157474087"/>
    <x v="132"/>
    <x v="0"/>
    <x v="0"/>
    <n v="39"/>
    <s v="month"/>
    <s v="Not Cancelled"/>
    <x v="1"/>
    <x v="1"/>
  </r>
  <r>
    <n v="182350116"/>
    <x v="132"/>
    <x v="0"/>
    <x v="0"/>
    <n v="39"/>
    <s v="month"/>
    <s v="Not Cancelled"/>
    <x v="1"/>
    <x v="1"/>
  </r>
  <r>
    <n v="132867770"/>
    <x v="132"/>
    <x v="83"/>
    <x v="0"/>
    <n v="39"/>
    <s v="month"/>
    <n v="1"/>
    <x v="1"/>
    <x v="1"/>
  </r>
  <r>
    <n v="185561880"/>
    <x v="132"/>
    <x v="83"/>
    <x v="1"/>
    <n v="39"/>
    <s v="month"/>
    <n v="1"/>
    <x v="1"/>
    <x v="1"/>
  </r>
  <r>
    <n v="168884196"/>
    <x v="132"/>
    <x v="128"/>
    <x v="0"/>
    <n v="39"/>
    <s v="month"/>
    <n v="83"/>
    <x v="1"/>
    <x v="1"/>
  </r>
  <r>
    <n v="161269602"/>
    <x v="132"/>
    <x v="230"/>
    <x v="0"/>
    <n v="39"/>
    <s v="month"/>
    <n v="38"/>
    <x v="1"/>
    <x v="1"/>
  </r>
  <r>
    <n v="185729058"/>
    <x v="133"/>
    <x v="274"/>
    <x v="0"/>
    <n v="39"/>
    <s v="month"/>
    <n v="112"/>
    <x v="2"/>
    <x v="2"/>
  </r>
  <r>
    <n v="182527446"/>
    <x v="133"/>
    <x v="243"/>
    <x v="0"/>
    <n v="39"/>
    <s v="month"/>
    <n v="110"/>
    <x v="2"/>
    <x v="2"/>
  </r>
  <r>
    <n v="151217806"/>
    <x v="133"/>
    <x v="281"/>
    <x v="0"/>
    <n v="39"/>
    <s v="month"/>
    <n v="50"/>
    <x v="2"/>
    <x v="2"/>
  </r>
  <r>
    <n v="181789030"/>
    <x v="133"/>
    <x v="221"/>
    <x v="0"/>
    <n v="39"/>
    <s v="month"/>
    <n v="22"/>
    <x v="2"/>
    <x v="2"/>
  </r>
  <r>
    <n v="167939138"/>
    <x v="133"/>
    <x v="279"/>
    <x v="0"/>
    <n v="39"/>
    <s v="month"/>
    <n v="178"/>
    <x v="2"/>
    <x v="2"/>
  </r>
  <r>
    <n v="168531226"/>
    <x v="133"/>
    <x v="283"/>
    <x v="0"/>
    <n v="39"/>
    <s v="month"/>
    <n v="211"/>
    <x v="2"/>
    <x v="2"/>
  </r>
  <r>
    <n v="183965840"/>
    <x v="134"/>
    <x v="0"/>
    <x v="0"/>
    <n v="39"/>
    <s v="month"/>
    <s v="Not Cancelled"/>
    <x v="3"/>
    <x v="3"/>
  </r>
  <r>
    <n v="185522938"/>
    <x v="134"/>
    <x v="284"/>
    <x v="0"/>
    <n v="39"/>
    <s v="month"/>
    <n v="108"/>
    <x v="3"/>
    <x v="3"/>
  </r>
  <r>
    <n v="186413122"/>
    <x v="134"/>
    <x v="101"/>
    <x v="0"/>
    <n v="39"/>
    <s v="month"/>
    <n v="107"/>
    <x v="3"/>
    <x v="3"/>
  </r>
  <r>
    <n v="186481916"/>
    <x v="134"/>
    <x v="23"/>
    <x v="0"/>
    <n v="39"/>
    <s v="month"/>
    <n v="91"/>
    <x v="3"/>
    <x v="3"/>
  </r>
  <r>
    <n v="186177212"/>
    <x v="134"/>
    <x v="191"/>
    <x v="0"/>
    <n v="39"/>
    <s v="month"/>
    <n v="51"/>
    <x v="3"/>
    <x v="3"/>
  </r>
  <r>
    <n v="184809175"/>
    <x v="134"/>
    <x v="191"/>
    <x v="0"/>
    <n v="39"/>
    <s v="month"/>
    <n v="51"/>
    <x v="3"/>
    <x v="3"/>
  </r>
  <r>
    <n v="186690790"/>
    <x v="134"/>
    <x v="33"/>
    <x v="0"/>
    <n v="39"/>
    <s v="month"/>
    <n v="56"/>
    <x v="3"/>
    <x v="3"/>
  </r>
  <r>
    <n v="185711685"/>
    <x v="134"/>
    <x v="136"/>
    <x v="0"/>
    <n v="39"/>
    <s v="month"/>
    <n v="22"/>
    <x v="3"/>
    <x v="3"/>
  </r>
  <r>
    <n v="179509273"/>
    <x v="134"/>
    <x v="187"/>
    <x v="0"/>
    <n v="39"/>
    <s v="month"/>
    <n v="166"/>
    <x v="3"/>
    <x v="3"/>
  </r>
  <r>
    <n v="186770408"/>
    <x v="135"/>
    <x v="0"/>
    <x v="0"/>
    <n v="39"/>
    <s v="month"/>
    <s v="Not Cancelled"/>
    <x v="4"/>
    <x v="4"/>
  </r>
  <r>
    <n v="181025165"/>
    <x v="135"/>
    <x v="0"/>
    <x v="0"/>
    <n v="39"/>
    <s v="month"/>
    <s v="Not Cancelled"/>
    <x v="4"/>
    <x v="4"/>
  </r>
  <r>
    <n v="157919304"/>
    <x v="135"/>
    <x v="58"/>
    <x v="0"/>
    <n v="39"/>
    <s v="month"/>
    <n v="120"/>
    <x v="4"/>
    <x v="4"/>
  </r>
  <r>
    <n v="187051266"/>
    <x v="135"/>
    <x v="285"/>
    <x v="0"/>
    <n v="39"/>
    <s v="month"/>
    <n v="135"/>
    <x v="4"/>
    <x v="4"/>
  </r>
  <r>
    <n v="179713052"/>
    <x v="135"/>
    <x v="286"/>
    <x v="0"/>
    <n v="39"/>
    <s v="month"/>
    <n v="89"/>
    <x v="4"/>
    <x v="4"/>
  </r>
  <r>
    <n v="185431487"/>
    <x v="135"/>
    <x v="287"/>
    <x v="0"/>
    <n v="39"/>
    <s v="month"/>
    <n v="100"/>
    <x v="4"/>
    <x v="4"/>
  </r>
  <r>
    <n v="157929345"/>
    <x v="135"/>
    <x v="114"/>
    <x v="0"/>
    <n v="39"/>
    <s v="month"/>
    <n v="81"/>
    <x v="4"/>
    <x v="4"/>
  </r>
  <r>
    <n v="154087095"/>
    <x v="135"/>
    <x v="32"/>
    <x v="0"/>
    <n v="39"/>
    <s v="month"/>
    <n v="56"/>
    <x v="4"/>
    <x v="4"/>
  </r>
  <r>
    <n v="186674235"/>
    <x v="135"/>
    <x v="218"/>
    <x v="0"/>
    <n v="39"/>
    <s v="month"/>
    <n v="57"/>
    <x v="4"/>
    <x v="4"/>
  </r>
  <r>
    <n v="182656156"/>
    <x v="135"/>
    <x v="59"/>
    <x v="0"/>
    <n v="39"/>
    <s v="month"/>
    <n v="30"/>
    <x v="4"/>
    <x v="4"/>
  </r>
  <r>
    <n v="170319875"/>
    <x v="135"/>
    <x v="104"/>
    <x v="0"/>
    <n v="39"/>
    <s v="month"/>
    <n v="0"/>
    <x v="4"/>
    <x v="4"/>
  </r>
  <r>
    <n v="188226033"/>
    <x v="136"/>
    <x v="0"/>
    <x v="1"/>
    <n v="39"/>
    <s v="month"/>
    <s v="Not Cancelled"/>
    <x v="5"/>
    <x v="5"/>
  </r>
  <r>
    <n v="188137320"/>
    <x v="136"/>
    <x v="0"/>
    <x v="1"/>
    <n v="39"/>
    <s v="month"/>
    <s v="Not Cancelled"/>
    <x v="5"/>
    <x v="5"/>
  </r>
  <r>
    <n v="163220556"/>
    <x v="136"/>
    <x v="117"/>
    <x v="0"/>
    <n v="39"/>
    <s v="month"/>
    <n v="1"/>
    <x v="5"/>
    <x v="5"/>
  </r>
  <r>
    <n v="182960960"/>
    <x v="136"/>
    <x v="272"/>
    <x v="0"/>
    <n v="39"/>
    <s v="month"/>
    <n v="66"/>
    <x v="5"/>
    <x v="5"/>
  </r>
  <r>
    <n v="188175982"/>
    <x v="136"/>
    <x v="280"/>
    <x v="0"/>
    <n v="39"/>
    <s v="month"/>
    <n v="31"/>
    <x v="5"/>
    <x v="5"/>
  </r>
  <r>
    <n v="169729060"/>
    <x v="136"/>
    <x v="26"/>
    <x v="0"/>
    <n v="39"/>
    <s v="month"/>
    <n v="33"/>
    <x v="5"/>
    <x v="5"/>
  </r>
  <r>
    <n v="186841270"/>
    <x v="136"/>
    <x v="202"/>
    <x v="0"/>
    <n v="39"/>
    <s v="month"/>
    <n v="38"/>
    <x v="5"/>
    <x v="5"/>
  </r>
  <r>
    <n v="154563993"/>
    <x v="136"/>
    <x v="264"/>
    <x v="0"/>
    <n v="39"/>
    <s v="month"/>
    <n v="39"/>
    <x v="5"/>
    <x v="5"/>
  </r>
  <r>
    <n v="159767828"/>
    <x v="136"/>
    <x v="202"/>
    <x v="0"/>
    <n v="39"/>
    <s v="month"/>
    <n v="38"/>
    <x v="5"/>
    <x v="5"/>
  </r>
  <r>
    <n v="183186612"/>
    <x v="136"/>
    <x v="176"/>
    <x v="0"/>
    <n v="39"/>
    <s v="month"/>
    <n v="192"/>
    <x v="5"/>
    <x v="5"/>
  </r>
  <r>
    <n v="128603349"/>
    <x v="137"/>
    <x v="0"/>
    <x v="0"/>
    <n v="39"/>
    <s v="month"/>
    <s v="Not Cancelled"/>
    <x v="6"/>
    <x v="6"/>
  </r>
  <r>
    <n v="183736457"/>
    <x v="137"/>
    <x v="229"/>
    <x v="1"/>
    <n v="39"/>
    <s v="month"/>
    <n v="1"/>
    <x v="6"/>
    <x v="6"/>
  </r>
  <r>
    <n v="188115641"/>
    <x v="137"/>
    <x v="117"/>
    <x v="1"/>
    <n v="39"/>
    <s v="month"/>
    <n v="0"/>
    <x v="6"/>
    <x v="6"/>
  </r>
  <r>
    <n v="188460699"/>
    <x v="137"/>
    <x v="117"/>
    <x v="1"/>
    <n v="39"/>
    <s v="month"/>
    <n v="0"/>
    <x v="6"/>
    <x v="6"/>
  </r>
  <r>
    <n v="138228332"/>
    <x v="137"/>
    <x v="264"/>
    <x v="0"/>
    <n v="39"/>
    <s v="month"/>
    <n v="38"/>
    <x v="6"/>
    <x v="6"/>
  </r>
  <r>
    <n v="184143564"/>
    <x v="137"/>
    <x v="288"/>
    <x v="0"/>
    <n v="39"/>
    <s v="month"/>
    <n v="124"/>
    <x v="6"/>
    <x v="6"/>
  </r>
  <r>
    <n v="179508142"/>
    <x v="137"/>
    <x v="232"/>
    <x v="0"/>
    <n v="39"/>
    <s v="month"/>
    <n v="146"/>
    <x v="6"/>
    <x v="6"/>
  </r>
  <r>
    <n v="188269607"/>
    <x v="137"/>
    <x v="23"/>
    <x v="0"/>
    <n v="39"/>
    <s v="month"/>
    <n v="88"/>
    <x v="6"/>
    <x v="6"/>
  </r>
  <r>
    <n v="181890100"/>
    <x v="137"/>
    <x v="208"/>
    <x v="0"/>
    <n v="39"/>
    <s v="month"/>
    <n v="67"/>
    <x v="6"/>
    <x v="6"/>
  </r>
  <r>
    <n v="185642830"/>
    <x v="137"/>
    <x v="218"/>
    <x v="0"/>
    <n v="39"/>
    <s v="month"/>
    <n v="55"/>
    <x v="6"/>
    <x v="6"/>
  </r>
  <r>
    <n v="152223051"/>
    <x v="137"/>
    <x v="264"/>
    <x v="0"/>
    <n v="39"/>
    <s v="month"/>
    <n v="38"/>
    <x v="6"/>
    <x v="6"/>
  </r>
  <r>
    <n v="156067850"/>
    <x v="137"/>
    <x v="198"/>
    <x v="0"/>
    <n v="39"/>
    <s v="month"/>
    <n v="31"/>
    <x v="6"/>
    <x v="6"/>
  </r>
  <r>
    <n v="188701816"/>
    <x v="137"/>
    <x v="280"/>
    <x v="0"/>
    <n v="39"/>
    <s v="month"/>
    <n v="30"/>
    <x v="6"/>
    <x v="6"/>
  </r>
  <r>
    <n v="188133192"/>
    <x v="137"/>
    <x v="26"/>
    <x v="0"/>
    <n v="39"/>
    <s v="month"/>
    <n v="32"/>
    <x v="6"/>
    <x v="6"/>
  </r>
  <r>
    <n v="183936068"/>
    <x v="137"/>
    <x v="244"/>
    <x v="0"/>
    <n v="39"/>
    <s v="month"/>
    <n v="166"/>
    <x v="6"/>
    <x v="6"/>
  </r>
  <r>
    <n v="188119778"/>
    <x v="137"/>
    <x v="180"/>
    <x v="0"/>
    <n v="39"/>
    <s v="month"/>
    <n v="151"/>
    <x v="6"/>
    <x v="6"/>
  </r>
  <r>
    <n v="189410056"/>
    <x v="138"/>
    <x v="0"/>
    <x v="0"/>
    <n v="39"/>
    <s v="month"/>
    <s v="Not Cancelled"/>
    <x v="0"/>
    <x v="0"/>
  </r>
  <r>
    <n v="184970659"/>
    <x v="138"/>
    <x v="0"/>
    <x v="0"/>
    <n v="39"/>
    <s v="month"/>
    <s v="Not Cancelled"/>
    <x v="0"/>
    <x v="0"/>
  </r>
  <r>
    <n v="148476648"/>
    <x v="138"/>
    <x v="82"/>
    <x v="0"/>
    <n v="39"/>
    <s v="month"/>
    <n v="113"/>
    <x v="0"/>
    <x v="0"/>
  </r>
  <r>
    <n v="189289885"/>
    <x v="138"/>
    <x v="289"/>
    <x v="0"/>
    <n v="39"/>
    <s v="month"/>
    <n v="91"/>
    <x v="0"/>
    <x v="0"/>
  </r>
  <r>
    <n v="150442182"/>
    <x v="138"/>
    <x v="277"/>
    <x v="0"/>
    <n v="39"/>
    <s v="month"/>
    <n v="59"/>
    <x v="0"/>
    <x v="0"/>
  </r>
  <r>
    <n v="184826230"/>
    <x v="138"/>
    <x v="59"/>
    <x v="0"/>
    <n v="39"/>
    <s v="month"/>
    <n v="27"/>
    <x v="0"/>
    <x v="0"/>
  </r>
  <r>
    <n v="184786342"/>
    <x v="138"/>
    <x v="229"/>
    <x v="0"/>
    <n v="39"/>
    <s v="month"/>
    <n v="0"/>
    <x v="0"/>
    <x v="0"/>
  </r>
  <r>
    <n v="181565760"/>
    <x v="138"/>
    <x v="134"/>
    <x v="0"/>
    <n v="39"/>
    <s v="month"/>
    <n v="7"/>
    <x v="0"/>
    <x v="0"/>
  </r>
  <r>
    <n v="189278478"/>
    <x v="139"/>
    <x v="0"/>
    <x v="0"/>
    <n v="39"/>
    <s v="month"/>
    <s v="Not Cancelled"/>
    <x v="1"/>
    <x v="1"/>
  </r>
  <r>
    <n v="184066428"/>
    <x v="139"/>
    <x v="0"/>
    <x v="0"/>
    <n v="39"/>
    <s v="month"/>
    <s v="Not Cancelled"/>
    <x v="1"/>
    <x v="1"/>
  </r>
  <r>
    <n v="135771077"/>
    <x v="139"/>
    <x v="0"/>
    <x v="0"/>
    <n v="39"/>
    <s v="month"/>
    <s v="Not Cancelled"/>
    <x v="1"/>
    <x v="1"/>
  </r>
  <r>
    <n v="184831280"/>
    <x v="139"/>
    <x v="96"/>
    <x v="0"/>
    <n v="39"/>
    <s v="month"/>
    <n v="109"/>
    <x v="1"/>
    <x v="1"/>
  </r>
  <r>
    <n v="188828652"/>
    <x v="139"/>
    <x v="251"/>
    <x v="0"/>
    <n v="39"/>
    <s v="month"/>
    <n v="101"/>
    <x v="1"/>
    <x v="1"/>
  </r>
  <r>
    <n v="188666673"/>
    <x v="139"/>
    <x v="278"/>
    <x v="0"/>
    <n v="39"/>
    <s v="month"/>
    <n v="47"/>
    <x v="1"/>
    <x v="1"/>
  </r>
  <r>
    <n v="189880452"/>
    <x v="139"/>
    <x v="26"/>
    <x v="0"/>
    <n v="39"/>
    <s v="month"/>
    <n v="30"/>
    <x v="1"/>
    <x v="1"/>
  </r>
  <r>
    <n v="160986271"/>
    <x v="139"/>
    <x v="188"/>
    <x v="0"/>
    <n v="39"/>
    <s v="month"/>
    <n v="38"/>
    <x v="1"/>
    <x v="1"/>
  </r>
  <r>
    <n v="187895888"/>
    <x v="139"/>
    <x v="206"/>
    <x v="0"/>
    <n v="39"/>
    <s v="month"/>
    <n v="24"/>
    <x v="1"/>
    <x v="1"/>
  </r>
  <r>
    <n v="190871376"/>
    <x v="140"/>
    <x v="0"/>
    <x v="0"/>
    <n v="39"/>
    <s v="month"/>
    <s v="Not Cancelled"/>
    <x v="2"/>
    <x v="2"/>
  </r>
  <r>
    <n v="166750222"/>
    <x v="140"/>
    <x v="101"/>
    <x v="0"/>
    <n v="39"/>
    <s v="month"/>
    <n v="101"/>
    <x v="2"/>
    <x v="2"/>
  </r>
  <r>
    <n v="189360536"/>
    <x v="140"/>
    <x v="152"/>
    <x v="0"/>
    <n v="39"/>
    <s v="month"/>
    <n v="94"/>
    <x v="2"/>
    <x v="2"/>
  </r>
  <r>
    <n v="188197564"/>
    <x v="140"/>
    <x v="289"/>
    <x v="0"/>
    <n v="39"/>
    <s v="month"/>
    <n v="89"/>
    <x v="2"/>
    <x v="2"/>
  </r>
  <r>
    <n v="191034251"/>
    <x v="140"/>
    <x v="59"/>
    <x v="0"/>
    <n v="39"/>
    <s v="month"/>
    <n v="25"/>
    <x v="2"/>
    <x v="2"/>
  </r>
  <r>
    <n v="182972593"/>
    <x v="140"/>
    <x v="247"/>
    <x v="0"/>
    <n v="39"/>
    <s v="month"/>
    <n v="13"/>
    <x v="2"/>
    <x v="2"/>
  </r>
  <r>
    <n v="182958960"/>
    <x v="141"/>
    <x v="115"/>
    <x v="0"/>
    <n v="39"/>
    <s v="month"/>
    <n v="1"/>
    <x v="3"/>
    <x v="3"/>
  </r>
  <r>
    <n v="163220556"/>
    <x v="141"/>
    <x v="162"/>
    <x v="0"/>
    <n v="39"/>
    <s v="month"/>
    <n v="46"/>
    <x v="3"/>
    <x v="3"/>
  </r>
  <r>
    <n v="191730833"/>
    <x v="141"/>
    <x v="233"/>
    <x v="0"/>
    <n v="39"/>
    <s v="month"/>
    <n v="58"/>
    <x v="3"/>
    <x v="3"/>
  </r>
  <r>
    <n v="189680563"/>
    <x v="141"/>
    <x v="233"/>
    <x v="0"/>
    <n v="39"/>
    <s v="month"/>
    <n v="58"/>
    <x v="3"/>
    <x v="3"/>
  </r>
  <r>
    <n v="190666110"/>
    <x v="142"/>
    <x v="0"/>
    <x v="0"/>
    <n v="39"/>
    <s v="month"/>
    <s v="Not Cancelled"/>
    <x v="4"/>
    <x v="4"/>
  </r>
  <r>
    <n v="180622613"/>
    <x v="142"/>
    <x v="0"/>
    <x v="0"/>
    <n v="39"/>
    <s v="month"/>
    <s v="Not Cancelled"/>
    <x v="4"/>
    <x v="4"/>
  </r>
  <r>
    <n v="188827172"/>
    <x v="142"/>
    <x v="0"/>
    <x v="0"/>
    <n v="39"/>
    <s v="month"/>
    <s v="Not Cancelled"/>
    <x v="4"/>
    <x v="4"/>
  </r>
  <r>
    <n v="188068965"/>
    <x v="142"/>
    <x v="159"/>
    <x v="0"/>
    <n v="39"/>
    <s v="month"/>
    <n v="127"/>
    <x v="4"/>
    <x v="4"/>
  </r>
  <r>
    <n v="182958960"/>
    <x v="142"/>
    <x v="161"/>
    <x v="0"/>
    <n v="39"/>
    <s v="month"/>
    <n v="38"/>
    <x v="4"/>
    <x v="4"/>
  </r>
  <r>
    <n v="191999674"/>
    <x v="142"/>
    <x v="206"/>
    <x v="0"/>
    <n v="39"/>
    <s v="month"/>
    <n v="21"/>
    <x v="4"/>
    <x v="4"/>
  </r>
  <r>
    <n v="183451114"/>
    <x v="142"/>
    <x v="211"/>
    <x v="0"/>
    <n v="39"/>
    <s v="month"/>
    <n v="219"/>
    <x v="4"/>
    <x v="4"/>
  </r>
  <r>
    <n v="191807491"/>
    <x v="143"/>
    <x v="0"/>
    <x v="0"/>
    <n v="39"/>
    <s v="month"/>
    <s v="Not Cancelled"/>
    <x v="5"/>
    <x v="5"/>
  </r>
  <r>
    <n v="157833252"/>
    <x v="143"/>
    <x v="290"/>
    <x v="0"/>
    <n v="39"/>
    <s v="month"/>
    <n v="226"/>
    <x v="5"/>
    <x v="5"/>
  </r>
  <r>
    <n v="188162430"/>
    <x v="143"/>
    <x v="291"/>
    <x v="0"/>
    <n v="39"/>
    <s v="month"/>
    <n v="143"/>
    <x v="5"/>
    <x v="5"/>
  </r>
  <r>
    <n v="190733249"/>
    <x v="143"/>
    <x v="253"/>
    <x v="0"/>
    <n v="39"/>
    <s v="month"/>
    <n v="55"/>
    <x v="5"/>
    <x v="5"/>
  </r>
  <r>
    <n v="192539054"/>
    <x v="143"/>
    <x v="271"/>
    <x v="0"/>
    <n v="39"/>
    <s v="month"/>
    <n v="35"/>
    <x v="5"/>
    <x v="5"/>
  </r>
  <r>
    <n v="193572822"/>
    <x v="143"/>
    <x v="230"/>
    <x v="0"/>
    <n v="39"/>
    <s v="month"/>
    <n v="27"/>
    <x v="5"/>
    <x v="5"/>
  </r>
  <r>
    <n v="141399368"/>
    <x v="144"/>
    <x v="0"/>
    <x v="0"/>
    <n v="39"/>
    <s v="month"/>
    <s v="Not Cancelled"/>
    <x v="6"/>
    <x v="6"/>
  </r>
  <r>
    <n v="193285633"/>
    <x v="144"/>
    <x v="0"/>
    <x v="0"/>
    <n v="39"/>
    <s v="month"/>
    <s v="Not Cancelled"/>
    <x v="6"/>
    <x v="6"/>
  </r>
  <r>
    <n v="193891378"/>
    <x v="144"/>
    <x v="0"/>
    <x v="0"/>
    <n v="39"/>
    <s v="month"/>
    <s v="Not Cancelled"/>
    <x v="6"/>
    <x v="6"/>
  </r>
  <r>
    <n v="153628260"/>
    <x v="144"/>
    <x v="134"/>
    <x v="0"/>
    <n v="39"/>
    <s v="month"/>
    <n v="1"/>
    <x v="6"/>
    <x v="6"/>
  </r>
  <r>
    <n v="194719566"/>
    <x v="144"/>
    <x v="84"/>
    <x v="1"/>
    <n v="39"/>
    <s v="month"/>
    <n v="0"/>
    <x v="6"/>
    <x v="6"/>
  </r>
  <r>
    <n v="176559401"/>
    <x v="144"/>
    <x v="84"/>
    <x v="1"/>
    <n v="39"/>
    <s v="month"/>
    <n v="0"/>
    <x v="6"/>
    <x v="6"/>
  </r>
  <r>
    <n v="150178354"/>
    <x v="144"/>
    <x v="45"/>
    <x v="0"/>
    <n v="39"/>
    <s v="month"/>
    <n v="120"/>
    <x v="6"/>
    <x v="6"/>
  </r>
  <r>
    <n v="192395073"/>
    <x v="144"/>
    <x v="128"/>
    <x v="0"/>
    <n v="39"/>
    <s v="month"/>
    <n v="71"/>
    <x v="6"/>
    <x v="6"/>
  </r>
  <r>
    <n v="152690237"/>
    <x v="144"/>
    <x v="223"/>
    <x v="0"/>
    <n v="39"/>
    <s v="month"/>
    <n v="56"/>
    <x v="6"/>
    <x v="6"/>
  </r>
  <r>
    <n v="151572886"/>
    <x v="144"/>
    <x v="33"/>
    <x v="0"/>
    <n v="39"/>
    <s v="month"/>
    <n v="46"/>
    <x v="6"/>
    <x v="6"/>
  </r>
  <r>
    <n v="193869975"/>
    <x v="144"/>
    <x v="142"/>
    <x v="0"/>
    <n v="39"/>
    <s v="month"/>
    <n v="49"/>
    <x v="6"/>
    <x v="6"/>
  </r>
  <r>
    <n v="175077871"/>
    <x v="144"/>
    <x v="142"/>
    <x v="0"/>
    <n v="39"/>
    <s v="month"/>
    <n v="49"/>
    <x v="6"/>
    <x v="6"/>
  </r>
  <r>
    <n v="193229869"/>
    <x v="144"/>
    <x v="50"/>
    <x v="0"/>
    <n v="39"/>
    <s v="month"/>
    <n v="35"/>
    <x v="6"/>
    <x v="6"/>
  </r>
  <r>
    <n v="189257579"/>
    <x v="145"/>
    <x v="0"/>
    <x v="0"/>
    <n v="39"/>
    <s v="month"/>
    <s v="Not Cancelled"/>
    <x v="0"/>
    <x v="0"/>
  </r>
  <r>
    <n v="184333409"/>
    <x v="145"/>
    <x v="0"/>
    <x v="0"/>
    <n v="39"/>
    <s v="month"/>
    <s v="Not Cancelled"/>
    <x v="0"/>
    <x v="0"/>
  </r>
  <r>
    <n v="144719454"/>
    <x v="145"/>
    <x v="0"/>
    <x v="0"/>
    <n v="39"/>
    <s v="month"/>
    <s v="Not Cancelled"/>
    <x v="0"/>
    <x v="0"/>
  </r>
  <r>
    <n v="195759475"/>
    <x v="145"/>
    <x v="0"/>
    <x v="0"/>
    <n v="39"/>
    <s v="month"/>
    <s v="Not Cancelled"/>
    <x v="0"/>
    <x v="0"/>
  </r>
  <r>
    <n v="167602454"/>
    <x v="145"/>
    <x v="0"/>
    <x v="0"/>
    <n v="39"/>
    <s v="month"/>
    <s v="Not Cancelled"/>
    <x v="0"/>
    <x v="0"/>
  </r>
  <r>
    <n v="148838269"/>
    <x v="145"/>
    <x v="0"/>
    <x v="0"/>
    <n v="39"/>
    <s v="month"/>
    <s v="Not Cancelled"/>
    <x v="0"/>
    <x v="0"/>
  </r>
  <r>
    <n v="195938394"/>
    <x v="145"/>
    <x v="147"/>
    <x v="0"/>
    <n v="39"/>
    <s v="month"/>
    <n v="148"/>
    <x v="0"/>
    <x v="0"/>
  </r>
  <r>
    <n v="194091086"/>
    <x v="145"/>
    <x v="156"/>
    <x v="0"/>
    <n v="39"/>
    <s v="month"/>
    <n v="68"/>
    <x v="0"/>
    <x v="0"/>
  </r>
  <r>
    <n v="181456580"/>
    <x v="145"/>
    <x v="275"/>
    <x v="0"/>
    <n v="39"/>
    <s v="month"/>
    <n v="87"/>
    <x v="0"/>
    <x v="0"/>
  </r>
  <r>
    <n v="169302100"/>
    <x v="145"/>
    <x v="292"/>
    <x v="0"/>
    <n v="39"/>
    <s v="month"/>
    <n v="63"/>
    <x v="0"/>
    <x v="0"/>
  </r>
  <r>
    <n v="180997025"/>
    <x v="145"/>
    <x v="281"/>
    <x v="0"/>
    <n v="39"/>
    <s v="month"/>
    <n v="38"/>
    <x v="0"/>
    <x v="0"/>
  </r>
  <r>
    <n v="196091620"/>
    <x v="145"/>
    <x v="170"/>
    <x v="0"/>
    <n v="39"/>
    <s v="month"/>
    <n v="7"/>
    <x v="0"/>
    <x v="0"/>
  </r>
  <r>
    <n v="189277140"/>
    <x v="145"/>
    <x v="184"/>
    <x v="0"/>
    <n v="39"/>
    <s v="month"/>
    <n v="28"/>
    <x v="0"/>
    <x v="0"/>
  </r>
  <r>
    <n v="195279352"/>
    <x v="145"/>
    <x v="184"/>
    <x v="0"/>
    <n v="39"/>
    <s v="month"/>
    <n v="28"/>
    <x v="0"/>
    <x v="0"/>
  </r>
  <r>
    <n v="191113428"/>
    <x v="145"/>
    <x v="134"/>
    <x v="0"/>
    <n v="39"/>
    <s v="month"/>
    <n v="0"/>
    <x v="0"/>
    <x v="0"/>
  </r>
  <r>
    <n v="193802414"/>
    <x v="145"/>
    <x v="293"/>
    <x v="0"/>
    <n v="39"/>
    <s v="month"/>
    <n v="152"/>
    <x v="0"/>
    <x v="0"/>
  </r>
  <r>
    <n v="115735280"/>
    <x v="146"/>
    <x v="0"/>
    <x v="0"/>
    <n v="39"/>
    <s v="month"/>
    <s v="Not Cancelled"/>
    <x v="1"/>
    <x v="1"/>
  </r>
  <r>
    <n v="153026024"/>
    <x v="146"/>
    <x v="0"/>
    <x v="0"/>
    <n v="39"/>
    <s v="month"/>
    <s v="Not Cancelled"/>
    <x v="1"/>
    <x v="1"/>
  </r>
  <r>
    <n v="196069557"/>
    <x v="146"/>
    <x v="0"/>
    <x v="0"/>
    <n v="39"/>
    <s v="month"/>
    <s v="Not Cancelled"/>
    <x v="1"/>
    <x v="1"/>
  </r>
  <r>
    <n v="193666586"/>
    <x v="146"/>
    <x v="0"/>
    <x v="0"/>
    <n v="39"/>
    <s v="month"/>
    <s v="Not Cancelled"/>
    <x v="1"/>
    <x v="1"/>
  </r>
  <r>
    <n v="192550222"/>
    <x v="146"/>
    <x v="0"/>
    <x v="0"/>
    <n v="39"/>
    <s v="month"/>
    <s v="Not Cancelled"/>
    <x v="1"/>
    <x v="1"/>
  </r>
  <r>
    <n v="196022560"/>
    <x v="146"/>
    <x v="294"/>
    <x v="0"/>
    <n v="39"/>
    <s v="month"/>
    <n v="221"/>
    <x v="1"/>
    <x v="1"/>
  </r>
  <r>
    <n v="196715854"/>
    <x v="146"/>
    <x v="269"/>
    <x v="1"/>
    <n v="39"/>
    <s v="month"/>
    <n v="1"/>
    <x v="1"/>
    <x v="1"/>
  </r>
  <r>
    <n v="196969212"/>
    <x v="146"/>
    <x v="266"/>
    <x v="0"/>
    <n v="39"/>
    <s v="month"/>
    <n v="87"/>
    <x v="1"/>
    <x v="1"/>
  </r>
  <r>
    <n v="196308725"/>
    <x v="146"/>
    <x v="189"/>
    <x v="0"/>
    <n v="39"/>
    <s v="month"/>
    <n v="63"/>
    <x v="1"/>
    <x v="1"/>
  </r>
  <r>
    <n v="196245690"/>
    <x v="146"/>
    <x v="95"/>
    <x v="0"/>
    <n v="39"/>
    <s v="month"/>
    <n v="59"/>
    <x v="1"/>
    <x v="1"/>
  </r>
  <r>
    <n v="195988242"/>
    <x v="146"/>
    <x v="70"/>
    <x v="0"/>
    <n v="39"/>
    <s v="month"/>
    <n v="38"/>
    <x v="1"/>
    <x v="1"/>
  </r>
  <r>
    <n v="192068317"/>
    <x v="146"/>
    <x v="125"/>
    <x v="0"/>
    <n v="39"/>
    <s v="month"/>
    <n v="60"/>
    <x v="1"/>
    <x v="1"/>
  </r>
  <r>
    <n v="195039185"/>
    <x v="146"/>
    <x v="184"/>
    <x v="0"/>
    <n v="39"/>
    <s v="month"/>
    <n v="27"/>
    <x v="1"/>
    <x v="1"/>
  </r>
  <r>
    <n v="188563149"/>
    <x v="146"/>
    <x v="55"/>
    <x v="0"/>
    <n v="39"/>
    <s v="month"/>
    <n v="201"/>
    <x v="1"/>
    <x v="1"/>
  </r>
  <r>
    <n v="188748439"/>
    <x v="146"/>
    <x v="295"/>
    <x v="0"/>
    <n v="39"/>
    <s v="month"/>
    <n v="204"/>
    <x v="1"/>
    <x v="1"/>
  </r>
  <r>
    <n v="160873880"/>
    <x v="147"/>
    <x v="0"/>
    <x v="0"/>
    <n v="39"/>
    <s v="month"/>
    <s v="Not Cancelled"/>
    <x v="2"/>
    <x v="2"/>
  </r>
  <r>
    <n v="160379194"/>
    <x v="147"/>
    <x v="269"/>
    <x v="0"/>
    <n v="39"/>
    <s v="month"/>
    <n v="0"/>
    <x v="2"/>
    <x v="2"/>
  </r>
  <r>
    <n v="194169961"/>
    <x v="147"/>
    <x v="272"/>
    <x v="0"/>
    <n v="39"/>
    <s v="month"/>
    <n v="55"/>
    <x v="2"/>
    <x v="2"/>
  </r>
  <r>
    <n v="184209232"/>
    <x v="147"/>
    <x v="191"/>
    <x v="0"/>
    <n v="39"/>
    <s v="month"/>
    <n v="38"/>
    <x v="2"/>
    <x v="2"/>
  </r>
  <r>
    <n v="195198228"/>
    <x v="147"/>
    <x v="280"/>
    <x v="0"/>
    <n v="39"/>
    <s v="month"/>
    <n v="20"/>
    <x v="2"/>
    <x v="2"/>
  </r>
  <r>
    <n v="153657568"/>
    <x v="148"/>
    <x v="0"/>
    <x v="0"/>
    <n v="39"/>
    <s v="month"/>
    <s v="Not Cancelled"/>
    <x v="3"/>
    <x v="3"/>
  </r>
  <r>
    <n v="127697219"/>
    <x v="148"/>
    <x v="45"/>
    <x v="0"/>
    <n v="39"/>
    <s v="month"/>
    <n v="116"/>
    <x v="3"/>
    <x v="3"/>
  </r>
  <r>
    <n v="198448283"/>
    <x v="148"/>
    <x v="241"/>
    <x v="0"/>
    <n v="39"/>
    <s v="month"/>
    <n v="158"/>
    <x v="3"/>
    <x v="3"/>
  </r>
  <r>
    <n v="159483118"/>
    <x v="148"/>
    <x v="50"/>
    <x v="0"/>
    <n v="39"/>
    <s v="month"/>
    <n v="31"/>
    <x v="3"/>
    <x v="3"/>
  </r>
  <r>
    <n v="152433647"/>
    <x v="148"/>
    <x v="32"/>
    <x v="0"/>
    <n v="39"/>
    <s v="month"/>
    <n v="43"/>
    <x v="3"/>
    <x v="3"/>
  </r>
  <r>
    <n v="154790198"/>
    <x v="148"/>
    <x v="59"/>
    <x v="0"/>
    <n v="39"/>
    <s v="month"/>
    <n v="17"/>
    <x v="3"/>
    <x v="3"/>
  </r>
  <r>
    <n v="191896242"/>
    <x v="149"/>
    <x v="0"/>
    <x v="0"/>
    <n v="39"/>
    <s v="month"/>
    <s v="Not Cancelled"/>
    <x v="4"/>
    <x v="4"/>
  </r>
  <r>
    <n v="136407072"/>
    <x v="149"/>
    <x v="296"/>
    <x v="0"/>
    <n v="39"/>
    <s v="month"/>
    <n v="182"/>
    <x v="4"/>
    <x v="4"/>
  </r>
  <r>
    <n v="199439964"/>
    <x v="149"/>
    <x v="268"/>
    <x v="0"/>
    <n v="39"/>
    <s v="month"/>
    <n v="127"/>
    <x v="4"/>
    <x v="4"/>
  </r>
  <r>
    <n v="199255574"/>
    <x v="149"/>
    <x v="173"/>
    <x v="0"/>
    <n v="39"/>
    <s v="month"/>
    <n v="142"/>
    <x v="4"/>
    <x v="4"/>
  </r>
  <r>
    <n v="167938302"/>
    <x v="149"/>
    <x v="128"/>
    <x v="0"/>
    <n v="39"/>
    <s v="month"/>
    <n v="66"/>
    <x v="4"/>
    <x v="4"/>
  </r>
  <r>
    <n v="154173057"/>
    <x v="149"/>
    <x v="297"/>
    <x v="0"/>
    <n v="39"/>
    <s v="month"/>
    <n v="5"/>
    <x v="4"/>
    <x v="4"/>
  </r>
  <r>
    <n v="153199550"/>
    <x v="149"/>
    <x v="170"/>
    <x v="0"/>
    <n v="39"/>
    <s v="month"/>
    <n v="3"/>
    <x v="4"/>
    <x v="4"/>
  </r>
  <r>
    <n v="199302158"/>
    <x v="149"/>
    <x v="170"/>
    <x v="0"/>
    <n v="39"/>
    <s v="month"/>
    <n v="3"/>
    <x v="4"/>
    <x v="4"/>
  </r>
  <r>
    <n v="187482966"/>
    <x v="149"/>
    <x v="252"/>
    <x v="0"/>
    <n v="39"/>
    <s v="month"/>
    <n v="191"/>
    <x v="4"/>
    <x v="4"/>
  </r>
  <r>
    <n v="168436547"/>
    <x v="149"/>
    <x v="240"/>
    <x v="0"/>
    <n v="39"/>
    <s v="month"/>
    <n v="171"/>
    <x v="4"/>
    <x v="4"/>
  </r>
  <r>
    <n v="195007481"/>
    <x v="150"/>
    <x v="0"/>
    <x v="0"/>
    <n v="39"/>
    <s v="month"/>
    <s v="Not Cancelled"/>
    <x v="5"/>
    <x v="5"/>
  </r>
  <r>
    <n v="181830574"/>
    <x v="150"/>
    <x v="0"/>
    <x v="0"/>
    <n v="39"/>
    <s v="month"/>
    <s v="Not Cancelled"/>
    <x v="5"/>
    <x v="5"/>
  </r>
  <r>
    <n v="198691553"/>
    <x v="150"/>
    <x v="0"/>
    <x v="0"/>
    <n v="39"/>
    <s v="month"/>
    <s v="Not Cancelled"/>
    <x v="5"/>
    <x v="5"/>
  </r>
  <r>
    <n v="200001674"/>
    <x v="150"/>
    <x v="178"/>
    <x v="0"/>
    <n v="39"/>
    <s v="month"/>
    <n v="117"/>
    <x v="5"/>
    <x v="5"/>
  </r>
  <r>
    <n v="200252155"/>
    <x v="150"/>
    <x v="298"/>
    <x v="0"/>
    <n v="39"/>
    <s v="month"/>
    <n v="127"/>
    <x v="5"/>
    <x v="5"/>
  </r>
  <r>
    <n v="188206991"/>
    <x v="150"/>
    <x v="299"/>
    <x v="0"/>
    <n v="39"/>
    <s v="month"/>
    <n v="76"/>
    <x v="5"/>
    <x v="5"/>
  </r>
  <r>
    <n v="184330352"/>
    <x v="150"/>
    <x v="300"/>
    <x v="0"/>
    <n v="39"/>
    <s v="month"/>
    <n v="89"/>
    <x v="5"/>
    <x v="5"/>
  </r>
  <r>
    <n v="198701510"/>
    <x v="150"/>
    <x v="286"/>
    <x v="0"/>
    <n v="39"/>
    <s v="month"/>
    <n v="74"/>
    <x v="5"/>
    <x v="5"/>
  </r>
  <r>
    <n v="164909402"/>
    <x v="150"/>
    <x v="188"/>
    <x v="0"/>
    <n v="39"/>
    <s v="month"/>
    <n v="27"/>
    <x v="5"/>
    <x v="5"/>
  </r>
  <r>
    <n v="126737063"/>
    <x v="150"/>
    <x v="63"/>
    <x v="0"/>
    <n v="39"/>
    <s v="month"/>
    <n v="199"/>
    <x v="5"/>
    <x v="5"/>
  </r>
  <r>
    <n v="194472898"/>
    <x v="151"/>
    <x v="0"/>
    <x v="0"/>
    <n v="39"/>
    <s v="month"/>
    <s v="Not Cancelled"/>
    <x v="6"/>
    <x v="6"/>
  </r>
  <r>
    <n v="200962065"/>
    <x v="151"/>
    <x v="0"/>
    <x v="0"/>
    <n v="39"/>
    <s v="month"/>
    <s v="Not Cancelled"/>
    <x v="6"/>
    <x v="6"/>
  </r>
  <r>
    <n v="196821289"/>
    <x v="151"/>
    <x v="0"/>
    <x v="0"/>
    <n v="39"/>
    <s v="month"/>
    <s v="Not Cancelled"/>
    <x v="6"/>
    <x v="6"/>
  </r>
  <r>
    <n v="200867442"/>
    <x v="151"/>
    <x v="0"/>
    <x v="0"/>
    <n v="39"/>
    <s v="month"/>
    <s v="Not Cancelled"/>
    <x v="6"/>
    <x v="6"/>
  </r>
  <r>
    <n v="187855576"/>
    <x v="151"/>
    <x v="0"/>
    <x v="0"/>
    <n v="39"/>
    <s v="month"/>
    <s v="Not Cancelled"/>
    <x v="6"/>
    <x v="6"/>
  </r>
  <r>
    <n v="198475060"/>
    <x v="151"/>
    <x v="170"/>
    <x v="1"/>
    <n v="39"/>
    <s v="month"/>
    <n v="1"/>
    <x v="6"/>
    <x v="6"/>
  </r>
  <r>
    <n v="137201021"/>
    <x v="151"/>
    <x v="3"/>
    <x v="0"/>
    <n v="39"/>
    <s v="month"/>
    <n v="148"/>
    <x v="6"/>
    <x v="6"/>
  </r>
  <r>
    <n v="192942271"/>
    <x v="151"/>
    <x v="293"/>
    <x v="0"/>
    <n v="39"/>
    <s v="month"/>
    <n v="146"/>
    <x v="6"/>
    <x v="6"/>
  </r>
  <r>
    <n v="155088727"/>
    <x v="151"/>
    <x v="45"/>
    <x v="0"/>
    <n v="39"/>
    <s v="month"/>
    <n v="113"/>
    <x v="6"/>
    <x v="6"/>
  </r>
  <r>
    <n v="145416349"/>
    <x v="151"/>
    <x v="251"/>
    <x v="0"/>
    <n v="39"/>
    <s v="month"/>
    <n v="89"/>
    <x v="6"/>
    <x v="6"/>
  </r>
  <r>
    <n v="154064672"/>
    <x v="151"/>
    <x v="152"/>
    <x v="0"/>
    <n v="39"/>
    <s v="month"/>
    <n v="83"/>
    <x v="6"/>
    <x v="6"/>
  </r>
  <r>
    <n v="174670793"/>
    <x v="151"/>
    <x v="275"/>
    <x v="0"/>
    <n v="39"/>
    <s v="month"/>
    <n v="81"/>
    <x v="6"/>
    <x v="6"/>
  </r>
  <r>
    <n v="200600365"/>
    <x v="151"/>
    <x v="257"/>
    <x v="0"/>
    <n v="39"/>
    <s v="month"/>
    <n v="71"/>
    <x v="6"/>
    <x v="6"/>
  </r>
  <r>
    <n v="196253752"/>
    <x v="151"/>
    <x v="26"/>
    <x v="0"/>
    <n v="39"/>
    <s v="month"/>
    <n v="18"/>
    <x v="6"/>
    <x v="6"/>
  </r>
  <r>
    <n v="148710722"/>
    <x v="151"/>
    <x v="247"/>
    <x v="0"/>
    <n v="39"/>
    <s v="month"/>
    <n v="2"/>
    <x v="6"/>
    <x v="6"/>
  </r>
  <r>
    <n v="201015936"/>
    <x v="151"/>
    <x v="210"/>
    <x v="0"/>
    <n v="39"/>
    <s v="month"/>
    <n v="13"/>
    <x v="6"/>
    <x v="6"/>
  </r>
  <r>
    <n v="200766423"/>
    <x v="151"/>
    <x v="136"/>
    <x v="0"/>
    <n v="39"/>
    <s v="month"/>
    <n v="5"/>
    <x v="6"/>
    <x v="6"/>
  </r>
  <r>
    <n v="188152753"/>
    <x v="151"/>
    <x v="276"/>
    <x v="0"/>
    <n v="39"/>
    <s v="month"/>
    <n v="37"/>
    <x v="6"/>
    <x v="6"/>
  </r>
  <r>
    <n v="194406214"/>
    <x v="151"/>
    <x v="301"/>
    <x v="0"/>
    <n v="39"/>
    <s v="month"/>
    <n v="191"/>
    <x v="6"/>
    <x v="6"/>
  </r>
  <r>
    <n v="199388324"/>
    <x v="152"/>
    <x v="0"/>
    <x v="0"/>
    <n v="39"/>
    <s v="month"/>
    <s v="Not Cancelled"/>
    <x v="0"/>
    <x v="0"/>
  </r>
  <r>
    <n v="202030516"/>
    <x v="152"/>
    <x v="0"/>
    <x v="0"/>
    <n v="39"/>
    <s v="month"/>
    <s v="Not Cancelled"/>
    <x v="0"/>
    <x v="0"/>
  </r>
  <r>
    <n v="196926212"/>
    <x v="152"/>
    <x v="0"/>
    <x v="0"/>
    <n v="39"/>
    <s v="month"/>
    <s v="Not Cancelled"/>
    <x v="0"/>
    <x v="0"/>
  </r>
  <r>
    <n v="199374328"/>
    <x v="152"/>
    <x v="241"/>
    <x v="0"/>
    <n v="39"/>
    <s v="month"/>
    <n v="154"/>
    <x v="0"/>
    <x v="0"/>
  </r>
  <r>
    <n v="201313318"/>
    <x v="152"/>
    <x v="159"/>
    <x v="0"/>
    <n v="39"/>
    <s v="month"/>
    <n v="117"/>
    <x v="0"/>
    <x v="0"/>
  </r>
  <r>
    <n v="200960179"/>
    <x v="152"/>
    <x v="285"/>
    <x v="0"/>
    <n v="39"/>
    <s v="month"/>
    <n v="118"/>
    <x v="0"/>
    <x v="0"/>
  </r>
  <r>
    <n v="180890046"/>
    <x v="152"/>
    <x v="267"/>
    <x v="0"/>
    <n v="39"/>
    <s v="month"/>
    <n v="114"/>
    <x v="0"/>
    <x v="0"/>
  </r>
  <r>
    <n v="159227956"/>
    <x v="152"/>
    <x v="96"/>
    <x v="0"/>
    <n v="39"/>
    <s v="month"/>
    <n v="96"/>
    <x v="0"/>
    <x v="0"/>
  </r>
  <r>
    <n v="182325407"/>
    <x v="152"/>
    <x v="145"/>
    <x v="0"/>
    <n v="39"/>
    <s v="month"/>
    <n v="60"/>
    <x v="0"/>
    <x v="0"/>
  </r>
  <r>
    <n v="194828965"/>
    <x v="152"/>
    <x v="146"/>
    <x v="0"/>
    <n v="39"/>
    <s v="month"/>
    <n v="59"/>
    <x v="0"/>
    <x v="0"/>
  </r>
  <r>
    <n v="202139613"/>
    <x v="152"/>
    <x v="70"/>
    <x v="0"/>
    <n v="39"/>
    <s v="month"/>
    <n v="32"/>
    <x v="0"/>
    <x v="0"/>
  </r>
  <r>
    <n v="202137510"/>
    <x v="152"/>
    <x v="276"/>
    <x v="0"/>
    <n v="39"/>
    <s v="month"/>
    <n v="36"/>
    <x v="0"/>
    <x v="0"/>
  </r>
  <r>
    <n v="201182176"/>
    <x v="152"/>
    <x v="161"/>
    <x v="0"/>
    <n v="39"/>
    <s v="month"/>
    <n v="28"/>
    <x v="0"/>
    <x v="0"/>
  </r>
  <r>
    <n v="202010803"/>
    <x v="152"/>
    <x v="50"/>
    <x v="0"/>
    <n v="39"/>
    <s v="month"/>
    <n v="27"/>
    <x v="0"/>
    <x v="0"/>
  </r>
  <r>
    <n v="131734107"/>
    <x v="153"/>
    <x v="302"/>
    <x v="0"/>
    <n v="39"/>
    <s v="month"/>
    <n v="212"/>
    <x v="1"/>
    <x v="1"/>
  </r>
  <r>
    <n v="202277130"/>
    <x v="153"/>
    <x v="16"/>
    <x v="0"/>
    <n v="39"/>
    <s v="month"/>
    <n v="57"/>
    <x v="1"/>
    <x v="1"/>
  </r>
  <r>
    <n v="137196428"/>
    <x v="153"/>
    <x v="162"/>
    <x v="0"/>
    <n v="39"/>
    <s v="month"/>
    <n v="34"/>
    <x v="1"/>
    <x v="1"/>
  </r>
  <r>
    <n v="153568282"/>
    <x v="153"/>
    <x v="165"/>
    <x v="0"/>
    <n v="39"/>
    <s v="month"/>
    <n v="13"/>
    <x v="1"/>
    <x v="1"/>
  </r>
  <r>
    <n v="199895190"/>
    <x v="153"/>
    <x v="32"/>
    <x v="0"/>
    <n v="39"/>
    <s v="month"/>
    <n v="38"/>
    <x v="1"/>
    <x v="1"/>
  </r>
  <r>
    <n v="200894076"/>
    <x v="153"/>
    <x v="292"/>
    <x v="0"/>
    <n v="39"/>
    <s v="month"/>
    <n v="55"/>
    <x v="1"/>
    <x v="1"/>
  </r>
  <r>
    <n v="201162862"/>
    <x v="153"/>
    <x v="276"/>
    <x v="0"/>
    <n v="39"/>
    <s v="month"/>
    <n v="35"/>
    <x v="1"/>
    <x v="1"/>
  </r>
  <r>
    <n v="198748705"/>
    <x v="153"/>
    <x v="208"/>
    <x v="0"/>
    <n v="39"/>
    <s v="month"/>
    <n v="51"/>
    <x v="1"/>
    <x v="1"/>
  </r>
  <r>
    <n v="202308735"/>
    <x v="153"/>
    <x v="190"/>
    <x v="0"/>
    <n v="39"/>
    <s v="month"/>
    <n v="199"/>
    <x v="1"/>
    <x v="1"/>
  </r>
  <r>
    <n v="202276540"/>
    <x v="153"/>
    <x v="244"/>
    <x v="0"/>
    <n v="39"/>
    <s v="month"/>
    <n v="150"/>
    <x v="1"/>
    <x v="1"/>
  </r>
  <r>
    <n v="202401357"/>
    <x v="154"/>
    <x v="0"/>
    <x v="0"/>
    <n v="39"/>
    <s v="month"/>
    <s v="Not Cancelled"/>
    <x v="2"/>
    <x v="2"/>
  </r>
  <r>
    <n v="184539258"/>
    <x v="154"/>
    <x v="101"/>
    <x v="0"/>
    <n v="39"/>
    <s v="month"/>
    <n v="87"/>
    <x v="2"/>
    <x v="2"/>
  </r>
  <r>
    <n v="202349754"/>
    <x v="154"/>
    <x v="4"/>
    <x v="0"/>
    <n v="39"/>
    <s v="month"/>
    <n v="93"/>
    <x v="2"/>
    <x v="2"/>
  </r>
  <r>
    <n v="202410436"/>
    <x v="154"/>
    <x v="264"/>
    <x v="0"/>
    <n v="39"/>
    <s v="month"/>
    <n v="21"/>
    <x v="2"/>
    <x v="2"/>
  </r>
  <r>
    <n v="197151544"/>
    <x v="154"/>
    <x v="233"/>
    <x v="0"/>
    <n v="39"/>
    <s v="month"/>
    <n v="45"/>
    <x v="2"/>
    <x v="2"/>
  </r>
  <r>
    <n v="202305934"/>
    <x v="154"/>
    <x v="277"/>
    <x v="0"/>
    <n v="39"/>
    <s v="month"/>
    <n v="43"/>
    <x v="2"/>
    <x v="2"/>
  </r>
  <r>
    <n v="202304812"/>
    <x v="155"/>
    <x v="0"/>
    <x v="0"/>
    <n v="39"/>
    <s v="month"/>
    <s v="Not Cancelled"/>
    <x v="3"/>
    <x v="3"/>
  </r>
  <r>
    <n v="160030890"/>
    <x v="155"/>
    <x v="0"/>
    <x v="0"/>
    <n v="39"/>
    <s v="month"/>
    <s v="Not Cancelled"/>
    <x v="3"/>
    <x v="3"/>
  </r>
  <r>
    <n v="202524608"/>
    <x v="155"/>
    <x v="0"/>
    <x v="0"/>
    <n v="39"/>
    <s v="month"/>
    <s v="Not Cancelled"/>
    <x v="3"/>
    <x v="3"/>
  </r>
  <r>
    <n v="198447368"/>
    <x v="155"/>
    <x v="0"/>
    <x v="0"/>
    <n v="39"/>
    <s v="month"/>
    <s v="Not Cancelled"/>
    <x v="3"/>
    <x v="3"/>
  </r>
  <r>
    <n v="202458624"/>
    <x v="155"/>
    <x v="0"/>
    <x v="0"/>
    <n v="39"/>
    <s v="month"/>
    <s v="Not Cancelled"/>
    <x v="3"/>
    <x v="3"/>
  </r>
  <r>
    <n v="132256211"/>
    <x v="155"/>
    <x v="33"/>
    <x v="0"/>
    <n v="39"/>
    <s v="month"/>
    <n v="35"/>
    <x v="3"/>
    <x v="3"/>
  </r>
  <r>
    <n v="202504135"/>
    <x v="155"/>
    <x v="303"/>
    <x v="0"/>
    <n v="39"/>
    <s v="month"/>
    <n v="127"/>
    <x v="3"/>
    <x v="3"/>
  </r>
  <r>
    <n v="192182455"/>
    <x v="155"/>
    <x v="274"/>
    <x v="0"/>
    <n v="39"/>
    <s v="month"/>
    <n v="90"/>
    <x v="3"/>
    <x v="3"/>
  </r>
  <r>
    <n v="202505276"/>
    <x v="155"/>
    <x v="218"/>
    <x v="0"/>
    <n v="39"/>
    <s v="month"/>
    <n v="37"/>
    <x v="3"/>
    <x v="3"/>
  </r>
  <r>
    <n v="152050632"/>
    <x v="156"/>
    <x v="0"/>
    <x v="0"/>
    <n v="39"/>
    <s v="month"/>
    <s v="Not Cancelled"/>
    <x v="4"/>
    <x v="4"/>
  </r>
  <r>
    <n v="201313284"/>
    <x v="156"/>
    <x v="0"/>
    <x v="0"/>
    <n v="39"/>
    <s v="month"/>
    <s v="Not Cancelled"/>
    <x v="4"/>
    <x v="4"/>
  </r>
  <r>
    <n v="202118292"/>
    <x v="156"/>
    <x v="0"/>
    <x v="0"/>
    <n v="39"/>
    <s v="month"/>
    <s v="Not Cancelled"/>
    <x v="4"/>
    <x v="4"/>
  </r>
  <r>
    <n v="202298964"/>
    <x v="156"/>
    <x v="0"/>
    <x v="0"/>
    <n v="39"/>
    <s v="month"/>
    <s v="Not Cancelled"/>
    <x v="4"/>
    <x v="4"/>
  </r>
  <r>
    <n v="202496216"/>
    <x v="156"/>
    <x v="0"/>
    <x v="0"/>
    <n v="39"/>
    <s v="month"/>
    <s v="Not Cancelled"/>
    <x v="4"/>
    <x v="4"/>
  </r>
  <r>
    <n v="152354478"/>
    <x v="156"/>
    <x v="0"/>
    <x v="0"/>
    <n v="39"/>
    <s v="month"/>
    <s v="Not Cancelled"/>
    <x v="4"/>
    <x v="4"/>
  </r>
  <r>
    <n v="200490112"/>
    <x v="156"/>
    <x v="201"/>
    <x v="1"/>
    <n v="39"/>
    <s v="month"/>
    <n v="1"/>
    <x v="4"/>
    <x v="4"/>
  </r>
  <r>
    <n v="131310280"/>
    <x v="156"/>
    <x v="280"/>
    <x v="0"/>
    <n v="39"/>
    <s v="month"/>
    <n v="11"/>
    <x v="4"/>
    <x v="4"/>
  </r>
  <r>
    <n v="154161250"/>
    <x v="156"/>
    <x v="233"/>
    <x v="0"/>
    <n v="39"/>
    <s v="month"/>
    <n v="43"/>
    <x v="4"/>
    <x v="4"/>
  </r>
  <r>
    <n v="150521180"/>
    <x v="156"/>
    <x v="304"/>
    <x v="0"/>
    <n v="39"/>
    <s v="month"/>
    <n v="119"/>
    <x v="4"/>
    <x v="4"/>
  </r>
  <r>
    <n v="195280988"/>
    <x v="156"/>
    <x v="173"/>
    <x v="0"/>
    <n v="39"/>
    <s v="month"/>
    <n v="135"/>
    <x v="4"/>
    <x v="4"/>
  </r>
  <r>
    <n v="201231494"/>
    <x v="156"/>
    <x v="96"/>
    <x v="0"/>
    <n v="39"/>
    <s v="month"/>
    <n v="92"/>
    <x v="4"/>
    <x v="4"/>
  </r>
  <r>
    <n v="199554496"/>
    <x v="156"/>
    <x v="35"/>
    <x v="0"/>
    <n v="39"/>
    <s v="month"/>
    <n v="2"/>
    <x v="4"/>
    <x v="4"/>
  </r>
  <r>
    <n v="125747106"/>
    <x v="156"/>
    <x v="250"/>
    <x v="0"/>
    <n v="39"/>
    <s v="month"/>
    <n v="26"/>
    <x v="4"/>
    <x v="4"/>
  </r>
  <r>
    <n v="195345030"/>
    <x v="156"/>
    <x v="250"/>
    <x v="0"/>
    <n v="39"/>
    <s v="month"/>
    <n v="26"/>
    <x v="4"/>
    <x v="4"/>
  </r>
  <r>
    <n v="202269874"/>
    <x v="156"/>
    <x v="120"/>
    <x v="0"/>
    <n v="39"/>
    <s v="month"/>
    <n v="47"/>
    <x v="4"/>
    <x v="4"/>
  </r>
  <r>
    <n v="191036527"/>
    <x v="156"/>
    <x v="191"/>
    <x v="0"/>
    <n v="39"/>
    <s v="month"/>
    <n v="29"/>
    <x v="4"/>
    <x v="4"/>
  </r>
  <r>
    <n v="202633556"/>
    <x v="156"/>
    <x v="46"/>
    <x v="0"/>
    <n v="39"/>
    <s v="month"/>
    <n v="16"/>
    <x v="4"/>
    <x v="4"/>
  </r>
  <r>
    <n v="202750328"/>
    <x v="156"/>
    <x v="305"/>
    <x v="0"/>
    <n v="39"/>
    <s v="month"/>
    <n v="177"/>
    <x v="4"/>
    <x v="4"/>
  </r>
  <r>
    <n v="192781688"/>
    <x v="157"/>
    <x v="0"/>
    <x v="0"/>
    <n v="39"/>
    <s v="month"/>
    <s v="Not Cancelled"/>
    <x v="5"/>
    <x v="5"/>
  </r>
  <r>
    <n v="196859472"/>
    <x v="157"/>
    <x v="0"/>
    <x v="0"/>
    <n v="39"/>
    <s v="month"/>
    <s v="Not Cancelled"/>
    <x v="5"/>
    <x v="5"/>
  </r>
  <r>
    <n v="200333728"/>
    <x v="157"/>
    <x v="0"/>
    <x v="0"/>
    <n v="39"/>
    <s v="month"/>
    <s v="Not Cancelled"/>
    <x v="5"/>
    <x v="5"/>
  </r>
  <r>
    <n v="129896329"/>
    <x v="157"/>
    <x v="0"/>
    <x v="0"/>
    <n v="39"/>
    <s v="month"/>
    <s v="Not Cancelled"/>
    <x v="5"/>
    <x v="5"/>
  </r>
  <r>
    <n v="168202891"/>
    <x v="157"/>
    <x v="201"/>
    <x v="1"/>
    <n v="39"/>
    <s v="month"/>
    <n v="0"/>
    <x v="5"/>
    <x v="5"/>
  </r>
  <r>
    <n v="202924219"/>
    <x v="157"/>
    <x v="177"/>
    <x v="0"/>
    <n v="39"/>
    <s v="month"/>
    <n v="133"/>
    <x v="5"/>
    <x v="5"/>
  </r>
  <r>
    <n v="202863670"/>
    <x v="157"/>
    <x v="122"/>
    <x v="0"/>
    <n v="39"/>
    <s v="month"/>
    <n v="66"/>
    <x v="5"/>
    <x v="5"/>
  </r>
  <r>
    <n v="202398629"/>
    <x v="157"/>
    <x v="70"/>
    <x v="0"/>
    <n v="39"/>
    <s v="month"/>
    <n v="27"/>
    <x v="5"/>
    <x v="5"/>
  </r>
  <r>
    <n v="188448878"/>
    <x v="157"/>
    <x v="201"/>
    <x v="0"/>
    <n v="39"/>
    <s v="month"/>
    <n v="0"/>
    <x v="5"/>
    <x v="5"/>
  </r>
  <r>
    <n v="203254948"/>
    <x v="158"/>
    <x v="0"/>
    <x v="0"/>
    <n v="39"/>
    <s v="month"/>
    <s v="Not Cancelled"/>
    <x v="6"/>
    <x v="6"/>
  </r>
  <r>
    <n v="203120229"/>
    <x v="158"/>
    <x v="306"/>
    <x v="0"/>
    <n v="39"/>
    <s v="month"/>
    <n v="129"/>
    <x v="6"/>
    <x v="6"/>
  </r>
  <r>
    <n v="203225874"/>
    <x v="158"/>
    <x v="243"/>
    <x v="0"/>
    <n v="39"/>
    <s v="month"/>
    <n v="85"/>
    <x v="6"/>
    <x v="6"/>
  </r>
  <r>
    <n v="203107308"/>
    <x v="158"/>
    <x v="58"/>
    <x v="0"/>
    <n v="39"/>
    <s v="month"/>
    <n v="97"/>
    <x v="6"/>
    <x v="6"/>
  </r>
  <r>
    <n v="156558244"/>
    <x v="158"/>
    <x v="296"/>
    <x v="0"/>
    <n v="39"/>
    <s v="month"/>
    <n v="173"/>
    <x v="6"/>
    <x v="6"/>
  </r>
  <r>
    <n v="194306726"/>
    <x v="158"/>
    <x v="50"/>
    <x v="0"/>
    <n v="39"/>
    <s v="month"/>
    <n v="21"/>
    <x v="6"/>
    <x v="6"/>
  </r>
  <r>
    <n v="202410948"/>
    <x v="158"/>
    <x v="142"/>
    <x v="0"/>
    <n v="39"/>
    <s v="month"/>
    <n v="35"/>
    <x v="6"/>
    <x v="6"/>
  </r>
  <r>
    <n v="203166018"/>
    <x v="158"/>
    <x v="278"/>
    <x v="0"/>
    <n v="39"/>
    <s v="month"/>
    <n v="28"/>
    <x v="6"/>
    <x v="6"/>
  </r>
  <r>
    <n v="203116697"/>
    <x v="158"/>
    <x v="78"/>
    <x v="0"/>
    <n v="39"/>
    <s v="month"/>
    <n v="43"/>
    <x v="6"/>
    <x v="6"/>
  </r>
  <r>
    <n v="202982608"/>
    <x v="158"/>
    <x v="161"/>
    <x v="0"/>
    <n v="39"/>
    <s v="month"/>
    <n v="22"/>
    <x v="6"/>
    <x v="6"/>
  </r>
  <r>
    <n v="198167700"/>
    <x v="158"/>
    <x v="254"/>
    <x v="0"/>
    <n v="39"/>
    <s v="month"/>
    <n v="3"/>
    <x v="6"/>
    <x v="6"/>
  </r>
  <r>
    <n v="190567582"/>
    <x v="158"/>
    <x v="46"/>
    <x v="0"/>
    <n v="39"/>
    <s v="month"/>
    <n v="14"/>
    <x v="6"/>
    <x v="6"/>
  </r>
  <r>
    <n v="202699972"/>
    <x v="158"/>
    <x v="307"/>
    <x v="0"/>
    <n v="39"/>
    <s v="month"/>
    <n v="180"/>
    <x v="6"/>
    <x v="6"/>
  </r>
  <r>
    <n v="203242766"/>
    <x v="159"/>
    <x v="0"/>
    <x v="0"/>
    <n v="39"/>
    <s v="month"/>
    <s v="Not Cancelled"/>
    <x v="0"/>
    <x v="0"/>
  </r>
  <r>
    <n v="203398103"/>
    <x v="159"/>
    <x v="0"/>
    <x v="0"/>
    <n v="39"/>
    <s v="month"/>
    <s v="Not Cancelled"/>
    <x v="0"/>
    <x v="0"/>
  </r>
  <r>
    <n v="203243685"/>
    <x v="159"/>
    <x v="0"/>
    <x v="0"/>
    <n v="39"/>
    <s v="month"/>
    <s v="Not Cancelled"/>
    <x v="0"/>
    <x v="0"/>
  </r>
  <r>
    <n v="203370322"/>
    <x v="159"/>
    <x v="0"/>
    <x v="0"/>
    <n v="39"/>
    <s v="month"/>
    <s v="Not Cancelled"/>
    <x v="0"/>
    <x v="0"/>
  </r>
  <r>
    <n v="138689458"/>
    <x v="159"/>
    <x v="0"/>
    <x v="0"/>
    <n v="39"/>
    <s v="month"/>
    <s v="Not Cancelled"/>
    <x v="0"/>
    <x v="0"/>
  </r>
  <r>
    <n v="203315186"/>
    <x v="159"/>
    <x v="0"/>
    <x v="0"/>
    <n v="39"/>
    <s v="month"/>
    <s v="Not Cancelled"/>
    <x v="0"/>
    <x v="0"/>
  </r>
  <r>
    <n v="203292575"/>
    <x v="159"/>
    <x v="0"/>
    <x v="0"/>
    <n v="39"/>
    <s v="month"/>
    <s v="Not Cancelled"/>
    <x v="0"/>
    <x v="0"/>
  </r>
  <r>
    <n v="144830936"/>
    <x v="159"/>
    <x v="91"/>
    <x v="0"/>
    <n v="39"/>
    <s v="month"/>
    <n v="1"/>
    <x v="0"/>
    <x v="0"/>
  </r>
  <r>
    <n v="168980588"/>
    <x v="159"/>
    <x v="219"/>
    <x v="1"/>
    <n v="39"/>
    <s v="month"/>
    <n v="0"/>
    <x v="0"/>
    <x v="0"/>
  </r>
  <r>
    <n v="136832520"/>
    <x v="159"/>
    <x v="276"/>
    <x v="0"/>
    <n v="39"/>
    <s v="month"/>
    <n v="29"/>
    <x v="0"/>
    <x v="0"/>
  </r>
  <r>
    <n v="202103959"/>
    <x v="159"/>
    <x v="267"/>
    <x v="0"/>
    <n v="39"/>
    <s v="month"/>
    <n v="107"/>
    <x v="0"/>
    <x v="0"/>
  </r>
  <r>
    <n v="148764147"/>
    <x v="159"/>
    <x v="239"/>
    <x v="0"/>
    <n v="39"/>
    <s v="month"/>
    <n v="58"/>
    <x v="0"/>
    <x v="0"/>
  </r>
  <r>
    <n v="182748610"/>
    <x v="159"/>
    <x v="246"/>
    <x v="0"/>
    <n v="39"/>
    <s v="month"/>
    <n v="61"/>
    <x v="0"/>
    <x v="0"/>
  </r>
  <r>
    <n v="197883626"/>
    <x v="159"/>
    <x v="220"/>
    <x v="0"/>
    <n v="39"/>
    <s v="month"/>
    <n v="35"/>
    <x v="0"/>
    <x v="0"/>
  </r>
  <r>
    <n v="195893842"/>
    <x v="159"/>
    <x v="271"/>
    <x v="0"/>
    <n v="39"/>
    <s v="month"/>
    <n v="19"/>
    <x v="0"/>
    <x v="0"/>
  </r>
  <r>
    <n v="169081778"/>
    <x v="159"/>
    <x v="55"/>
    <x v="0"/>
    <n v="39"/>
    <s v="month"/>
    <n v="188"/>
    <x v="0"/>
    <x v="0"/>
  </r>
  <r>
    <n v="150422738"/>
    <x v="160"/>
    <x v="254"/>
    <x v="0"/>
    <n v="39"/>
    <s v="month"/>
    <n v="1"/>
    <x v="1"/>
    <x v="1"/>
  </r>
  <r>
    <n v="190839721"/>
    <x v="160"/>
    <x v="137"/>
    <x v="0"/>
    <n v="39"/>
    <s v="month"/>
    <n v="35"/>
    <x v="1"/>
    <x v="1"/>
  </r>
  <r>
    <n v="152193617"/>
    <x v="161"/>
    <x v="0"/>
    <x v="0"/>
    <n v="39"/>
    <s v="month"/>
    <s v="Not Cancelled"/>
    <x v="2"/>
    <x v="2"/>
  </r>
  <r>
    <n v="133869989"/>
    <x v="161"/>
    <x v="153"/>
    <x v="0"/>
    <n v="39"/>
    <s v="month"/>
    <n v="1"/>
    <x v="2"/>
    <x v="2"/>
  </r>
  <r>
    <n v="186843516"/>
    <x v="161"/>
    <x v="185"/>
    <x v="0"/>
    <n v="39"/>
    <s v="month"/>
    <n v="67"/>
    <x v="2"/>
    <x v="2"/>
  </r>
  <r>
    <n v="138913080"/>
    <x v="161"/>
    <x v="248"/>
    <x v="0"/>
    <n v="39"/>
    <s v="month"/>
    <n v="70"/>
    <x v="2"/>
    <x v="2"/>
  </r>
  <r>
    <n v="134879280"/>
    <x v="161"/>
    <x v="191"/>
    <x v="0"/>
    <n v="39"/>
    <s v="month"/>
    <n v="24"/>
    <x v="2"/>
    <x v="2"/>
  </r>
  <r>
    <n v="160878134"/>
    <x v="162"/>
    <x v="0"/>
    <x v="0"/>
    <n v="39"/>
    <s v="month"/>
    <s v="Not Cancelled"/>
    <x v="4"/>
    <x v="4"/>
  </r>
  <r>
    <n v="144423338"/>
    <x v="162"/>
    <x v="190"/>
    <x v="0"/>
    <n v="39"/>
    <s v="month"/>
    <n v="189"/>
    <x v="4"/>
    <x v="4"/>
  </r>
  <r>
    <n v="136218542"/>
    <x v="162"/>
    <x v="174"/>
    <x v="0"/>
    <n v="39"/>
    <s v="month"/>
    <n v="89"/>
    <x v="4"/>
    <x v="4"/>
  </r>
  <r>
    <n v="204121686"/>
    <x v="162"/>
    <x v="303"/>
    <x v="0"/>
    <n v="39"/>
    <s v="month"/>
    <n v="119"/>
    <x v="4"/>
    <x v="4"/>
  </r>
  <r>
    <n v="204114138"/>
    <x v="162"/>
    <x v="15"/>
    <x v="0"/>
    <n v="39"/>
    <s v="month"/>
    <n v="86"/>
    <x v="4"/>
    <x v="4"/>
  </r>
  <r>
    <n v="152197442"/>
    <x v="162"/>
    <x v="32"/>
    <x v="0"/>
    <n v="39"/>
    <s v="month"/>
    <n v="28"/>
    <x v="4"/>
    <x v="4"/>
  </r>
  <r>
    <n v="151695881"/>
    <x v="162"/>
    <x v="95"/>
    <x v="0"/>
    <n v="39"/>
    <s v="month"/>
    <n v="42"/>
    <x v="4"/>
    <x v="4"/>
  </r>
  <r>
    <n v="204378294"/>
    <x v="163"/>
    <x v="0"/>
    <x v="0"/>
    <n v="39"/>
    <s v="month"/>
    <s v="Not Cancelled"/>
    <x v="5"/>
    <x v="5"/>
  </r>
  <r>
    <n v="204376665"/>
    <x v="163"/>
    <x v="0"/>
    <x v="0"/>
    <n v="39"/>
    <s v="month"/>
    <s v="Not Cancelled"/>
    <x v="5"/>
    <x v="5"/>
  </r>
  <r>
    <n v="204270637"/>
    <x v="163"/>
    <x v="0"/>
    <x v="0"/>
    <n v="39"/>
    <s v="month"/>
    <s v="Not Cancelled"/>
    <x v="5"/>
    <x v="5"/>
  </r>
  <r>
    <n v="204380751"/>
    <x v="163"/>
    <x v="210"/>
    <x v="0"/>
    <n v="39"/>
    <s v="month"/>
    <n v="0"/>
    <x v="5"/>
    <x v="5"/>
  </r>
  <r>
    <n v="204402989"/>
    <x v="163"/>
    <x v="308"/>
    <x v="0"/>
    <n v="39"/>
    <s v="month"/>
    <n v="114"/>
    <x v="5"/>
    <x v="5"/>
  </r>
  <r>
    <n v="203403136"/>
    <x v="163"/>
    <x v="303"/>
    <x v="0"/>
    <n v="39"/>
    <s v="month"/>
    <n v="118"/>
    <x v="5"/>
    <x v="5"/>
  </r>
  <r>
    <n v="198453918"/>
    <x v="163"/>
    <x v="237"/>
    <x v="0"/>
    <n v="39"/>
    <s v="month"/>
    <n v="90"/>
    <x v="5"/>
    <x v="5"/>
  </r>
  <r>
    <n v="133514912"/>
    <x v="163"/>
    <x v="191"/>
    <x v="0"/>
    <n v="39"/>
    <s v="month"/>
    <n v="21"/>
    <x v="5"/>
    <x v="5"/>
  </r>
  <r>
    <n v="203414698"/>
    <x v="163"/>
    <x v="208"/>
    <x v="0"/>
    <n v="39"/>
    <s v="month"/>
    <n v="40"/>
    <x v="5"/>
    <x v="5"/>
  </r>
  <r>
    <n v="190400854"/>
    <x v="163"/>
    <x v="240"/>
    <x v="0"/>
    <n v="39"/>
    <s v="month"/>
    <n v="156"/>
    <x v="5"/>
    <x v="5"/>
  </r>
  <r>
    <n v="204114797"/>
    <x v="163"/>
    <x v="180"/>
    <x v="0"/>
    <n v="39"/>
    <s v="month"/>
    <n v="124"/>
    <x v="5"/>
    <x v="5"/>
  </r>
  <r>
    <n v="202377942"/>
    <x v="164"/>
    <x v="0"/>
    <x v="0"/>
    <n v="39"/>
    <s v="month"/>
    <s v="Not Cancelled"/>
    <x v="6"/>
    <x v="6"/>
  </r>
  <r>
    <n v="204555612"/>
    <x v="164"/>
    <x v="59"/>
    <x v="1"/>
    <n v="39"/>
    <s v="month"/>
    <n v="0"/>
    <x v="6"/>
    <x v="6"/>
  </r>
  <r>
    <n v="204556376"/>
    <x v="164"/>
    <x v="59"/>
    <x v="1"/>
    <n v="39"/>
    <s v="month"/>
    <n v="0"/>
    <x v="6"/>
    <x v="6"/>
  </r>
  <r>
    <n v="204515997"/>
    <x v="164"/>
    <x v="69"/>
    <x v="0"/>
    <n v="39"/>
    <s v="month"/>
    <n v="119"/>
    <x v="6"/>
    <x v="6"/>
  </r>
  <r>
    <n v="153342734"/>
    <x v="164"/>
    <x v="223"/>
    <x v="0"/>
    <n v="39"/>
    <s v="month"/>
    <n v="35"/>
    <x v="6"/>
    <x v="6"/>
  </r>
  <r>
    <n v="204650391"/>
    <x v="165"/>
    <x v="0"/>
    <x v="0"/>
    <n v="39"/>
    <s v="month"/>
    <s v="Not Cancelled"/>
    <x v="0"/>
    <x v="0"/>
  </r>
  <r>
    <n v="150906486"/>
    <x v="165"/>
    <x v="137"/>
    <x v="0"/>
    <n v="39"/>
    <s v="month"/>
    <n v="29"/>
    <x v="0"/>
    <x v="0"/>
  </r>
  <r>
    <n v="153961940"/>
    <x v="165"/>
    <x v="165"/>
    <x v="0"/>
    <n v="39"/>
    <s v="month"/>
    <n v="0"/>
    <x v="0"/>
    <x v="0"/>
  </r>
  <r>
    <n v="154175766"/>
    <x v="165"/>
    <x v="142"/>
    <x v="0"/>
    <n v="39"/>
    <s v="month"/>
    <n v="27"/>
    <x v="0"/>
    <x v="0"/>
  </r>
  <r>
    <n v="204631298"/>
    <x v="165"/>
    <x v="299"/>
    <x v="0"/>
    <n v="39"/>
    <s v="month"/>
    <n v="60"/>
    <x v="0"/>
    <x v="0"/>
  </r>
  <r>
    <n v="195534585"/>
    <x v="165"/>
    <x v="122"/>
    <x v="0"/>
    <n v="39"/>
    <s v="month"/>
    <n v="57"/>
    <x v="0"/>
    <x v="0"/>
  </r>
  <r>
    <n v="176421166"/>
    <x v="165"/>
    <x v="122"/>
    <x v="0"/>
    <n v="39"/>
    <s v="month"/>
    <n v="57"/>
    <x v="0"/>
    <x v="0"/>
  </r>
  <r>
    <n v="204679416"/>
    <x v="165"/>
    <x v="137"/>
    <x v="0"/>
    <n v="39"/>
    <s v="month"/>
    <n v="29"/>
    <x v="0"/>
    <x v="0"/>
  </r>
  <r>
    <n v="204448721"/>
    <x v="165"/>
    <x v="198"/>
    <x v="0"/>
    <n v="39"/>
    <s v="month"/>
    <n v="2"/>
    <x v="0"/>
    <x v="0"/>
  </r>
  <r>
    <n v="151908347"/>
    <x v="165"/>
    <x v="180"/>
    <x v="0"/>
    <n v="39"/>
    <s v="month"/>
    <n v="122"/>
    <x v="0"/>
    <x v="0"/>
  </r>
  <r>
    <n v="150652956"/>
    <x v="166"/>
    <x v="198"/>
    <x v="0"/>
    <n v="39"/>
    <s v="month"/>
    <n v="1"/>
    <x v="1"/>
    <x v="1"/>
  </r>
  <r>
    <n v="183321644"/>
    <x v="166"/>
    <x v="280"/>
    <x v="1"/>
    <n v="39"/>
    <s v="month"/>
    <n v="0"/>
    <x v="1"/>
    <x v="1"/>
  </r>
  <r>
    <n v="204740476"/>
    <x v="166"/>
    <x v="218"/>
    <x v="1"/>
    <n v="39"/>
    <s v="month"/>
    <n v="25"/>
    <x v="1"/>
    <x v="1"/>
  </r>
  <r>
    <n v="204439086"/>
    <x v="166"/>
    <x v="291"/>
    <x v="0"/>
    <n v="39"/>
    <s v="month"/>
    <n v="119"/>
    <x v="1"/>
    <x v="1"/>
  </r>
  <r>
    <n v="204685109"/>
    <x v="166"/>
    <x v="309"/>
    <x v="0"/>
    <n v="39"/>
    <s v="month"/>
    <n v="95"/>
    <x v="1"/>
    <x v="1"/>
  </r>
  <r>
    <n v="175211528"/>
    <x v="166"/>
    <x v="184"/>
    <x v="0"/>
    <n v="39"/>
    <s v="month"/>
    <n v="6"/>
    <x v="1"/>
    <x v="1"/>
  </r>
  <r>
    <n v="204646698"/>
    <x v="166"/>
    <x v="280"/>
    <x v="0"/>
    <n v="39"/>
    <s v="month"/>
    <n v="0"/>
    <x v="1"/>
    <x v="1"/>
  </r>
  <r>
    <n v="204728203"/>
    <x v="166"/>
    <x v="310"/>
    <x v="0"/>
    <n v="39"/>
    <s v="month"/>
    <n v="170"/>
    <x v="1"/>
    <x v="1"/>
  </r>
  <r>
    <n v="166674547"/>
    <x v="166"/>
    <x v="311"/>
    <x v="0"/>
    <n v="39"/>
    <s v="month"/>
    <n v="125"/>
    <x v="1"/>
    <x v="1"/>
  </r>
  <r>
    <n v="202459470"/>
    <x v="167"/>
    <x v="0"/>
    <x v="0"/>
    <n v="39"/>
    <s v="month"/>
    <s v="Not Cancelled"/>
    <x v="2"/>
    <x v="2"/>
  </r>
  <r>
    <n v="155508761"/>
    <x v="167"/>
    <x v="0"/>
    <x v="0"/>
    <n v="39"/>
    <s v="month"/>
    <s v="Not Cancelled"/>
    <x v="2"/>
    <x v="2"/>
  </r>
  <r>
    <n v="168484421"/>
    <x v="167"/>
    <x v="198"/>
    <x v="1"/>
    <n v="39"/>
    <s v="month"/>
    <n v="0"/>
    <x v="2"/>
    <x v="2"/>
  </r>
  <r>
    <n v="130864124"/>
    <x v="167"/>
    <x v="26"/>
    <x v="0"/>
    <n v="39"/>
    <s v="month"/>
    <n v="1"/>
    <x v="2"/>
    <x v="2"/>
  </r>
  <r>
    <n v="204752959"/>
    <x v="167"/>
    <x v="312"/>
    <x v="0"/>
    <n v="39"/>
    <s v="month"/>
    <n v="127"/>
    <x v="2"/>
    <x v="2"/>
  </r>
  <r>
    <n v="204761235"/>
    <x v="167"/>
    <x v="258"/>
    <x v="0"/>
    <n v="39"/>
    <s v="month"/>
    <n v="88"/>
    <x v="2"/>
    <x v="2"/>
  </r>
  <r>
    <n v="159142615"/>
    <x v="167"/>
    <x v="178"/>
    <x v="0"/>
    <n v="39"/>
    <s v="month"/>
    <n v="99"/>
    <x v="2"/>
    <x v="2"/>
  </r>
  <r>
    <n v="204753316"/>
    <x v="167"/>
    <x v="120"/>
    <x v="0"/>
    <n v="39"/>
    <s v="month"/>
    <n v="35"/>
    <x v="2"/>
    <x v="2"/>
  </r>
  <r>
    <n v="195188483"/>
    <x v="168"/>
    <x v="0"/>
    <x v="0"/>
    <n v="39"/>
    <s v="month"/>
    <s v="Not Cancelled"/>
    <x v="3"/>
    <x v="3"/>
  </r>
  <r>
    <n v="204773056"/>
    <x v="168"/>
    <x v="0"/>
    <x v="0"/>
    <n v="39"/>
    <s v="month"/>
    <s v="Not Cancelled"/>
    <x v="3"/>
    <x v="3"/>
  </r>
  <r>
    <n v="204814698"/>
    <x v="168"/>
    <x v="313"/>
    <x v="0"/>
    <n v="39"/>
    <s v="month"/>
    <n v="184"/>
    <x v="3"/>
    <x v="3"/>
  </r>
  <r>
    <n v="204732463"/>
    <x v="168"/>
    <x v="303"/>
    <x v="0"/>
    <n v="39"/>
    <s v="month"/>
    <n v="113"/>
    <x v="3"/>
    <x v="3"/>
  </r>
  <r>
    <n v="204772360"/>
    <x v="168"/>
    <x v="256"/>
    <x v="0"/>
    <n v="39"/>
    <s v="month"/>
    <n v="58"/>
    <x v="3"/>
    <x v="3"/>
  </r>
  <r>
    <n v="204812582"/>
    <x v="168"/>
    <x v="114"/>
    <x v="0"/>
    <n v="39"/>
    <s v="month"/>
    <n v="47"/>
    <x v="3"/>
    <x v="3"/>
  </r>
  <r>
    <n v="204662556"/>
    <x v="168"/>
    <x v="146"/>
    <x v="0"/>
    <n v="39"/>
    <s v="month"/>
    <n v="42"/>
    <x v="3"/>
    <x v="3"/>
  </r>
  <r>
    <n v="163781430"/>
    <x v="168"/>
    <x v="287"/>
    <x v="0"/>
    <n v="39"/>
    <s v="month"/>
    <n v="66"/>
    <x v="3"/>
    <x v="3"/>
  </r>
  <r>
    <n v="143963064"/>
    <x v="168"/>
    <x v="314"/>
    <x v="0"/>
    <n v="39"/>
    <s v="month"/>
    <n v="149"/>
    <x v="3"/>
    <x v="3"/>
  </r>
  <r>
    <n v="204797166"/>
    <x v="168"/>
    <x v="70"/>
    <x v="0"/>
    <n v="39"/>
    <s v="month"/>
    <n v="15"/>
    <x v="3"/>
    <x v="3"/>
  </r>
  <r>
    <n v="204774421"/>
    <x v="168"/>
    <x v="218"/>
    <x v="0"/>
    <n v="39"/>
    <s v="month"/>
    <n v="23"/>
    <x v="3"/>
    <x v="3"/>
  </r>
  <r>
    <n v="204801675"/>
    <x v="168"/>
    <x v="223"/>
    <x v="0"/>
    <n v="39"/>
    <s v="month"/>
    <n v="31"/>
    <x v="3"/>
    <x v="3"/>
  </r>
  <r>
    <n v="204518099"/>
    <x v="168"/>
    <x v="202"/>
    <x v="0"/>
    <n v="39"/>
    <s v="month"/>
    <n v="5"/>
    <x v="3"/>
    <x v="3"/>
  </r>
  <r>
    <n v="204814320"/>
    <x v="169"/>
    <x v="0"/>
    <x v="0"/>
    <n v="39"/>
    <s v="month"/>
    <s v="Not Cancelled"/>
    <x v="4"/>
    <x v="4"/>
  </r>
  <r>
    <n v="126851221"/>
    <x v="169"/>
    <x v="0"/>
    <x v="0"/>
    <n v="39"/>
    <s v="month"/>
    <s v="Not Cancelled"/>
    <x v="4"/>
    <x v="4"/>
  </r>
  <r>
    <n v="204845935"/>
    <x v="169"/>
    <x v="0"/>
    <x v="0"/>
    <n v="39"/>
    <s v="month"/>
    <s v="Not Cancelled"/>
    <x v="4"/>
    <x v="4"/>
  </r>
  <r>
    <n v="122215146"/>
    <x v="169"/>
    <x v="56"/>
    <x v="0"/>
    <n v="39"/>
    <s v="month"/>
    <n v="1"/>
    <x v="4"/>
    <x v="4"/>
  </r>
  <r>
    <n v="147300748"/>
    <x v="169"/>
    <x v="315"/>
    <x v="0"/>
    <n v="39"/>
    <s v="month"/>
    <n v="142"/>
    <x v="4"/>
    <x v="4"/>
  </r>
  <r>
    <n v="162596645"/>
    <x v="169"/>
    <x v="99"/>
    <x v="0"/>
    <n v="39"/>
    <s v="month"/>
    <n v="128"/>
    <x v="4"/>
    <x v="4"/>
  </r>
  <r>
    <n v="177666771"/>
    <x v="169"/>
    <x v="303"/>
    <x v="0"/>
    <n v="39"/>
    <s v="month"/>
    <n v="112"/>
    <x v="4"/>
    <x v="4"/>
  </r>
  <r>
    <n v="204884248"/>
    <x v="169"/>
    <x v="101"/>
    <x v="0"/>
    <n v="39"/>
    <s v="month"/>
    <n v="71"/>
    <x v="4"/>
    <x v="4"/>
  </r>
  <r>
    <n v="204826054"/>
    <x v="169"/>
    <x v="285"/>
    <x v="0"/>
    <n v="39"/>
    <s v="month"/>
    <n v="100"/>
    <x v="4"/>
    <x v="4"/>
  </r>
  <r>
    <n v="145096572"/>
    <x v="169"/>
    <x v="218"/>
    <x v="0"/>
    <n v="39"/>
    <s v="month"/>
    <n v="22"/>
    <x v="4"/>
    <x v="4"/>
  </r>
  <r>
    <n v="158472404"/>
    <x v="169"/>
    <x v="276"/>
    <x v="0"/>
    <n v="39"/>
    <s v="month"/>
    <n v="18"/>
    <x v="4"/>
    <x v="4"/>
  </r>
  <r>
    <n v="204907118"/>
    <x v="169"/>
    <x v="17"/>
    <x v="0"/>
    <n v="39"/>
    <s v="month"/>
    <n v="49"/>
    <x v="4"/>
    <x v="4"/>
  </r>
  <r>
    <n v="204602410"/>
    <x v="169"/>
    <x v="253"/>
    <x v="0"/>
    <n v="39"/>
    <s v="month"/>
    <n v="28"/>
    <x v="4"/>
    <x v="4"/>
  </r>
  <r>
    <n v="204853460"/>
    <x v="169"/>
    <x v="265"/>
    <x v="0"/>
    <n v="39"/>
    <s v="month"/>
    <n v="149"/>
    <x v="4"/>
    <x v="4"/>
  </r>
  <r>
    <n v="194310997"/>
    <x v="169"/>
    <x v="316"/>
    <x v="0"/>
    <n v="39"/>
    <s v="month"/>
    <n v="147"/>
    <x v="4"/>
    <x v="4"/>
  </r>
  <r>
    <n v="204902258"/>
    <x v="170"/>
    <x v="0"/>
    <x v="0"/>
    <n v="39"/>
    <s v="month"/>
    <s v="Not Cancelled"/>
    <x v="5"/>
    <x v="5"/>
  </r>
  <r>
    <n v="162865034"/>
    <x v="170"/>
    <x v="125"/>
    <x v="0"/>
    <n v="39"/>
    <s v="month"/>
    <n v="35"/>
    <x v="5"/>
    <x v="5"/>
  </r>
  <r>
    <n v="204467695"/>
    <x v="170"/>
    <x v="96"/>
    <x v="0"/>
    <n v="39"/>
    <s v="month"/>
    <n v="77"/>
    <x v="5"/>
    <x v="5"/>
  </r>
  <r>
    <n v="204774193"/>
    <x v="170"/>
    <x v="159"/>
    <x v="0"/>
    <n v="39"/>
    <s v="month"/>
    <n v="98"/>
    <x v="5"/>
    <x v="5"/>
  </r>
  <r>
    <n v="189046085"/>
    <x v="170"/>
    <x v="317"/>
    <x v="0"/>
    <n v="39"/>
    <s v="month"/>
    <n v="86"/>
    <x v="5"/>
    <x v="5"/>
  </r>
  <r>
    <n v="188082436"/>
    <x v="170"/>
    <x v="156"/>
    <x v="0"/>
    <n v="39"/>
    <s v="month"/>
    <n v="42"/>
    <x v="5"/>
    <x v="5"/>
  </r>
  <r>
    <n v="204947361"/>
    <x v="170"/>
    <x v="22"/>
    <x v="0"/>
    <n v="39"/>
    <s v="month"/>
    <n v="43"/>
    <x v="5"/>
    <x v="5"/>
  </r>
  <r>
    <n v="158852962"/>
    <x v="170"/>
    <x v="122"/>
    <x v="0"/>
    <n v="39"/>
    <s v="month"/>
    <n v="52"/>
    <x v="5"/>
    <x v="5"/>
  </r>
  <r>
    <n v="204742960"/>
    <x v="170"/>
    <x v="70"/>
    <x v="0"/>
    <n v="39"/>
    <s v="month"/>
    <n v="13"/>
    <x v="5"/>
    <x v="5"/>
  </r>
  <r>
    <n v="204726042"/>
    <x v="170"/>
    <x v="137"/>
    <x v="0"/>
    <n v="39"/>
    <s v="month"/>
    <n v="24"/>
    <x v="5"/>
    <x v="5"/>
  </r>
  <r>
    <n v="204997225"/>
    <x v="171"/>
    <x v="0"/>
    <x v="0"/>
    <n v="39"/>
    <s v="month"/>
    <s v="Not Cancelled"/>
    <x v="6"/>
    <x v="6"/>
  </r>
  <r>
    <n v="126103612"/>
    <x v="171"/>
    <x v="0"/>
    <x v="0"/>
    <n v="39"/>
    <s v="month"/>
    <s v="Not Cancelled"/>
    <x v="6"/>
    <x v="6"/>
  </r>
  <r>
    <n v="204934860"/>
    <x v="171"/>
    <x v="184"/>
    <x v="1"/>
    <n v="39"/>
    <s v="month"/>
    <n v="1"/>
    <x v="6"/>
    <x v="6"/>
  </r>
  <r>
    <n v="197086298"/>
    <x v="171"/>
    <x v="101"/>
    <x v="0"/>
    <n v="39"/>
    <s v="month"/>
    <n v="69"/>
    <x v="6"/>
    <x v="6"/>
  </r>
  <r>
    <n v="204732760"/>
    <x v="171"/>
    <x v="141"/>
    <x v="0"/>
    <n v="39"/>
    <s v="month"/>
    <n v="58"/>
    <x v="6"/>
    <x v="6"/>
  </r>
  <r>
    <n v="204985175"/>
    <x v="171"/>
    <x v="257"/>
    <x v="0"/>
    <n v="39"/>
    <s v="month"/>
    <n v="50"/>
    <x v="6"/>
    <x v="6"/>
  </r>
  <r>
    <n v="189387698"/>
    <x v="171"/>
    <x v="114"/>
    <x v="0"/>
    <n v="39"/>
    <s v="month"/>
    <n v="44"/>
    <x v="6"/>
    <x v="6"/>
  </r>
  <r>
    <n v="144160302"/>
    <x v="171"/>
    <x v="128"/>
    <x v="0"/>
    <n v="39"/>
    <s v="month"/>
    <n v="43"/>
    <x v="6"/>
    <x v="6"/>
  </r>
  <r>
    <n v="195774465"/>
    <x v="171"/>
    <x v="263"/>
    <x v="0"/>
    <n v="39"/>
    <s v="month"/>
    <n v="66"/>
    <x v="6"/>
    <x v="6"/>
  </r>
  <r>
    <n v="204890622"/>
    <x v="171"/>
    <x v="259"/>
    <x v="0"/>
    <n v="39"/>
    <s v="month"/>
    <n v="24"/>
    <x v="6"/>
    <x v="6"/>
  </r>
  <r>
    <n v="204206841"/>
    <x v="171"/>
    <x v="278"/>
    <x v="0"/>
    <n v="39"/>
    <s v="month"/>
    <n v="14"/>
    <x v="6"/>
    <x v="6"/>
  </r>
  <r>
    <n v="204955216"/>
    <x v="171"/>
    <x v="253"/>
    <x v="0"/>
    <n v="39"/>
    <s v="month"/>
    <n v="26"/>
    <x v="6"/>
    <x v="6"/>
  </r>
  <r>
    <n v="204992891"/>
    <x v="171"/>
    <x v="204"/>
    <x v="0"/>
    <n v="39"/>
    <s v="month"/>
    <n v="162"/>
    <x v="6"/>
    <x v="6"/>
  </r>
  <r>
    <n v="139152786"/>
    <x v="172"/>
    <x v="0"/>
    <x v="0"/>
    <n v="39"/>
    <s v="month"/>
    <s v="Not Cancelled"/>
    <x v="0"/>
    <x v="0"/>
  </r>
  <r>
    <n v="204753108"/>
    <x v="172"/>
    <x v="0"/>
    <x v="0"/>
    <n v="39"/>
    <s v="month"/>
    <s v="Not Cancelled"/>
    <x v="0"/>
    <x v="0"/>
  </r>
  <r>
    <n v="136703646"/>
    <x v="172"/>
    <x v="114"/>
    <x v="0"/>
    <n v="39"/>
    <s v="month"/>
    <n v="43"/>
    <x v="0"/>
    <x v="0"/>
  </r>
  <r>
    <n v="204294672"/>
    <x v="172"/>
    <x v="285"/>
    <x v="0"/>
    <n v="39"/>
    <s v="month"/>
    <n v="97"/>
    <x v="0"/>
    <x v="0"/>
  </r>
  <r>
    <n v="189505981"/>
    <x v="172"/>
    <x v="300"/>
    <x v="0"/>
    <n v="39"/>
    <s v="month"/>
    <n v="66"/>
    <x v="0"/>
    <x v="0"/>
  </r>
  <r>
    <n v="115899168"/>
    <x v="172"/>
    <x v="145"/>
    <x v="0"/>
    <n v="39"/>
    <s v="month"/>
    <n v="39"/>
    <x v="0"/>
    <x v="0"/>
  </r>
  <r>
    <n v="200117920"/>
    <x v="172"/>
    <x v="223"/>
    <x v="0"/>
    <n v="39"/>
    <s v="month"/>
    <n v="27"/>
    <x v="0"/>
    <x v="0"/>
  </r>
  <r>
    <n v="205057455"/>
    <x v="172"/>
    <x v="208"/>
    <x v="0"/>
    <n v="39"/>
    <s v="month"/>
    <n v="31"/>
    <x v="0"/>
    <x v="0"/>
  </r>
  <r>
    <n v="205028691"/>
    <x v="172"/>
    <x v="276"/>
    <x v="0"/>
    <n v="39"/>
    <s v="month"/>
    <n v="15"/>
    <x v="0"/>
    <x v="0"/>
  </r>
  <r>
    <n v="204857146"/>
    <x v="172"/>
    <x v="276"/>
    <x v="0"/>
    <n v="39"/>
    <s v="month"/>
    <n v="15"/>
    <x v="0"/>
    <x v="0"/>
  </r>
  <r>
    <n v="134131772"/>
    <x v="173"/>
    <x v="291"/>
    <x v="0"/>
    <n v="39"/>
    <s v="month"/>
    <n v="112"/>
    <x v="1"/>
    <x v="1"/>
  </r>
  <r>
    <n v="148942254"/>
    <x v="173"/>
    <x v="186"/>
    <x v="0"/>
    <n v="39"/>
    <s v="month"/>
    <n v="107"/>
    <x v="1"/>
    <x v="1"/>
  </r>
  <r>
    <n v="204512235"/>
    <x v="173"/>
    <x v="291"/>
    <x v="0"/>
    <n v="39"/>
    <s v="month"/>
    <n v="112"/>
    <x v="1"/>
    <x v="1"/>
  </r>
  <r>
    <n v="204977028"/>
    <x v="173"/>
    <x v="251"/>
    <x v="0"/>
    <n v="39"/>
    <s v="month"/>
    <n v="66"/>
    <x v="1"/>
    <x v="1"/>
  </r>
  <r>
    <n v="205122220"/>
    <x v="173"/>
    <x v="257"/>
    <x v="0"/>
    <n v="39"/>
    <s v="month"/>
    <n v="48"/>
    <x v="1"/>
    <x v="1"/>
  </r>
  <r>
    <n v="179578904"/>
    <x v="173"/>
    <x v="256"/>
    <x v="0"/>
    <n v="39"/>
    <s v="month"/>
    <n v="53"/>
    <x v="1"/>
    <x v="1"/>
  </r>
  <r>
    <n v="205120086"/>
    <x v="173"/>
    <x v="156"/>
    <x v="0"/>
    <n v="39"/>
    <s v="month"/>
    <n v="39"/>
    <x v="1"/>
    <x v="1"/>
  </r>
  <r>
    <n v="158097854"/>
    <x v="173"/>
    <x v="292"/>
    <x v="0"/>
    <n v="39"/>
    <s v="month"/>
    <n v="34"/>
    <x v="1"/>
    <x v="1"/>
  </r>
  <r>
    <n v="204760569"/>
    <x v="173"/>
    <x v="142"/>
    <x v="0"/>
    <n v="39"/>
    <s v="month"/>
    <n v="19"/>
    <x v="1"/>
    <x v="1"/>
  </r>
  <r>
    <n v="204982432"/>
    <x v="173"/>
    <x v="189"/>
    <x v="0"/>
    <n v="39"/>
    <s v="month"/>
    <n v="35"/>
    <x v="1"/>
    <x v="1"/>
  </r>
  <r>
    <n v="158351648"/>
    <x v="173"/>
    <x v="318"/>
    <x v="0"/>
    <n v="39"/>
    <s v="month"/>
    <n v="189"/>
    <x v="1"/>
    <x v="1"/>
  </r>
  <r>
    <n v="195325206"/>
    <x v="174"/>
    <x v="0"/>
    <x v="0"/>
    <n v="39"/>
    <s v="month"/>
    <s v="Not Cancelled"/>
    <x v="2"/>
    <x v="2"/>
  </r>
  <r>
    <n v="205102955"/>
    <x v="174"/>
    <x v="0"/>
    <x v="0"/>
    <n v="39"/>
    <s v="month"/>
    <s v="Not Cancelled"/>
    <x v="2"/>
    <x v="2"/>
  </r>
  <r>
    <n v="188092110"/>
    <x v="174"/>
    <x v="319"/>
    <x v="0"/>
    <n v="39"/>
    <s v="month"/>
    <n v="43"/>
    <x v="2"/>
    <x v="2"/>
  </r>
  <r>
    <n v="147615998"/>
    <x v="174"/>
    <x v="23"/>
    <x v="0"/>
    <n v="39"/>
    <s v="month"/>
    <n v="50"/>
    <x v="2"/>
    <x v="2"/>
  </r>
  <r>
    <n v="164751472"/>
    <x v="174"/>
    <x v="23"/>
    <x v="0"/>
    <n v="39"/>
    <s v="month"/>
    <n v="50"/>
    <x v="2"/>
    <x v="2"/>
  </r>
  <r>
    <n v="205215538"/>
    <x v="174"/>
    <x v="161"/>
    <x v="0"/>
    <n v="39"/>
    <s v="month"/>
    <n v="5"/>
    <x v="2"/>
    <x v="2"/>
  </r>
  <r>
    <n v="162962849"/>
    <x v="175"/>
    <x v="320"/>
    <x v="0"/>
    <n v="39"/>
    <s v="month"/>
    <n v="68"/>
    <x v="3"/>
    <x v="3"/>
  </r>
  <r>
    <n v="154229833"/>
    <x v="175"/>
    <x v="218"/>
    <x v="0"/>
    <n v="39"/>
    <s v="month"/>
    <n v="16"/>
    <x v="3"/>
    <x v="3"/>
  </r>
  <r>
    <n v="205338718"/>
    <x v="175"/>
    <x v="95"/>
    <x v="0"/>
    <n v="39"/>
    <s v="month"/>
    <n v="29"/>
    <x v="3"/>
    <x v="3"/>
  </r>
  <r>
    <n v="180798046"/>
    <x v="176"/>
    <x v="0"/>
    <x v="0"/>
    <n v="39"/>
    <s v="month"/>
    <s v="Not Cancelled"/>
    <x v="4"/>
    <x v="4"/>
  </r>
  <r>
    <n v="135298992"/>
    <x v="176"/>
    <x v="277"/>
    <x v="0"/>
    <n v="39"/>
    <s v="month"/>
    <n v="20"/>
    <x v="4"/>
    <x v="4"/>
  </r>
  <r>
    <n v="153141802"/>
    <x v="176"/>
    <x v="127"/>
    <x v="0"/>
    <n v="39"/>
    <s v="month"/>
    <n v="96"/>
    <x v="4"/>
    <x v="4"/>
  </r>
  <r>
    <n v="189149014"/>
    <x v="176"/>
    <x v="177"/>
    <x v="0"/>
    <n v="39"/>
    <s v="month"/>
    <n v="113"/>
    <x v="4"/>
    <x v="4"/>
  </r>
  <r>
    <n v="180438277"/>
    <x v="176"/>
    <x v="171"/>
    <x v="0"/>
    <n v="39"/>
    <s v="month"/>
    <n v="81"/>
    <x v="4"/>
    <x v="4"/>
  </r>
  <r>
    <n v="205471532"/>
    <x v="176"/>
    <x v="228"/>
    <x v="0"/>
    <n v="39"/>
    <s v="month"/>
    <n v="59"/>
    <x v="4"/>
    <x v="4"/>
  </r>
  <r>
    <n v="188065488"/>
    <x v="176"/>
    <x v="152"/>
    <x v="0"/>
    <n v="39"/>
    <s v="month"/>
    <n v="57"/>
    <x v="4"/>
    <x v="4"/>
  </r>
  <r>
    <n v="205387672"/>
    <x v="176"/>
    <x v="319"/>
    <x v="0"/>
    <n v="39"/>
    <s v="month"/>
    <n v="41"/>
    <x v="4"/>
    <x v="4"/>
  </r>
  <r>
    <n v="196251908"/>
    <x v="176"/>
    <x v="188"/>
    <x v="0"/>
    <n v="39"/>
    <s v="month"/>
    <n v="0"/>
    <x v="4"/>
    <x v="4"/>
  </r>
  <r>
    <n v="157884031"/>
    <x v="176"/>
    <x v="292"/>
    <x v="0"/>
    <n v="39"/>
    <s v="month"/>
    <n v="31"/>
    <x v="4"/>
    <x v="4"/>
  </r>
  <r>
    <n v="204571386"/>
    <x v="176"/>
    <x v="78"/>
    <x v="0"/>
    <n v="39"/>
    <s v="month"/>
    <n v="24"/>
    <x v="4"/>
    <x v="4"/>
  </r>
  <r>
    <n v="162909529"/>
    <x v="176"/>
    <x v="222"/>
    <x v="0"/>
    <n v="39"/>
    <s v="month"/>
    <n v="155"/>
    <x v="4"/>
    <x v="4"/>
  </r>
  <r>
    <n v="152043244"/>
    <x v="177"/>
    <x v="0"/>
    <x v="0"/>
    <n v="39"/>
    <s v="month"/>
    <s v="Not Cancelled"/>
    <x v="5"/>
    <x v="5"/>
  </r>
  <r>
    <n v="204567111"/>
    <x v="177"/>
    <x v="0"/>
    <x v="0"/>
    <n v="39"/>
    <s v="month"/>
    <s v="Not Cancelled"/>
    <x v="5"/>
    <x v="5"/>
  </r>
  <r>
    <n v="205487880"/>
    <x v="177"/>
    <x v="0"/>
    <x v="0"/>
    <n v="39"/>
    <s v="month"/>
    <s v="Not Cancelled"/>
    <x v="5"/>
    <x v="5"/>
  </r>
  <r>
    <n v="205489808"/>
    <x v="177"/>
    <x v="0"/>
    <x v="0"/>
    <n v="39"/>
    <s v="month"/>
    <s v="Not Cancelled"/>
    <x v="5"/>
    <x v="5"/>
  </r>
  <r>
    <n v="125828506"/>
    <x v="177"/>
    <x v="50"/>
    <x v="0"/>
    <n v="39"/>
    <s v="month"/>
    <n v="1"/>
    <x v="5"/>
    <x v="5"/>
  </r>
  <r>
    <n v="154701159"/>
    <x v="177"/>
    <x v="95"/>
    <x v="0"/>
    <n v="39"/>
    <s v="month"/>
    <n v="27"/>
    <x v="5"/>
    <x v="5"/>
  </r>
  <r>
    <n v="204865394"/>
    <x v="177"/>
    <x v="156"/>
    <x v="0"/>
    <n v="39"/>
    <s v="month"/>
    <n v="35"/>
    <x v="5"/>
    <x v="5"/>
  </r>
  <r>
    <n v="205044276"/>
    <x v="177"/>
    <x v="228"/>
    <x v="0"/>
    <n v="39"/>
    <s v="month"/>
    <n v="58"/>
    <x v="5"/>
    <x v="5"/>
  </r>
  <r>
    <n v="194873337"/>
    <x v="177"/>
    <x v="256"/>
    <x v="0"/>
    <n v="39"/>
    <s v="month"/>
    <n v="49"/>
    <x v="5"/>
    <x v="5"/>
  </r>
  <r>
    <n v="205492734"/>
    <x v="177"/>
    <x v="223"/>
    <x v="0"/>
    <n v="39"/>
    <s v="month"/>
    <n v="22"/>
    <x v="5"/>
    <x v="5"/>
  </r>
  <r>
    <n v="205548739"/>
    <x v="178"/>
    <x v="0"/>
    <x v="0"/>
    <n v="39"/>
    <s v="month"/>
    <s v="Not Cancelled"/>
    <x v="6"/>
    <x v="6"/>
  </r>
  <r>
    <n v="202228372"/>
    <x v="178"/>
    <x v="0"/>
    <x v="0"/>
    <n v="39"/>
    <s v="month"/>
    <s v="Not Cancelled"/>
    <x v="6"/>
    <x v="6"/>
  </r>
  <r>
    <n v="205034931"/>
    <x v="178"/>
    <x v="161"/>
    <x v="1"/>
    <n v="39"/>
    <s v="month"/>
    <n v="1"/>
    <x v="6"/>
    <x v="6"/>
  </r>
  <r>
    <n v="205129178"/>
    <x v="178"/>
    <x v="173"/>
    <x v="0"/>
    <n v="39"/>
    <s v="month"/>
    <n v="112"/>
    <x v="6"/>
    <x v="6"/>
  </r>
  <r>
    <n v="160114911"/>
    <x v="178"/>
    <x v="239"/>
    <x v="0"/>
    <n v="39"/>
    <s v="month"/>
    <n v="38"/>
    <x v="6"/>
    <x v="6"/>
  </r>
  <r>
    <n v="168200039"/>
    <x v="178"/>
    <x v="239"/>
    <x v="0"/>
    <n v="39"/>
    <s v="month"/>
    <n v="38"/>
    <x v="6"/>
    <x v="6"/>
  </r>
  <r>
    <n v="190622411"/>
    <x v="178"/>
    <x v="156"/>
    <x v="0"/>
    <n v="39"/>
    <s v="month"/>
    <n v="34"/>
    <x v="6"/>
    <x v="6"/>
  </r>
  <r>
    <n v="204528713"/>
    <x v="178"/>
    <x v="256"/>
    <x v="0"/>
    <n v="39"/>
    <s v="month"/>
    <n v="48"/>
    <x v="6"/>
    <x v="6"/>
  </r>
  <r>
    <n v="205573796"/>
    <x v="178"/>
    <x v="257"/>
    <x v="0"/>
    <n v="39"/>
    <s v="month"/>
    <n v="43"/>
    <x v="6"/>
    <x v="6"/>
  </r>
  <r>
    <n v="182009986"/>
    <x v="178"/>
    <x v="231"/>
    <x v="0"/>
    <n v="39"/>
    <s v="month"/>
    <n v="28"/>
    <x v="6"/>
    <x v="6"/>
  </r>
  <r>
    <n v="205606022"/>
    <x v="178"/>
    <x v="233"/>
    <x v="0"/>
    <n v="39"/>
    <s v="month"/>
    <n v="20"/>
    <x v="6"/>
    <x v="6"/>
  </r>
  <r>
    <n v="205580089"/>
    <x v="178"/>
    <x v="292"/>
    <x v="0"/>
    <n v="39"/>
    <s v="month"/>
    <n v="29"/>
    <x v="6"/>
    <x v="6"/>
  </r>
  <r>
    <n v="192949504"/>
    <x v="178"/>
    <x v="125"/>
    <x v="0"/>
    <n v="39"/>
    <s v="month"/>
    <n v="27"/>
    <x v="6"/>
    <x v="6"/>
  </r>
  <r>
    <n v="205658636"/>
    <x v="179"/>
    <x v="0"/>
    <x v="0"/>
    <n v="39"/>
    <s v="month"/>
    <s v="Not Cancelled"/>
    <x v="0"/>
    <x v="0"/>
  </r>
  <r>
    <n v="205615727"/>
    <x v="179"/>
    <x v="321"/>
    <x v="0"/>
    <n v="39"/>
    <s v="month"/>
    <n v="116"/>
    <x v="0"/>
    <x v="0"/>
  </r>
  <r>
    <n v="205448424"/>
    <x v="179"/>
    <x v="159"/>
    <x v="0"/>
    <n v="39"/>
    <s v="month"/>
    <n v="89"/>
    <x v="0"/>
    <x v="0"/>
  </r>
  <r>
    <n v="196009696"/>
    <x v="179"/>
    <x v="101"/>
    <x v="0"/>
    <n v="39"/>
    <s v="month"/>
    <n v="61"/>
    <x v="0"/>
    <x v="0"/>
  </r>
  <r>
    <n v="205026372"/>
    <x v="179"/>
    <x v="101"/>
    <x v="0"/>
    <n v="39"/>
    <s v="month"/>
    <n v="61"/>
    <x v="0"/>
    <x v="0"/>
  </r>
  <r>
    <n v="167165752"/>
    <x v="179"/>
    <x v="159"/>
    <x v="0"/>
    <n v="39"/>
    <s v="month"/>
    <n v="89"/>
    <x v="0"/>
    <x v="0"/>
  </r>
  <r>
    <n v="205664425"/>
    <x v="179"/>
    <x v="152"/>
    <x v="0"/>
    <n v="39"/>
    <s v="month"/>
    <n v="54"/>
    <x v="0"/>
    <x v="0"/>
  </r>
  <r>
    <n v="199179611"/>
    <x v="179"/>
    <x v="275"/>
    <x v="0"/>
    <n v="39"/>
    <s v="month"/>
    <n v="52"/>
    <x v="0"/>
    <x v="0"/>
  </r>
  <r>
    <n v="205660933"/>
    <x v="179"/>
    <x v="146"/>
    <x v="0"/>
    <n v="39"/>
    <s v="month"/>
    <n v="31"/>
    <x v="0"/>
    <x v="0"/>
  </r>
  <r>
    <n v="205660195"/>
    <x v="179"/>
    <x v="145"/>
    <x v="0"/>
    <n v="39"/>
    <s v="month"/>
    <n v="32"/>
    <x v="0"/>
    <x v="0"/>
  </r>
  <r>
    <n v="168598418"/>
    <x v="179"/>
    <x v="248"/>
    <x v="0"/>
    <n v="39"/>
    <s v="month"/>
    <n v="51"/>
    <x v="0"/>
    <x v="0"/>
  </r>
  <r>
    <n v="161182367"/>
    <x v="179"/>
    <x v="319"/>
    <x v="0"/>
    <n v="39"/>
    <s v="month"/>
    <n v="38"/>
    <x v="0"/>
    <x v="0"/>
  </r>
  <r>
    <n v="156943008"/>
    <x v="179"/>
    <x v="161"/>
    <x v="0"/>
    <n v="39"/>
    <s v="month"/>
    <n v="0"/>
    <x v="0"/>
    <x v="0"/>
  </r>
  <r>
    <n v="190657026"/>
    <x v="179"/>
    <x v="231"/>
    <x v="0"/>
    <n v="39"/>
    <s v="month"/>
    <n v="27"/>
    <x v="0"/>
    <x v="0"/>
  </r>
  <r>
    <n v="205700946"/>
    <x v="180"/>
    <x v="0"/>
    <x v="0"/>
    <n v="39"/>
    <s v="month"/>
    <s v="Not Cancelled"/>
    <x v="1"/>
    <x v="1"/>
  </r>
  <r>
    <n v="165807144"/>
    <x v="180"/>
    <x v="0"/>
    <x v="0"/>
    <n v="39"/>
    <s v="month"/>
    <s v="Not Cancelled"/>
    <x v="1"/>
    <x v="1"/>
  </r>
  <r>
    <n v="125635419"/>
    <x v="180"/>
    <x v="250"/>
    <x v="0"/>
    <n v="39"/>
    <s v="month"/>
    <n v="1"/>
    <x v="1"/>
    <x v="1"/>
  </r>
  <r>
    <n v="205707486"/>
    <x v="180"/>
    <x v="250"/>
    <x v="1"/>
    <n v="39"/>
    <s v="month"/>
    <n v="1"/>
    <x v="1"/>
    <x v="1"/>
  </r>
  <r>
    <n v="150663700"/>
    <x v="180"/>
    <x v="250"/>
    <x v="1"/>
    <n v="39"/>
    <s v="month"/>
    <n v="1"/>
    <x v="1"/>
    <x v="1"/>
  </r>
  <r>
    <n v="149157588"/>
    <x v="180"/>
    <x v="15"/>
    <x v="0"/>
    <n v="39"/>
    <s v="month"/>
    <n v="68"/>
    <x v="1"/>
    <x v="1"/>
  </r>
  <r>
    <n v="205686881"/>
    <x v="180"/>
    <x v="157"/>
    <x v="0"/>
    <n v="39"/>
    <s v="month"/>
    <n v="99"/>
    <x v="1"/>
    <x v="1"/>
  </r>
  <r>
    <n v="138347540"/>
    <x v="180"/>
    <x v="4"/>
    <x v="0"/>
    <n v="39"/>
    <s v="month"/>
    <n v="66"/>
    <x v="1"/>
    <x v="1"/>
  </r>
  <r>
    <n v="154344817"/>
    <x v="180"/>
    <x v="289"/>
    <x v="0"/>
    <n v="39"/>
    <s v="month"/>
    <n v="48"/>
    <x v="1"/>
    <x v="1"/>
  </r>
  <r>
    <n v="205530810"/>
    <x v="180"/>
    <x v="17"/>
    <x v="0"/>
    <n v="39"/>
    <s v="month"/>
    <n v="38"/>
    <x v="1"/>
    <x v="1"/>
  </r>
  <r>
    <n v="205731473"/>
    <x v="180"/>
    <x v="277"/>
    <x v="0"/>
    <n v="39"/>
    <s v="month"/>
    <n v="16"/>
    <x v="1"/>
    <x v="1"/>
  </r>
  <r>
    <n v="205692510"/>
    <x v="181"/>
    <x v="0"/>
    <x v="0"/>
    <n v="39"/>
    <s v="month"/>
    <s v="Not Cancelled"/>
    <x v="2"/>
    <x v="2"/>
  </r>
  <r>
    <n v="191670525"/>
    <x v="181"/>
    <x v="82"/>
    <x v="0"/>
    <n v="39"/>
    <s v="month"/>
    <n v="69"/>
    <x v="2"/>
    <x v="2"/>
  </r>
  <r>
    <n v="205492489"/>
    <x v="181"/>
    <x v="322"/>
    <x v="0"/>
    <n v="39"/>
    <s v="month"/>
    <n v="68"/>
    <x v="2"/>
    <x v="2"/>
  </r>
  <r>
    <n v="205026942"/>
    <x v="181"/>
    <x v="243"/>
    <x v="0"/>
    <n v="39"/>
    <s v="month"/>
    <n v="61"/>
    <x v="2"/>
    <x v="2"/>
  </r>
  <r>
    <n v="205768824"/>
    <x v="181"/>
    <x v="16"/>
    <x v="0"/>
    <n v="39"/>
    <s v="month"/>
    <n v="28"/>
    <x v="2"/>
    <x v="2"/>
  </r>
  <r>
    <n v="160824884"/>
    <x v="181"/>
    <x v="146"/>
    <x v="0"/>
    <n v="39"/>
    <s v="month"/>
    <n v="29"/>
    <x v="2"/>
    <x v="2"/>
  </r>
  <r>
    <n v="205742224"/>
    <x v="181"/>
    <x v="250"/>
    <x v="0"/>
    <n v="39"/>
    <s v="month"/>
    <n v="0"/>
    <x v="2"/>
    <x v="2"/>
  </r>
  <r>
    <n v="205804144"/>
    <x v="182"/>
    <x v="321"/>
    <x v="0"/>
    <n v="39"/>
    <s v="month"/>
    <n v="113"/>
    <x v="3"/>
    <x v="3"/>
  </r>
  <r>
    <n v="205703512"/>
    <x v="182"/>
    <x v="323"/>
    <x v="0"/>
    <n v="39"/>
    <s v="month"/>
    <n v="85"/>
    <x v="3"/>
    <x v="3"/>
  </r>
  <r>
    <n v="131181843"/>
    <x v="182"/>
    <x v="281"/>
    <x v="0"/>
    <n v="39"/>
    <s v="month"/>
    <n v="0"/>
    <x v="3"/>
    <x v="3"/>
  </r>
  <r>
    <n v="205713052"/>
    <x v="183"/>
    <x v="0"/>
    <x v="0"/>
    <n v="39"/>
    <s v="month"/>
    <s v="Not Cancelled"/>
    <x v="4"/>
    <x v="4"/>
  </r>
  <r>
    <n v="138121122"/>
    <x v="183"/>
    <x v="0"/>
    <x v="0"/>
    <n v="39"/>
    <s v="month"/>
    <s v="Not Cancelled"/>
    <x v="4"/>
    <x v="4"/>
  </r>
  <r>
    <n v="191326286"/>
    <x v="183"/>
    <x v="0"/>
    <x v="0"/>
    <n v="39"/>
    <s v="month"/>
    <s v="Not Cancelled"/>
    <x v="4"/>
    <x v="4"/>
  </r>
  <r>
    <n v="178838732"/>
    <x v="183"/>
    <x v="0"/>
    <x v="0"/>
    <n v="39"/>
    <s v="month"/>
    <s v="Not Cancelled"/>
    <x v="4"/>
    <x v="4"/>
  </r>
  <r>
    <n v="205871342"/>
    <x v="183"/>
    <x v="0"/>
    <x v="0"/>
    <n v="39"/>
    <s v="month"/>
    <s v="Not Cancelled"/>
    <x v="4"/>
    <x v="4"/>
  </r>
  <r>
    <n v="202160641"/>
    <x v="183"/>
    <x v="304"/>
    <x v="0"/>
    <n v="39"/>
    <s v="month"/>
    <n v="91"/>
    <x v="4"/>
    <x v="4"/>
  </r>
  <r>
    <n v="205786362"/>
    <x v="183"/>
    <x v="324"/>
    <x v="0"/>
    <n v="39"/>
    <s v="month"/>
    <n v="81"/>
    <x v="4"/>
    <x v="4"/>
  </r>
  <r>
    <n v="159798906"/>
    <x v="183"/>
    <x v="114"/>
    <x v="0"/>
    <n v="39"/>
    <s v="month"/>
    <n v="32"/>
    <x v="4"/>
    <x v="4"/>
  </r>
  <r>
    <n v="166276152"/>
    <x v="183"/>
    <x v="145"/>
    <x v="0"/>
    <n v="39"/>
    <s v="month"/>
    <n v="28"/>
    <x v="4"/>
    <x v="4"/>
  </r>
  <r>
    <n v="156353738"/>
    <x v="183"/>
    <x v="32"/>
    <x v="0"/>
    <n v="39"/>
    <s v="month"/>
    <n v="7"/>
    <x v="4"/>
    <x v="4"/>
  </r>
  <r>
    <n v="205864612"/>
    <x v="183"/>
    <x v="259"/>
    <x v="0"/>
    <n v="39"/>
    <s v="month"/>
    <n v="12"/>
    <x v="4"/>
    <x v="4"/>
  </r>
  <r>
    <n v="142757196"/>
    <x v="184"/>
    <x v="325"/>
    <x v="0"/>
    <n v="39"/>
    <s v="month"/>
    <n v="124"/>
    <x v="5"/>
    <x v="5"/>
  </r>
  <r>
    <n v="205971108"/>
    <x v="184"/>
    <x v="311"/>
    <x v="0"/>
    <n v="39"/>
    <s v="month"/>
    <n v="107"/>
    <x v="5"/>
    <x v="5"/>
  </r>
  <r>
    <n v="206001231"/>
    <x v="184"/>
    <x v="285"/>
    <x v="0"/>
    <n v="39"/>
    <s v="month"/>
    <n v="85"/>
    <x v="5"/>
    <x v="5"/>
  </r>
  <r>
    <n v="205878686"/>
    <x v="184"/>
    <x v="191"/>
    <x v="0"/>
    <n v="39"/>
    <s v="month"/>
    <n v="0"/>
    <x v="5"/>
    <x v="5"/>
  </r>
  <r>
    <n v="206052140"/>
    <x v="185"/>
    <x v="0"/>
    <x v="0"/>
    <n v="39"/>
    <s v="month"/>
    <s v="Not Cancelled"/>
    <x v="6"/>
    <x v="6"/>
  </r>
  <r>
    <n v="154082747"/>
    <x v="185"/>
    <x v="162"/>
    <x v="0"/>
    <n v="39"/>
    <s v="month"/>
    <n v="1"/>
    <x v="6"/>
    <x v="6"/>
  </r>
  <r>
    <n v="206017161"/>
    <x v="185"/>
    <x v="162"/>
    <x v="1"/>
    <n v="39"/>
    <s v="month"/>
    <n v="1"/>
    <x v="6"/>
    <x v="6"/>
  </r>
  <r>
    <n v="203152686"/>
    <x v="185"/>
    <x v="326"/>
    <x v="0"/>
    <n v="39"/>
    <s v="month"/>
    <n v="74"/>
    <x v="6"/>
    <x v="6"/>
  </r>
  <r>
    <n v="203320717"/>
    <x v="185"/>
    <x v="114"/>
    <x v="0"/>
    <n v="39"/>
    <s v="month"/>
    <n v="30"/>
    <x v="6"/>
    <x v="6"/>
  </r>
  <r>
    <n v="206076518"/>
    <x v="186"/>
    <x v="0"/>
    <x v="0"/>
    <n v="39"/>
    <s v="month"/>
    <s v="Not Cancelled"/>
    <x v="0"/>
    <x v="0"/>
  </r>
  <r>
    <n v="205881578"/>
    <x v="186"/>
    <x v="66"/>
    <x v="0"/>
    <n v="39"/>
    <s v="month"/>
    <n v="171"/>
    <x v="0"/>
    <x v="0"/>
  </r>
  <r>
    <n v="152513944"/>
    <x v="186"/>
    <x v="276"/>
    <x v="0"/>
    <n v="39"/>
    <s v="month"/>
    <n v="1"/>
    <x v="0"/>
    <x v="0"/>
  </r>
  <r>
    <n v="132371176"/>
    <x v="186"/>
    <x v="276"/>
    <x v="1"/>
    <n v="39"/>
    <s v="month"/>
    <n v="1"/>
    <x v="0"/>
    <x v="0"/>
  </r>
  <r>
    <n v="135092264"/>
    <x v="186"/>
    <x v="279"/>
    <x v="0"/>
    <n v="39"/>
    <s v="month"/>
    <n v="124"/>
    <x v="0"/>
    <x v="0"/>
  </r>
  <r>
    <n v="151297084"/>
    <x v="186"/>
    <x v="45"/>
    <x v="0"/>
    <n v="39"/>
    <s v="month"/>
    <n v="77"/>
    <x v="0"/>
    <x v="0"/>
  </r>
  <r>
    <n v="167010855"/>
    <x v="186"/>
    <x v="308"/>
    <x v="0"/>
    <n v="39"/>
    <s v="month"/>
    <n v="91"/>
    <x v="0"/>
    <x v="0"/>
  </r>
  <r>
    <n v="206122788"/>
    <x v="186"/>
    <x v="291"/>
    <x v="0"/>
    <n v="39"/>
    <s v="month"/>
    <n v="99"/>
    <x v="0"/>
    <x v="0"/>
  </r>
  <r>
    <n v="158439764"/>
    <x v="186"/>
    <x v="251"/>
    <x v="0"/>
    <n v="39"/>
    <s v="month"/>
    <n v="53"/>
    <x v="0"/>
    <x v="0"/>
  </r>
  <r>
    <n v="136723151"/>
    <x v="186"/>
    <x v="114"/>
    <x v="0"/>
    <n v="39"/>
    <s v="month"/>
    <n v="29"/>
    <x v="0"/>
    <x v="0"/>
  </r>
  <r>
    <n v="205875358"/>
    <x v="186"/>
    <x v="248"/>
    <x v="0"/>
    <n v="39"/>
    <s v="month"/>
    <n v="44"/>
    <x v="0"/>
    <x v="0"/>
  </r>
  <r>
    <n v="206082900"/>
    <x v="186"/>
    <x v="222"/>
    <x v="0"/>
    <n v="39"/>
    <s v="month"/>
    <n v="145"/>
    <x v="0"/>
    <x v="0"/>
  </r>
  <r>
    <n v="206139451"/>
    <x v="187"/>
    <x v="0"/>
    <x v="0"/>
    <n v="39"/>
    <s v="month"/>
    <s v="Not Cancelled"/>
    <x v="1"/>
    <x v="1"/>
  </r>
  <r>
    <n v="206196328"/>
    <x v="187"/>
    <x v="0"/>
    <x v="0"/>
    <n v="39"/>
    <s v="month"/>
    <s v="Not Cancelled"/>
    <x v="1"/>
    <x v="1"/>
  </r>
  <r>
    <n v="201122030"/>
    <x v="187"/>
    <x v="304"/>
    <x v="0"/>
    <n v="39"/>
    <s v="month"/>
    <n v="87"/>
    <x v="1"/>
    <x v="1"/>
  </r>
  <r>
    <n v="156218152"/>
    <x v="187"/>
    <x v="270"/>
    <x v="0"/>
    <n v="39"/>
    <s v="month"/>
    <n v="91"/>
    <x v="1"/>
    <x v="1"/>
  </r>
  <r>
    <n v="162718092"/>
    <x v="187"/>
    <x v="15"/>
    <x v="0"/>
    <n v="39"/>
    <s v="month"/>
    <n v="61"/>
    <x v="1"/>
    <x v="1"/>
  </r>
  <r>
    <n v="174606946"/>
    <x v="187"/>
    <x v="96"/>
    <x v="0"/>
    <n v="39"/>
    <s v="month"/>
    <n v="60"/>
    <x v="1"/>
    <x v="1"/>
  </r>
  <r>
    <n v="206159331"/>
    <x v="187"/>
    <x v="120"/>
    <x v="0"/>
    <n v="39"/>
    <s v="month"/>
    <n v="15"/>
    <x v="1"/>
    <x v="1"/>
  </r>
  <r>
    <n v="206272716"/>
    <x v="188"/>
    <x v="0"/>
    <x v="0"/>
    <n v="39"/>
    <s v="month"/>
    <s v="Not Cancelled"/>
    <x v="2"/>
    <x v="2"/>
  </r>
  <r>
    <n v="138104184"/>
    <x v="188"/>
    <x v="290"/>
    <x v="0"/>
    <n v="39"/>
    <s v="month"/>
    <n v="180"/>
    <x v="2"/>
    <x v="2"/>
  </r>
  <r>
    <n v="168264884"/>
    <x v="188"/>
    <x v="15"/>
    <x v="0"/>
    <n v="39"/>
    <s v="month"/>
    <n v="60"/>
    <x v="2"/>
    <x v="2"/>
  </r>
  <r>
    <n v="153200640"/>
    <x v="188"/>
    <x v="327"/>
    <x v="0"/>
    <n v="39"/>
    <s v="month"/>
    <n v="32"/>
    <x v="2"/>
    <x v="2"/>
  </r>
  <r>
    <n v="206251362"/>
    <x v="188"/>
    <x v="256"/>
    <x v="0"/>
    <n v="39"/>
    <s v="month"/>
    <n v="38"/>
    <x v="2"/>
    <x v="2"/>
  </r>
  <r>
    <n v="192386902"/>
    <x v="188"/>
    <x v="256"/>
    <x v="0"/>
    <n v="39"/>
    <s v="month"/>
    <n v="38"/>
    <x v="2"/>
    <x v="2"/>
  </r>
  <r>
    <n v="205851263"/>
    <x v="188"/>
    <x v="218"/>
    <x v="0"/>
    <n v="39"/>
    <s v="month"/>
    <n v="3"/>
    <x v="2"/>
    <x v="2"/>
  </r>
  <r>
    <n v="197873706"/>
    <x v="189"/>
    <x v="328"/>
    <x v="0"/>
    <n v="39"/>
    <s v="month"/>
    <n v="153"/>
    <x v="3"/>
    <x v="3"/>
  </r>
  <r>
    <n v="206284048"/>
    <x v="189"/>
    <x v="259"/>
    <x v="0"/>
    <n v="39"/>
    <s v="month"/>
    <n v="6"/>
    <x v="3"/>
    <x v="3"/>
  </r>
  <r>
    <n v="149761545"/>
    <x v="189"/>
    <x v="329"/>
    <x v="0"/>
    <n v="39"/>
    <s v="month"/>
    <n v="134"/>
    <x v="3"/>
    <x v="3"/>
  </r>
  <r>
    <n v="155010717"/>
    <x v="190"/>
    <x v="285"/>
    <x v="0"/>
    <n v="39"/>
    <s v="month"/>
    <n v="79"/>
    <x v="4"/>
    <x v="4"/>
  </r>
  <r>
    <n v="151407531"/>
    <x v="190"/>
    <x v="327"/>
    <x v="0"/>
    <n v="39"/>
    <s v="month"/>
    <n v="30"/>
    <x v="4"/>
    <x v="4"/>
  </r>
  <r>
    <n v="206407796"/>
    <x v="190"/>
    <x v="82"/>
    <x v="0"/>
    <n v="39"/>
    <s v="month"/>
    <n v="60"/>
    <x v="4"/>
    <x v="4"/>
  </r>
  <r>
    <n v="206247835"/>
    <x v="190"/>
    <x v="45"/>
    <x v="0"/>
    <n v="39"/>
    <s v="month"/>
    <n v="73"/>
    <x v="4"/>
    <x v="4"/>
  </r>
  <r>
    <n v="206382927"/>
    <x v="190"/>
    <x v="330"/>
    <x v="0"/>
    <n v="39"/>
    <s v="month"/>
    <n v="72"/>
    <x v="4"/>
    <x v="4"/>
  </r>
  <r>
    <n v="206147500"/>
    <x v="190"/>
    <x v="317"/>
    <x v="0"/>
    <n v="39"/>
    <s v="month"/>
    <n v="66"/>
    <x v="4"/>
    <x v="4"/>
  </r>
  <r>
    <n v="206330714"/>
    <x v="190"/>
    <x v="114"/>
    <x v="0"/>
    <n v="39"/>
    <s v="month"/>
    <n v="25"/>
    <x v="4"/>
    <x v="4"/>
  </r>
  <r>
    <n v="206121650"/>
    <x v="190"/>
    <x v="319"/>
    <x v="0"/>
    <n v="39"/>
    <s v="month"/>
    <n v="27"/>
    <x v="4"/>
    <x v="4"/>
  </r>
  <r>
    <n v="182504578"/>
    <x v="190"/>
    <x v="289"/>
    <x v="0"/>
    <n v="39"/>
    <s v="month"/>
    <n v="38"/>
    <x v="4"/>
    <x v="4"/>
  </r>
  <r>
    <n v="204362311"/>
    <x v="190"/>
    <x v="69"/>
    <x v="0"/>
    <n v="39"/>
    <s v="month"/>
    <n v="93"/>
    <x v="4"/>
    <x v="4"/>
  </r>
  <r>
    <n v="206504573"/>
    <x v="191"/>
    <x v="0"/>
    <x v="0"/>
    <n v="39"/>
    <s v="month"/>
    <s v="Not Cancelled"/>
    <x v="5"/>
    <x v="5"/>
  </r>
  <r>
    <n v="206490851"/>
    <x v="191"/>
    <x v="0"/>
    <x v="0"/>
    <n v="39"/>
    <s v="month"/>
    <s v="Not Cancelled"/>
    <x v="5"/>
    <x v="5"/>
  </r>
  <r>
    <n v="206468868"/>
    <x v="191"/>
    <x v="0"/>
    <x v="0"/>
    <n v="39"/>
    <s v="month"/>
    <s v="Not Cancelled"/>
    <x v="5"/>
    <x v="5"/>
  </r>
  <r>
    <n v="206316124"/>
    <x v="191"/>
    <x v="0"/>
    <x v="0"/>
    <n v="39"/>
    <s v="month"/>
    <s v="Not Cancelled"/>
    <x v="5"/>
    <x v="5"/>
  </r>
  <r>
    <n v="203404034"/>
    <x v="191"/>
    <x v="311"/>
    <x v="0"/>
    <n v="39"/>
    <s v="month"/>
    <n v="100"/>
    <x v="5"/>
    <x v="5"/>
  </r>
  <r>
    <n v="206284545"/>
    <x v="191"/>
    <x v="127"/>
    <x v="0"/>
    <n v="39"/>
    <s v="month"/>
    <n v="81"/>
    <x v="5"/>
    <x v="5"/>
  </r>
  <r>
    <n v="206470657"/>
    <x v="191"/>
    <x v="284"/>
    <x v="0"/>
    <n v="39"/>
    <s v="month"/>
    <n v="50"/>
    <x v="5"/>
    <x v="5"/>
  </r>
  <r>
    <n v="206458744"/>
    <x v="191"/>
    <x v="266"/>
    <x v="0"/>
    <n v="39"/>
    <s v="month"/>
    <n v="41"/>
    <x v="5"/>
    <x v="5"/>
  </r>
  <r>
    <n v="206122814"/>
    <x v="191"/>
    <x v="257"/>
    <x v="0"/>
    <n v="39"/>
    <s v="month"/>
    <n v="30"/>
    <x v="5"/>
    <x v="5"/>
  </r>
  <r>
    <n v="206549666"/>
    <x v="192"/>
    <x v="0"/>
    <x v="0"/>
    <n v="39"/>
    <s v="month"/>
    <s v="Not Cancelled"/>
    <x v="6"/>
    <x v="6"/>
  </r>
  <r>
    <n v="133623621"/>
    <x v="192"/>
    <x v="0"/>
    <x v="0"/>
    <n v="39"/>
    <s v="month"/>
    <s v="Not Cancelled"/>
    <x v="6"/>
    <x v="6"/>
  </r>
  <r>
    <n v="130982816"/>
    <x v="192"/>
    <x v="0"/>
    <x v="0"/>
    <n v="39"/>
    <s v="month"/>
    <s v="Not Cancelled"/>
    <x v="6"/>
    <x v="6"/>
  </r>
  <r>
    <n v="143776119"/>
    <x v="192"/>
    <x v="331"/>
    <x v="0"/>
    <n v="39"/>
    <s v="month"/>
    <n v="166"/>
    <x v="6"/>
    <x v="6"/>
  </r>
  <r>
    <n v="206542743"/>
    <x v="192"/>
    <x v="220"/>
    <x v="1"/>
    <n v="39"/>
    <s v="month"/>
    <n v="1"/>
    <x v="6"/>
    <x v="6"/>
  </r>
  <r>
    <n v="206158603"/>
    <x v="192"/>
    <x v="220"/>
    <x v="1"/>
    <n v="39"/>
    <s v="month"/>
    <n v="1"/>
    <x v="6"/>
    <x v="6"/>
  </r>
  <r>
    <n v="206548046"/>
    <x v="192"/>
    <x v="308"/>
    <x v="0"/>
    <n v="39"/>
    <s v="month"/>
    <n v="85"/>
    <x v="6"/>
    <x v="6"/>
  </r>
  <r>
    <n v="168464004"/>
    <x v="192"/>
    <x v="73"/>
    <x v="0"/>
    <n v="39"/>
    <s v="month"/>
    <n v="78"/>
    <x v="6"/>
    <x v="6"/>
  </r>
  <r>
    <n v="146330379"/>
    <x v="192"/>
    <x v="185"/>
    <x v="0"/>
    <n v="39"/>
    <s v="month"/>
    <n v="35"/>
    <x v="6"/>
    <x v="6"/>
  </r>
  <r>
    <n v="206006946"/>
    <x v="192"/>
    <x v="288"/>
    <x v="0"/>
    <n v="39"/>
    <s v="month"/>
    <n v="68"/>
    <x v="6"/>
    <x v="6"/>
  </r>
  <r>
    <n v="206531388"/>
    <x v="192"/>
    <x v="22"/>
    <x v="0"/>
    <n v="39"/>
    <s v="month"/>
    <n v="21"/>
    <x v="6"/>
    <x v="6"/>
  </r>
  <r>
    <n v="206512820"/>
    <x v="192"/>
    <x v="315"/>
    <x v="0"/>
    <n v="39"/>
    <s v="month"/>
    <n v="119"/>
    <x v="6"/>
    <x v="6"/>
  </r>
  <r>
    <n v="206501414"/>
    <x v="193"/>
    <x v="0"/>
    <x v="0"/>
    <n v="39"/>
    <s v="month"/>
    <s v="Not Cancelled"/>
    <x v="0"/>
    <x v="0"/>
  </r>
  <r>
    <n v="181175226"/>
    <x v="193"/>
    <x v="189"/>
    <x v="0"/>
    <n v="39"/>
    <s v="month"/>
    <n v="15"/>
    <x v="0"/>
    <x v="0"/>
  </r>
  <r>
    <n v="148758550"/>
    <x v="194"/>
    <x v="0"/>
    <x v="0"/>
    <n v="39"/>
    <s v="month"/>
    <s v="Not Cancelled"/>
    <x v="1"/>
    <x v="1"/>
  </r>
  <r>
    <n v="206682036"/>
    <x v="194"/>
    <x v="0"/>
    <x v="0"/>
    <n v="39"/>
    <s v="month"/>
    <s v="Not Cancelled"/>
    <x v="1"/>
    <x v="1"/>
  </r>
  <r>
    <n v="206149654"/>
    <x v="194"/>
    <x v="0"/>
    <x v="0"/>
    <n v="39"/>
    <s v="month"/>
    <s v="Not Cancelled"/>
    <x v="1"/>
    <x v="1"/>
  </r>
  <r>
    <n v="206653056"/>
    <x v="194"/>
    <x v="0"/>
    <x v="0"/>
    <n v="39"/>
    <s v="month"/>
    <s v="Not Cancelled"/>
    <x v="1"/>
    <x v="1"/>
  </r>
  <r>
    <n v="198466025"/>
    <x v="194"/>
    <x v="0"/>
    <x v="0"/>
    <n v="39"/>
    <s v="month"/>
    <s v="Not Cancelled"/>
    <x v="1"/>
    <x v="1"/>
  </r>
  <r>
    <n v="206685935"/>
    <x v="194"/>
    <x v="259"/>
    <x v="1"/>
    <n v="39"/>
    <s v="month"/>
    <n v="1"/>
    <x v="1"/>
    <x v="1"/>
  </r>
  <r>
    <n v="206659390"/>
    <x v="194"/>
    <x v="259"/>
    <x v="1"/>
    <n v="39"/>
    <s v="month"/>
    <n v="1"/>
    <x v="1"/>
    <x v="1"/>
  </r>
  <r>
    <n v="206550926"/>
    <x v="194"/>
    <x v="299"/>
    <x v="0"/>
    <n v="39"/>
    <s v="month"/>
    <n v="31"/>
    <x v="1"/>
    <x v="1"/>
  </r>
  <r>
    <n v="206673590"/>
    <x v="194"/>
    <x v="292"/>
    <x v="0"/>
    <n v="39"/>
    <s v="month"/>
    <n v="13"/>
    <x v="1"/>
    <x v="1"/>
  </r>
  <r>
    <n v="205593462"/>
    <x v="194"/>
    <x v="195"/>
    <x v="0"/>
    <n v="39"/>
    <s v="month"/>
    <n v="146"/>
    <x v="1"/>
    <x v="1"/>
  </r>
  <r>
    <n v="205889926"/>
    <x v="195"/>
    <x v="0"/>
    <x v="0"/>
    <n v="39"/>
    <s v="month"/>
    <s v="Not Cancelled"/>
    <x v="2"/>
    <x v="2"/>
  </r>
  <r>
    <n v="151713121"/>
    <x v="195"/>
    <x v="0"/>
    <x v="0"/>
    <n v="39"/>
    <s v="month"/>
    <s v="Not Cancelled"/>
    <x v="2"/>
    <x v="2"/>
  </r>
  <r>
    <n v="206759898"/>
    <x v="195"/>
    <x v="277"/>
    <x v="1"/>
    <n v="39"/>
    <s v="month"/>
    <n v="1"/>
    <x v="2"/>
    <x v="2"/>
  </r>
  <r>
    <n v="206750792"/>
    <x v="195"/>
    <x v="277"/>
    <x v="1"/>
    <n v="39"/>
    <s v="month"/>
    <n v="1"/>
    <x v="2"/>
    <x v="2"/>
  </r>
  <r>
    <n v="206742592"/>
    <x v="195"/>
    <x v="277"/>
    <x v="1"/>
    <n v="39"/>
    <s v="month"/>
    <n v="1"/>
    <x v="2"/>
    <x v="2"/>
  </r>
  <r>
    <n v="206700008"/>
    <x v="195"/>
    <x v="277"/>
    <x v="1"/>
    <n v="39"/>
    <s v="month"/>
    <n v="1"/>
    <x v="2"/>
    <x v="2"/>
  </r>
  <r>
    <n v="156170916"/>
    <x v="195"/>
    <x v="332"/>
    <x v="0"/>
    <n v="39"/>
    <s v="month"/>
    <n v="149"/>
    <x v="2"/>
    <x v="2"/>
  </r>
  <r>
    <n v="206607664"/>
    <x v="195"/>
    <x v="152"/>
    <x v="0"/>
    <n v="39"/>
    <s v="month"/>
    <n v="38"/>
    <x v="2"/>
    <x v="2"/>
  </r>
  <r>
    <n v="183332399"/>
    <x v="196"/>
    <x v="0"/>
    <x v="0"/>
    <n v="39"/>
    <s v="month"/>
    <s v="Not Cancelled"/>
    <x v="3"/>
    <x v="3"/>
  </r>
  <r>
    <n v="176705210"/>
    <x v="196"/>
    <x v="253"/>
    <x v="0"/>
    <n v="39"/>
    <s v="month"/>
    <n v="1"/>
    <x v="3"/>
    <x v="3"/>
  </r>
  <r>
    <n v="154901722"/>
    <x v="196"/>
    <x v="277"/>
    <x v="0"/>
    <n v="39"/>
    <s v="month"/>
    <n v="0"/>
    <x v="3"/>
    <x v="3"/>
  </r>
  <r>
    <n v="153438676"/>
    <x v="196"/>
    <x v="324"/>
    <x v="0"/>
    <n v="39"/>
    <s v="month"/>
    <n v="68"/>
    <x v="3"/>
    <x v="3"/>
  </r>
  <r>
    <n v="154901722"/>
    <x v="196"/>
    <x v="243"/>
    <x v="0"/>
    <n v="39"/>
    <s v="month"/>
    <n v="46"/>
    <x v="3"/>
    <x v="3"/>
  </r>
  <r>
    <n v="123768696"/>
    <x v="196"/>
    <x v="246"/>
    <x v="0"/>
    <n v="39"/>
    <s v="month"/>
    <n v="23"/>
    <x v="3"/>
    <x v="3"/>
  </r>
  <r>
    <n v="142976081"/>
    <x v="196"/>
    <x v="185"/>
    <x v="0"/>
    <n v="39"/>
    <s v="month"/>
    <n v="31"/>
    <x v="3"/>
    <x v="3"/>
  </r>
  <r>
    <n v="152223051"/>
    <x v="197"/>
    <x v="0"/>
    <x v="0"/>
    <n v="39"/>
    <s v="month"/>
    <s v="Not Cancelled"/>
    <x v="4"/>
    <x v="4"/>
  </r>
  <r>
    <n v="206865174"/>
    <x v="197"/>
    <x v="0"/>
    <x v="0"/>
    <n v="39"/>
    <s v="month"/>
    <s v="Not Cancelled"/>
    <x v="4"/>
    <x v="4"/>
  </r>
  <r>
    <n v="143327052"/>
    <x v="197"/>
    <x v="0"/>
    <x v="0"/>
    <n v="39"/>
    <s v="month"/>
    <s v="Not Cancelled"/>
    <x v="4"/>
    <x v="4"/>
  </r>
  <r>
    <n v="202270426"/>
    <x v="197"/>
    <x v="233"/>
    <x v="0"/>
    <n v="39"/>
    <s v="month"/>
    <n v="1"/>
    <x v="4"/>
    <x v="4"/>
  </r>
  <r>
    <n v="185602413"/>
    <x v="197"/>
    <x v="293"/>
    <x v="0"/>
    <n v="39"/>
    <s v="month"/>
    <n v="99"/>
    <x v="4"/>
    <x v="4"/>
  </r>
  <r>
    <n v="206679618"/>
    <x v="197"/>
    <x v="251"/>
    <x v="0"/>
    <n v="39"/>
    <s v="month"/>
    <n v="42"/>
    <x v="4"/>
    <x v="4"/>
  </r>
  <r>
    <n v="127561439"/>
    <x v="197"/>
    <x v="185"/>
    <x v="0"/>
    <n v="39"/>
    <s v="month"/>
    <n v="30"/>
    <x v="4"/>
    <x v="4"/>
  </r>
  <r>
    <n v="176705210"/>
    <x v="197"/>
    <x v="253"/>
    <x v="0"/>
    <n v="39"/>
    <s v="month"/>
    <n v="0"/>
    <x v="4"/>
    <x v="4"/>
  </r>
  <r>
    <n v="206693452"/>
    <x v="198"/>
    <x v="0"/>
    <x v="0"/>
    <n v="39"/>
    <s v="month"/>
    <s v="Not Cancelled"/>
    <x v="5"/>
    <x v="5"/>
  </r>
  <r>
    <n v="193499084"/>
    <x v="198"/>
    <x v="0"/>
    <x v="0"/>
    <n v="39"/>
    <s v="month"/>
    <s v="Not Cancelled"/>
    <x v="5"/>
    <x v="5"/>
  </r>
  <r>
    <n v="206995576"/>
    <x v="198"/>
    <x v="333"/>
    <x v="0"/>
    <n v="39"/>
    <s v="month"/>
    <n v="157"/>
    <x v="5"/>
    <x v="5"/>
  </r>
  <r>
    <n v="154783053"/>
    <x v="198"/>
    <x v="243"/>
    <x v="0"/>
    <n v="39"/>
    <s v="month"/>
    <n v="44"/>
    <x v="5"/>
    <x v="5"/>
  </r>
  <r>
    <n v="158349405"/>
    <x v="198"/>
    <x v="55"/>
    <x v="0"/>
    <n v="39"/>
    <s v="month"/>
    <n v="148"/>
    <x v="5"/>
    <x v="5"/>
  </r>
  <r>
    <n v="205554002"/>
    <x v="198"/>
    <x v="334"/>
    <x v="0"/>
    <n v="39"/>
    <s v="month"/>
    <n v="147"/>
    <x v="5"/>
    <x v="5"/>
  </r>
  <r>
    <n v="207045565"/>
    <x v="199"/>
    <x v="0"/>
    <x v="0"/>
    <n v="39"/>
    <s v="month"/>
    <s v="Not Cancelled"/>
    <x v="6"/>
    <x v="6"/>
  </r>
  <r>
    <n v="205483607"/>
    <x v="199"/>
    <x v="0"/>
    <x v="0"/>
    <n v="39"/>
    <s v="month"/>
    <s v="Not Cancelled"/>
    <x v="6"/>
    <x v="6"/>
  </r>
  <r>
    <n v="147662374"/>
    <x v="199"/>
    <x v="0"/>
    <x v="0"/>
    <n v="39"/>
    <s v="month"/>
    <s v="Not Cancelled"/>
    <x v="6"/>
    <x v="6"/>
  </r>
  <r>
    <n v="150652956"/>
    <x v="199"/>
    <x v="246"/>
    <x v="0"/>
    <n v="39"/>
    <s v="month"/>
    <n v="20"/>
    <x v="6"/>
    <x v="6"/>
  </r>
  <r>
    <n v="206527656"/>
    <x v="199"/>
    <x v="308"/>
    <x v="0"/>
    <n v="39"/>
    <s v="month"/>
    <n v="78"/>
    <x v="6"/>
    <x v="6"/>
  </r>
  <r>
    <n v="207041353"/>
    <x v="199"/>
    <x v="171"/>
    <x v="0"/>
    <n v="39"/>
    <s v="month"/>
    <n v="58"/>
    <x v="6"/>
    <x v="6"/>
  </r>
  <r>
    <n v="204448911"/>
    <x v="199"/>
    <x v="141"/>
    <x v="0"/>
    <n v="39"/>
    <s v="month"/>
    <n v="30"/>
    <x v="6"/>
    <x v="6"/>
  </r>
  <r>
    <n v="206951785"/>
    <x v="199"/>
    <x v="289"/>
    <x v="0"/>
    <n v="39"/>
    <s v="month"/>
    <n v="29"/>
    <x v="6"/>
    <x v="6"/>
  </r>
  <r>
    <n v="206892555"/>
    <x v="199"/>
    <x v="272"/>
    <x v="0"/>
    <n v="39"/>
    <s v="month"/>
    <n v="2"/>
    <x v="6"/>
    <x v="6"/>
  </r>
  <r>
    <n v="207051401"/>
    <x v="200"/>
    <x v="0"/>
    <x v="0"/>
    <n v="39"/>
    <s v="month"/>
    <s v="Not Cancelled"/>
    <x v="0"/>
    <x v="0"/>
  </r>
  <r>
    <n v="206904848"/>
    <x v="200"/>
    <x v="0"/>
    <x v="0"/>
    <n v="39"/>
    <s v="month"/>
    <s v="Not Cancelled"/>
    <x v="0"/>
    <x v="0"/>
  </r>
  <r>
    <n v="204598188"/>
    <x v="200"/>
    <x v="335"/>
    <x v="0"/>
    <n v="39"/>
    <s v="month"/>
    <n v="161"/>
    <x v="0"/>
    <x v="0"/>
  </r>
  <r>
    <n v="206447228"/>
    <x v="200"/>
    <x v="324"/>
    <x v="0"/>
    <n v="39"/>
    <s v="month"/>
    <n v="64"/>
    <x v="0"/>
    <x v="0"/>
  </r>
  <r>
    <n v="206190599"/>
    <x v="200"/>
    <x v="322"/>
    <x v="0"/>
    <n v="39"/>
    <s v="month"/>
    <n v="49"/>
    <x v="0"/>
    <x v="0"/>
  </r>
  <r>
    <n v="207014740"/>
    <x v="200"/>
    <x v="114"/>
    <x v="0"/>
    <n v="39"/>
    <s v="month"/>
    <n v="15"/>
    <x v="0"/>
    <x v="0"/>
  </r>
  <r>
    <n v="156762690"/>
    <x v="200"/>
    <x v="141"/>
    <x v="0"/>
    <n v="39"/>
    <s v="month"/>
    <n v="29"/>
    <x v="0"/>
    <x v="0"/>
  </r>
  <r>
    <n v="207116463"/>
    <x v="200"/>
    <x v="141"/>
    <x v="0"/>
    <n v="39"/>
    <s v="month"/>
    <n v="29"/>
    <x v="0"/>
    <x v="0"/>
  </r>
  <r>
    <n v="206555111"/>
    <x v="200"/>
    <x v="299"/>
    <x v="0"/>
    <n v="39"/>
    <s v="month"/>
    <n v="25"/>
    <x v="0"/>
    <x v="0"/>
  </r>
  <r>
    <n v="169543155"/>
    <x v="200"/>
    <x v="300"/>
    <x v="0"/>
    <n v="39"/>
    <s v="month"/>
    <n v="38"/>
    <x v="0"/>
    <x v="0"/>
  </r>
  <r>
    <n v="202270426"/>
    <x v="200"/>
    <x v="300"/>
    <x v="0"/>
    <n v="39"/>
    <s v="month"/>
    <n v="38"/>
    <x v="0"/>
    <x v="0"/>
  </r>
  <r>
    <n v="207005361"/>
    <x v="200"/>
    <x v="279"/>
    <x v="0"/>
    <n v="39"/>
    <s v="month"/>
    <n v="110"/>
    <x v="0"/>
    <x v="0"/>
  </r>
  <r>
    <n v="206105763"/>
    <x v="201"/>
    <x v="0"/>
    <x v="0"/>
    <n v="39"/>
    <s v="month"/>
    <s v="Not Cancelled"/>
    <x v="1"/>
    <x v="1"/>
  </r>
  <r>
    <n v="198968224"/>
    <x v="201"/>
    <x v="0"/>
    <x v="0"/>
    <n v="39"/>
    <s v="month"/>
    <s v="Not Cancelled"/>
    <x v="1"/>
    <x v="1"/>
  </r>
  <r>
    <n v="205342230"/>
    <x v="201"/>
    <x v="0"/>
    <x v="0"/>
    <n v="39"/>
    <s v="month"/>
    <s v="Not Cancelled"/>
    <x v="1"/>
    <x v="1"/>
  </r>
  <r>
    <n v="207224044"/>
    <x v="201"/>
    <x v="0"/>
    <x v="0"/>
    <n v="39"/>
    <s v="month"/>
    <s v="Not Cancelled"/>
    <x v="1"/>
    <x v="1"/>
  </r>
  <r>
    <n v="174232231"/>
    <x v="201"/>
    <x v="0"/>
    <x v="0"/>
    <n v="39"/>
    <s v="month"/>
    <s v="Not Cancelled"/>
    <x v="1"/>
    <x v="1"/>
  </r>
  <r>
    <n v="207017124"/>
    <x v="201"/>
    <x v="272"/>
    <x v="1"/>
    <n v="39"/>
    <s v="month"/>
    <n v="0"/>
    <x v="1"/>
    <x v="1"/>
  </r>
  <r>
    <n v="194006146"/>
    <x v="201"/>
    <x v="291"/>
    <x v="0"/>
    <n v="39"/>
    <s v="month"/>
    <n v="84"/>
    <x v="1"/>
    <x v="1"/>
  </r>
  <r>
    <n v="150509580"/>
    <x v="201"/>
    <x v="270"/>
    <x v="0"/>
    <n v="39"/>
    <s v="month"/>
    <n v="77"/>
    <x v="1"/>
    <x v="1"/>
  </r>
  <r>
    <n v="207120479"/>
    <x v="201"/>
    <x v="159"/>
    <x v="0"/>
    <n v="39"/>
    <s v="month"/>
    <n v="67"/>
    <x v="1"/>
    <x v="1"/>
  </r>
  <r>
    <n v="162069198"/>
    <x v="201"/>
    <x v="275"/>
    <x v="0"/>
    <n v="39"/>
    <s v="month"/>
    <n v="30"/>
    <x v="1"/>
    <x v="1"/>
  </r>
  <r>
    <n v="206742272"/>
    <x v="201"/>
    <x v="336"/>
    <x v="0"/>
    <n v="39"/>
    <s v="month"/>
    <n v="35"/>
    <x v="1"/>
    <x v="1"/>
  </r>
  <r>
    <n v="207433836"/>
    <x v="202"/>
    <x v="0"/>
    <x v="0"/>
    <n v="39"/>
    <s v="month"/>
    <s v="Not Cancelled"/>
    <x v="2"/>
    <x v="2"/>
  </r>
  <r>
    <n v="207382183"/>
    <x v="202"/>
    <x v="0"/>
    <x v="0"/>
    <n v="39"/>
    <s v="month"/>
    <s v="Not Cancelled"/>
    <x v="2"/>
    <x v="2"/>
  </r>
  <r>
    <n v="205051942"/>
    <x v="202"/>
    <x v="0"/>
    <x v="0"/>
    <n v="39"/>
    <s v="month"/>
    <s v="Not Cancelled"/>
    <x v="2"/>
    <x v="2"/>
  </r>
  <r>
    <n v="132631414"/>
    <x v="202"/>
    <x v="135"/>
    <x v="0"/>
    <n v="39"/>
    <s v="month"/>
    <n v="99"/>
    <x v="2"/>
    <x v="2"/>
  </r>
  <r>
    <n v="207529664"/>
    <x v="202"/>
    <x v="189"/>
    <x v="0"/>
    <n v="39"/>
    <s v="month"/>
    <n v="6"/>
    <x v="2"/>
    <x v="2"/>
  </r>
  <r>
    <n v="207022940"/>
    <x v="202"/>
    <x v="337"/>
    <x v="0"/>
    <n v="39"/>
    <s v="month"/>
    <n v="107"/>
    <x v="2"/>
    <x v="2"/>
  </r>
  <r>
    <n v="207388337"/>
    <x v="202"/>
    <x v="204"/>
    <x v="0"/>
    <n v="39"/>
    <s v="month"/>
    <n v="131"/>
    <x v="2"/>
    <x v="2"/>
  </r>
  <r>
    <n v="205883858"/>
    <x v="203"/>
    <x v="0"/>
    <x v="0"/>
    <n v="39"/>
    <s v="month"/>
    <s v="Not Cancelled"/>
    <x v="3"/>
    <x v="3"/>
  </r>
  <r>
    <n v="173711359"/>
    <x v="203"/>
    <x v="157"/>
    <x v="0"/>
    <n v="39"/>
    <s v="month"/>
    <n v="76"/>
    <x v="3"/>
    <x v="3"/>
  </r>
  <r>
    <n v="207078726"/>
    <x v="203"/>
    <x v="232"/>
    <x v="0"/>
    <n v="39"/>
    <s v="month"/>
    <n v="79"/>
    <x v="3"/>
    <x v="3"/>
  </r>
  <r>
    <n v="207415911"/>
    <x v="203"/>
    <x v="285"/>
    <x v="0"/>
    <n v="39"/>
    <s v="month"/>
    <n v="66"/>
    <x v="3"/>
    <x v="3"/>
  </r>
  <r>
    <n v="207391012"/>
    <x v="203"/>
    <x v="128"/>
    <x v="0"/>
    <n v="39"/>
    <s v="month"/>
    <n v="11"/>
    <x v="3"/>
    <x v="3"/>
  </r>
  <r>
    <n v="207699946"/>
    <x v="203"/>
    <x v="266"/>
    <x v="0"/>
    <n v="39"/>
    <s v="month"/>
    <n v="29"/>
    <x v="3"/>
    <x v="3"/>
  </r>
  <r>
    <n v="207665488"/>
    <x v="203"/>
    <x v="208"/>
    <x v="0"/>
    <n v="39"/>
    <s v="month"/>
    <n v="0"/>
    <x v="3"/>
    <x v="3"/>
  </r>
  <r>
    <n v="207742153"/>
    <x v="203"/>
    <x v="160"/>
    <x v="0"/>
    <n v="39"/>
    <s v="month"/>
    <n v="103"/>
    <x v="3"/>
    <x v="3"/>
  </r>
  <r>
    <n v="207288677"/>
    <x v="204"/>
    <x v="0"/>
    <x v="0"/>
    <n v="39"/>
    <s v="month"/>
    <s v="Not Cancelled"/>
    <x v="4"/>
    <x v="4"/>
  </r>
  <r>
    <n v="208151007"/>
    <x v="204"/>
    <x v="0"/>
    <x v="0"/>
    <n v="39"/>
    <s v="month"/>
    <s v="Not Cancelled"/>
    <x v="4"/>
    <x v="4"/>
  </r>
  <r>
    <n v="207218336"/>
    <x v="204"/>
    <x v="0"/>
    <x v="0"/>
    <n v="39"/>
    <s v="month"/>
    <s v="Not Cancelled"/>
    <x v="4"/>
    <x v="4"/>
  </r>
  <r>
    <n v="208105889"/>
    <x v="204"/>
    <x v="0"/>
    <x v="0"/>
    <n v="39"/>
    <s v="month"/>
    <s v="Not Cancelled"/>
    <x v="4"/>
    <x v="4"/>
  </r>
  <r>
    <n v="152221925"/>
    <x v="204"/>
    <x v="338"/>
    <x v="0"/>
    <n v="39"/>
    <s v="month"/>
    <n v="84"/>
    <x v="4"/>
    <x v="4"/>
  </r>
  <r>
    <n v="207090754"/>
    <x v="204"/>
    <x v="73"/>
    <x v="0"/>
    <n v="39"/>
    <s v="month"/>
    <n v="66"/>
    <x v="4"/>
    <x v="4"/>
  </r>
  <r>
    <n v="128283235"/>
    <x v="204"/>
    <x v="282"/>
    <x v="0"/>
    <n v="39"/>
    <s v="month"/>
    <n v="122"/>
    <x v="4"/>
    <x v="4"/>
  </r>
  <r>
    <n v="206686106"/>
    <x v="204"/>
    <x v="243"/>
    <x v="0"/>
    <n v="39"/>
    <s v="month"/>
    <n v="38"/>
    <x v="4"/>
    <x v="4"/>
  </r>
  <r>
    <n v="208090380"/>
    <x v="204"/>
    <x v="17"/>
    <x v="0"/>
    <n v="39"/>
    <s v="month"/>
    <n v="14"/>
    <x v="4"/>
    <x v="4"/>
  </r>
  <r>
    <n v="153281230"/>
    <x v="204"/>
    <x v="299"/>
    <x v="0"/>
    <n v="39"/>
    <s v="month"/>
    <n v="21"/>
    <x v="4"/>
    <x v="4"/>
  </r>
  <r>
    <n v="205049710"/>
    <x v="204"/>
    <x v="125"/>
    <x v="0"/>
    <n v="39"/>
    <s v="month"/>
    <n v="1"/>
    <x v="4"/>
    <x v="4"/>
  </r>
  <r>
    <n v="208618235"/>
    <x v="205"/>
    <x v="0"/>
    <x v="0"/>
    <n v="39"/>
    <s v="month"/>
    <s v="Not Cancelled"/>
    <x v="5"/>
    <x v="5"/>
  </r>
  <r>
    <n v="167713351"/>
    <x v="205"/>
    <x v="0"/>
    <x v="0"/>
    <n v="39"/>
    <s v="month"/>
    <s v="Not Cancelled"/>
    <x v="5"/>
    <x v="5"/>
  </r>
  <r>
    <n v="149975492"/>
    <x v="205"/>
    <x v="0"/>
    <x v="0"/>
    <n v="39"/>
    <s v="month"/>
    <s v="Not Cancelled"/>
    <x v="5"/>
    <x v="5"/>
  </r>
  <r>
    <n v="208286745"/>
    <x v="205"/>
    <x v="0"/>
    <x v="0"/>
    <n v="39"/>
    <s v="month"/>
    <s v="Not Cancelled"/>
    <x v="5"/>
    <x v="5"/>
  </r>
  <r>
    <n v="208473540"/>
    <x v="205"/>
    <x v="125"/>
    <x v="0"/>
    <n v="39"/>
    <s v="month"/>
    <n v="0"/>
    <x v="5"/>
    <x v="5"/>
  </r>
  <r>
    <n v="137721176"/>
    <x v="205"/>
    <x v="296"/>
    <x v="0"/>
    <n v="39"/>
    <s v="month"/>
    <n v="125"/>
    <x v="5"/>
    <x v="5"/>
  </r>
  <r>
    <n v="140062581"/>
    <x v="205"/>
    <x v="174"/>
    <x v="0"/>
    <n v="39"/>
    <s v="month"/>
    <n v="46"/>
    <x v="5"/>
    <x v="5"/>
  </r>
  <r>
    <n v="208488674"/>
    <x v="205"/>
    <x v="73"/>
    <x v="0"/>
    <n v="39"/>
    <s v="month"/>
    <n v="65"/>
    <x v="5"/>
    <x v="5"/>
  </r>
  <r>
    <n v="162752410"/>
    <x v="205"/>
    <x v="339"/>
    <x v="0"/>
    <n v="39"/>
    <s v="month"/>
    <n v="145"/>
    <x v="5"/>
    <x v="5"/>
  </r>
  <r>
    <n v="208598415"/>
    <x v="205"/>
    <x v="284"/>
    <x v="0"/>
    <n v="39"/>
    <s v="month"/>
    <n v="36"/>
    <x v="5"/>
    <x v="5"/>
  </r>
  <r>
    <n v="143427096"/>
    <x v="205"/>
    <x v="251"/>
    <x v="0"/>
    <n v="39"/>
    <s v="month"/>
    <n v="34"/>
    <x v="5"/>
    <x v="5"/>
  </r>
  <r>
    <n v="208480650"/>
    <x v="205"/>
    <x v="122"/>
    <x v="0"/>
    <n v="39"/>
    <s v="month"/>
    <n v="17"/>
    <x v="5"/>
    <x v="5"/>
  </r>
  <r>
    <n v="147000442"/>
    <x v="206"/>
    <x v="0"/>
    <x v="0"/>
    <n v="39"/>
    <s v="month"/>
    <s v="Not Cancelled"/>
    <x v="6"/>
    <x v="6"/>
  </r>
  <r>
    <n v="207062508"/>
    <x v="206"/>
    <x v="0"/>
    <x v="0"/>
    <n v="39"/>
    <s v="month"/>
    <s v="Not Cancelled"/>
    <x v="6"/>
    <x v="6"/>
  </r>
  <r>
    <n v="206862916"/>
    <x v="206"/>
    <x v="0"/>
    <x v="0"/>
    <n v="39"/>
    <s v="month"/>
    <s v="Not Cancelled"/>
    <x v="6"/>
    <x v="6"/>
  </r>
  <r>
    <n v="208706866"/>
    <x v="206"/>
    <x v="0"/>
    <x v="0"/>
    <n v="39"/>
    <s v="month"/>
    <s v="Not Cancelled"/>
    <x v="6"/>
    <x v="6"/>
  </r>
  <r>
    <n v="134719816"/>
    <x v="206"/>
    <x v="180"/>
    <x v="0"/>
    <n v="39"/>
    <s v="month"/>
    <n v="81"/>
    <x v="6"/>
    <x v="6"/>
  </r>
  <r>
    <n v="138548670"/>
    <x v="206"/>
    <x v="159"/>
    <x v="0"/>
    <n v="39"/>
    <s v="month"/>
    <n v="62"/>
    <x v="6"/>
    <x v="6"/>
  </r>
  <r>
    <n v="208745476"/>
    <x v="206"/>
    <x v="173"/>
    <x v="0"/>
    <n v="39"/>
    <s v="month"/>
    <n v="84"/>
    <x v="6"/>
    <x v="6"/>
  </r>
  <r>
    <n v="182584521"/>
    <x v="206"/>
    <x v="274"/>
    <x v="0"/>
    <n v="39"/>
    <s v="month"/>
    <n v="38"/>
    <x v="6"/>
    <x v="6"/>
  </r>
  <r>
    <n v="206463427"/>
    <x v="206"/>
    <x v="243"/>
    <x v="0"/>
    <n v="39"/>
    <s v="month"/>
    <n v="36"/>
    <x v="6"/>
    <x v="6"/>
  </r>
  <r>
    <n v="158947936"/>
    <x v="206"/>
    <x v="336"/>
    <x v="0"/>
    <n v="39"/>
    <s v="month"/>
    <n v="30"/>
    <x v="6"/>
    <x v="6"/>
  </r>
  <r>
    <n v="182737296"/>
    <x v="206"/>
    <x v="263"/>
    <x v="0"/>
    <n v="39"/>
    <s v="month"/>
    <n v="31"/>
    <x v="6"/>
    <x v="6"/>
  </r>
  <r>
    <n v="156550538"/>
    <x v="207"/>
    <x v="0"/>
    <x v="0"/>
    <n v="39"/>
    <s v="month"/>
    <s v="Not Cancelled"/>
    <x v="0"/>
    <x v="0"/>
  </r>
  <r>
    <n v="208897557"/>
    <x v="207"/>
    <x v="0"/>
    <x v="0"/>
    <n v="39"/>
    <s v="month"/>
    <s v="Not Cancelled"/>
    <x v="0"/>
    <x v="0"/>
  </r>
  <r>
    <n v="157484010"/>
    <x v="207"/>
    <x v="0"/>
    <x v="0"/>
    <n v="39"/>
    <s v="month"/>
    <s v="Not Cancelled"/>
    <x v="0"/>
    <x v="0"/>
  </r>
  <r>
    <n v="146450388"/>
    <x v="207"/>
    <x v="268"/>
    <x v="0"/>
    <n v="39"/>
    <s v="month"/>
    <n v="68"/>
    <x v="0"/>
    <x v="0"/>
  </r>
  <r>
    <n v="208610366"/>
    <x v="207"/>
    <x v="160"/>
    <x v="0"/>
    <n v="39"/>
    <s v="month"/>
    <n v="99"/>
    <x v="0"/>
    <x v="0"/>
  </r>
  <r>
    <n v="208913022"/>
    <x v="207"/>
    <x v="171"/>
    <x v="0"/>
    <n v="39"/>
    <s v="month"/>
    <n v="50"/>
    <x v="0"/>
    <x v="0"/>
  </r>
  <r>
    <n v="205813846"/>
    <x v="207"/>
    <x v="171"/>
    <x v="0"/>
    <n v="39"/>
    <s v="month"/>
    <n v="50"/>
    <x v="0"/>
    <x v="0"/>
  </r>
  <r>
    <n v="208762353"/>
    <x v="207"/>
    <x v="141"/>
    <x v="0"/>
    <n v="39"/>
    <s v="month"/>
    <n v="22"/>
    <x v="0"/>
    <x v="0"/>
  </r>
  <r>
    <n v="153099249"/>
    <x v="207"/>
    <x v="257"/>
    <x v="0"/>
    <n v="39"/>
    <s v="month"/>
    <n v="14"/>
    <x v="0"/>
    <x v="0"/>
  </r>
  <r>
    <n v="208734252"/>
    <x v="207"/>
    <x v="300"/>
    <x v="0"/>
    <n v="39"/>
    <s v="month"/>
    <n v="31"/>
    <x v="0"/>
    <x v="0"/>
  </r>
  <r>
    <n v="208320510"/>
    <x v="208"/>
    <x v="0"/>
    <x v="0"/>
    <n v="39"/>
    <s v="month"/>
    <s v="Not Cancelled"/>
    <x v="1"/>
    <x v="1"/>
  </r>
  <r>
    <n v="207229509"/>
    <x v="208"/>
    <x v="189"/>
    <x v="1"/>
    <n v="39"/>
    <s v="month"/>
    <n v="0"/>
    <x v="1"/>
    <x v="1"/>
  </r>
  <r>
    <n v="208492287"/>
    <x v="208"/>
    <x v="298"/>
    <x v="0"/>
    <n v="39"/>
    <s v="month"/>
    <n v="68"/>
    <x v="1"/>
    <x v="1"/>
  </r>
  <r>
    <n v="195047202"/>
    <x v="208"/>
    <x v="309"/>
    <x v="0"/>
    <n v="39"/>
    <s v="month"/>
    <n v="53"/>
    <x v="1"/>
    <x v="1"/>
  </r>
  <r>
    <n v="208890352"/>
    <x v="208"/>
    <x v="324"/>
    <x v="0"/>
    <n v="39"/>
    <s v="month"/>
    <n v="56"/>
    <x v="1"/>
    <x v="1"/>
  </r>
  <r>
    <n v="151282537"/>
    <x v="208"/>
    <x v="340"/>
    <x v="0"/>
    <n v="39"/>
    <s v="month"/>
    <n v="92"/>
    <x v="1"/>
    <x v="1"/>
  </r>
  <r>
    <n v="206625246"/>
    <x v="209"/>
    <x v="0"/>
    <x v="0"/>
    <n v="39"/>
    <s v="month"/>
    <s v="Not Cancelled"/>
    <x v="2"/>
    <x v="2"/>
  </r>
  <r>
    <n v="208748964"/>
    <x v="209"/>
    <x v="0"/>
    <x v="0"/>
    <n v="39"/>
    <s v="month"/>
    <s v="Not Cancelled"/>
    <x v="2"/>
    <x v="2"/>
  </r>
  <r>
    <n v="151904783"/>
    <x v="209"/>
    <x v="0"/>
    <x v="0"/>
    <n v="39"/>
    <s v="month"/>
    <s v="Not Cancelled"/>
    <x v="2"/>
    <x v="2"/>
  </r>
  <r>
    <n v="160351988"/>
    <x v="209"/>
    <x v="341"/>
    <x v="0"/>
    <n v="39"/>
    <s v="month"/>
    <n v="98"/>
    <x v="2"/>
    <x v="2"/>
  </r>
  <r>
    <n v="145622106"/>
    <x v="209"/>
    <x v="16"/>
    <x v="0"/>
    <n v="39"/>
    <s v="month"/>
    <n v="0"/>
    <x v="2"/>
    <x v="2"/>
  </r>
  <r>
    <n v="192475408"/>
    <x v="209"/>
    <x v="287"/>
    <x v="0"/>
    <n v="39"/>
    <s v="month"/>
    <n v="25"/>
    <x v="2"/>
    <x v="2"/>
  </r>
  <r>
    <n v="208597905"/>
    <x v="210"/>
    <x v="0"/>
    <x v="0"/>
    <n v="39"/>
    <s v="month"/>
    <s v="Not Cancelled"/>
    <x v="3"/>
    <x v="3"/>
  </r>
  <r>
    <n v="209469556"/>
    <x v="210"/>
    <x v="145"/>
    <x v="1"/>
    <n v="39"/>
    <s v="month"/>
    <n v="1"/>
    <x v="3"/>
    <x v="3"/>
  </r>
  <r>
    <n v="207183892"/>
    <x v="210"/>
    <x v="145"/>
    <x v="1"/>
    <n v="39"/>
    <s v="month"/>
    <n v="1"/>
    <x v="3"/>
    <x v="3"/>
  </r>
  <r>
    <n v="125980506"/>
    <x v="210"/>
    <x v="135"/>
    <x v="0"/>
    <n v="39"/>
    <s v="month"/>
    <n v="91"/>
    <x v="3"/>
    <x v="3"/>
  </r>
  <r>
    <n v="162635107"/>
    <x v="210"/>
    <x v="209"/>
    <x v="0"/>
    <n v="39"/>
    <s v="month"/>
    <n v="94"/>
    <x v="3"/>
    <x v="3"/>
  </r>
  <r>
    <n v="154655775"/>
    <x v="210"/>
    <x v="329"/>
    <x v="0"/>
    <n v="39"/>
    <s v="month"/>
    <n v="113"/>
    <x v="3"/>
    <x v="3"/>
  </r>
  <r>
    <n v="154911229"/>
    <x v="211"/>
    <x v="0"/>
    <x v="0"/>
    <n v="39"/>
    <s v="month"/>
    <s v="Not Cancelled"/>
    <x v="4"/>
    <x v="4"/>
  </r>
  <r>
    <n v="206812076"/>
    <x v="211"/>
    <x v="0"/>
    <x v="0"/>
    <n v="39"/>
    <s v="month"/>
    <s v="Not Cancelled"/>
    <x v="4"/>
    <x v="4"/>
  </r>
  <r>
    <n v="208490747"/>
    <x v="211"/>
    <x v="0"/>
    <x v="0"/>
    <n v="39"/>
    <s v="month"/>
    <s v="Not Cancelled"/>
    <x v="4"/>
    <x v="4"/>
  </r>
  <r>
    <n v="131761056"/>
    <x v="211"/>
    <x v="0"/>
    <x v="0"/>
    <n v="39"/>
    <s v="month"/>
    <s v="Not Cancelled"/>
    <x v="4"/>
    <x v="4"/>
  </r>
  <r>
    <n v="208115534"/>
    <x v="211"/>
    <x v="15"/>
    <x v="1"/>
    <n v="39"/>
    <s v="month"/>
    <n v="37"/>
    <x v="4"/>
    <x v="4"/>
  </r>
  <r>
    <n v="202126471"/>
    <x v="211"/>
    <x v="293"/>
    <x v="0"/>
    <n v="39"/>
    <s v="month"/>
    <n v="85"/>
    <x v="4"/>
    <x v="4"/>
  </r>
  <r>
    <n v="209738836"/>
    <x v="211"/>
    <x v="342"/>
    <x v="0"/>
    <n v="39"/>
    <s v="month"/>
    <n v="41"/>
    <x v="4"/>
    <x v="4"/>
  </r>
  <r>
    <n v="209470128"/>
    <x v="211"/>
    <x v="159"/>
    <x v="0"/>
    <n v="39"/>
    <s v="month"/>
    <n v="57"/>
    <x v="4"/>
    <x v="4"/>
  </r>
  <r>
    <n v="209745334"/>
    <x v="211"/>
    <x v="318"/>
    <x v="0"/>
    <n v="39"/>
    <s v="month"/>
    <n v="151"/>
    <x v="4"/>
    <x v="4"/>
  </r>
  <r>
    <n v="209751690"/>
    <x v="212"/>
    <x v="0"/>
    <x v="0"/>
    <n v="39"/>
    <s v="month"/>
    <s v="Not Cancelled"/>
    <x v="5"/>
    <x v="5"/>
  </r>
  <r>
    <n v="209730490"/>
    <x v="212"/>
    <x v="22"/>
    <x v="1"/>
    <n v="39"/>
    <s v="month"/>
    <n v="1"/>
    <x v="5"/>
    <x v="5"/>
  </r>
  <r>
    <n v="208115648"/>
    <x v="212"/>
    <x v="304"/>
    <x v="0"/>
    <n v="39"/>
    <s v="month"/>
    <n v="62"/>
    <x v="5"/>
    <x v="5"/>
  </r>
  <r>
    <n v="210087900"/>
    <x v="212"/>
    <x v="4"/>
    <x v="0"/>
    <n v="39"/>
    <s v="month"/>
    <n v="34"/>
    <x v="5"/>
    <x v="5"/>
  </r>
  <r>
    <n v="208890316"/>
    <x v="212"/>
    <x v="330"/>
    <x v="0"/>
    <n v="39"/>
    <s v="month"/>
    <n v="50"/>
    <x v="5"/>
    <x v="5"/>
  </r>
  <r>
    <n v="143706140"/>
    <x v="212"/>
    <x v="114"/>
    <x v="0"/>
    <n v="39"/>
    <s v="month"/>
    <n v="3"/>
    <x v="5"/>
    <x v="5"/>
  </r>
  <r>
    <n v="209950443"/>
    <x v="212"/>
    <x v="122"/>
    <x v="0"/>
    <n v="39"/>
    <s v="month"/>
    <n v="10"/>
    <x v="5"/>
    <x v="5"/>
  </r>
  <r>
    <n v="208892072"/>
    <x v="212"/>
    <x v="152"/>
    <x v="0"/>
    <n v="39"/>
    <s v="month"/>
    <n v="21"/>
    <x v="5"/>
    <x v="5"/>
  </r>
  <r>
    <n v="205767174"/>
    <x v="212"/>
    <x v="328"/>
    <x v="0"/>
    <n v="39"/>
    <s v="month"/>
    <n v="130"/>
    <x v="5"/>
    <x v="5"/>
  </r>
  <r>
    <n v="206676416"/>
    <x v="212"/>
    <x v="316"/>
    <x v="0"/>
    <n v="39"/>
    <s v="month"/>
    <n v="104"/>
    <x v="5"/>
    <x v="5"/>
  </r>
  <r>
    <n v="160676837"/>
    <x v="213"/>
    <x v="0"/>
    <x v="0"/>
    <n v="39"/>
    <s v="month"/>
    <s v="Not Cancelled"/>
    <x v="6"/>
    <x v="6"/>
  </r>
  <r>
    <n v="204274153"/>
    <x v="213"/>
    <x v="0"/>
    <x v="0"/>
    <n v="39"/>
    <s v="month"/>
    <s v="Not Cancelled"/>
    <x v="6"/>
    <x v="6"/>
  </r>
  <r>
    <n v="210327236"/>
    <x v="213"/>
    <x v="128"/>
    <x v="1"/>
    <n v="39"/>
    <s v="month"/>
    <n v="1"/>
    <x v="6"/>
    <x v="6"/>
  </r>
  <r>
    <n v="210326352"/>
    <x v="213"/>
    <x v="22"/>
    <x v="1"/>
    <n v="39"/>
    <s v="month"/>
    <n v="0"/>
    <x v="6"/>
    <x v="6"/>
  </r>
  <r>
    <n v="124155104"/>
    <x v="213"/>
    <x v="82"/>
    <x v="0"/>
    <n v="39"/>
    <s v="month"/>
    <n v="37"/>
    <x v="6"/>
    <x v="6"/>
  </r>
  <r>
    <n v="209517408"/>
    <x v="213"/>
    <x v="243"/>
    <x v="0"/>
    <n v="39"/>
    <s v="month"/>
    <n v="29"/>
    <x v="6"/>
    <x v="6"/>
  </r>
  <r>
    <n v="210432450"/>
    <x v="213"/>
    <x v="327"/>
    <x v="0"/>
    <n v="39"/>
    <s v="month"/>
    <n v="7"/>
    <x v="6"/>
    <x v="6"/>
  </r>
  <r>
    <n v="210138564"/>
    <x v="214"/>
    <x v="0"/>
    <x v="0"/>
    <n v="39"/>
    <s v="month"/>
    <s v="Not Cancelled"/>
    <x v="0"/>
    <x v="0"/>
  </r>
  <r>
    <n v="210617010"/>
    <x v="214"/>
    <x v="128"/>
    <x v="0"/>
    <n v="39"/>
    <s v="month"/>
    <n v="0"/>
    <x v="0"/>
    <x v="0"/>
  </r>
  <r>
    <n v="134894187"/>
    <x v="214"/>
    <x v="317"/>
    <x v="0"/>
    <n v="39"/>
    <s v="month"/>
    <n v="42"/>
    <x v="0"/>
    <x v="0"/>
  </r>
  <r>
    <n v="150643785"/>
    <x v="214"/>
    <x v="268"/>
    <x v="0"/>
    <n v="39"/>
    <s v="month"/>
    <n v="61"/>
    <x v="0"/>
    <x v="0"/>
  </r>
  <r>
    <n v="149986782"/>
    <x v="214"/>
    <x v="343"/>
    <x v="0"/>
    <n v="39"/>
    <s v="month"/>
    <n v="59"/>
    <x v="0"/>
    <x v="0"/>
  </r>
  <r>
    <n v="205463099"/>
    <x v="214"/>
    <x v="291"/>
    <x v="0"/>
    <n v="39"/>
    <s v="month"/>
    <n v="71"/>
    <x v="0"/>
    <x v="0"/>
  </r>
  <r>
    <n v="210565466"/>
    <x v="214"/>
    <x v="174"/>
    <x v="0"/>
    <n v="39"/>
    <s v="month"/>
    <n v="37"/>
    <x v="0"/>
    <x v="0"/>
  </r>
  <r>
    <n v="209072132"/>
    <x v="215"/>
    <x v="0"/>
    <x v="0"/>
    <n v="39"/>
    <s v="month"/>
    <s v="Not Cancelled"/>
    <x v="1"/>
    <x v="1"/>
  </r>
  <r>
    <n v="210388772"/>
    <x v="215"/>
    <x v="0"/>
    <x v="0"/>
    <n v="39"/>
    <s v="month"/>
    <s v="Not Cancelled"/>
    <x v="1"/>
    <x v="1"/>
  </r>
  <r>
    <n v="210617010"/>
    <x v="215"/>
    <x v="270"/>
    <x v="0"/>
    <n v="39"/>
    <s v="month"/>
    <n v="63"/>
    <x v="1"/>
    <x v="1"/>
  </r>
  <r>
    <n v="210694562"/>
    <x v="215"/>
    <x v="342"/>
    <x v="0"/>
    <n v="39"/>
    <s v="month"/>
    <n v="37"/>
    <x v="1"/>
    <x v="1"/>
  </r>
  <r>
    <n v="134833306"/>
    <x v="215"/>
    <x v="4"/>
    <x v="0"/>
    <n v="39"/>
    <s v="month"/>
    <n v="31"/>
    <x v="1"/>
    <x v="1"/>
  </r>
  <r>
    <n v="211220014"/>
    <x v="216"/>
    <x v="0"/>
    <x v="0"/>
    <n v="39"/>
    <s v="month"/>
    <s v="Not Cancelled"/>
    <x v="2"/>
    <x v="2"/>
  </r>
  <r>
    <n v="121571816"/>
    <x v="216"/>
    <x v="0"/>
    <x v="0"/>
    <n v="39"/>
    <s v="month"/>
    <s v="Not Cancelled"/>
    <x v="2"/>
    <x v="2"/>
  </r>
  <r>
    <n v="211216060"/>
    <x v="216"/>
    <x v="0"/>
    <x v="0"/>
    <n v="39"/>
    <s v="month"/>
    <s v="Not Cancelled"/>
    <x v="2"/>
    <x v="2"/>
  </r>
  <r>
    <n v="211114276"/>
    <x v="216"/>
    <x v="0"/>
    <x v="0"/>
    <n v="39"/>
    <s v="month"/>
    <s v="Not Cancelled"/>
    <x v="2"/>
    <x v="2"/>
  </r>
  <r>
    <n v="211224883"/>
    <x v="216"/>
    <x v="319"/>
    <x v="1"/>
    <n v="39"/>
    <s v="month"/>
    <n v="1"/>
    <x v="2"/>
    <x v="2"/>
  </r>
  <r>
    <n v="211212313"/>
    <x v="216"/>
    <x v="268"/>
    <x v="0"/>
    <n v="39"/>
    <s v="month"/>
    <n v="59"/>
    <x v="2"/>
    <x v="2"/>
  </r>
  <r>
    <n v="210135815"/>
    <x v="216"/>
    <x v="256"/>
    <x v="0"/>
    <n v="39"/>
    <s v="month"/>
    <n v="10"/>
    <x v="2"/>
    <x v="2"/>
  </r>
  <r>
    <n v="211381659"/>
    <x v="217"/>
    <x v="0"/>
    <x v="0"/>
    <n v="39"/>
    <s v="month"/>
    <s v="Not Cancelled"/>
    <x v="3"/>
    <x v="3"/>
  </r>
  <r>
    <n v="183363812"/>
    <x v="217"/>
    <x v="0"/>
    <x v="0"/>
    <n v="39"/>
    <s v="month"/>
    <s v="Not Cancelled"/>
    <x v="3"/>
    <x v="3"/>
  </r>
  <r>
    <n v="211289909"/>
    <x v="217"/>
    <x v="0"/>
    <x v="0"/>
    <n v="39"/>
    <s v="month"/>
    <s v="Not Cancelled"/>
    <x v="3"/>
    <x v="3"/>
  </r>
  <r>
    <n v="211266858"/>
    <x v="217"/>
    <x v="101"/>
    <x v="0"/>
    <n v="39"/>
    <s v="month"/>
    <n v="23"/>
    <x v="3"/>
    <x v="3"/>
  </r>
  <r>
    <n v="153163612"/>
    <x v="217"/>
    <x v="266"/>
    <x v="0"/>
    <n v="39"/>
    <s v="month"/>
    <n v="15"/>
    <x v="3"/>
    <x v="3"/>
  </r>
  <r>
    <n v="209505551"/>
    <x v="217"/>
    <x v="152"/>
    <x v="0"/>
    <n v="39"/>
    <s v="month"/>
    <n v="16"/>
    <x v="3"/>
    <x v="3"/>
  </r>
  <r>
    <n v="211389716"/>
    <x v="218"/>
    <x v="0"/>
    <x v="0"/>
    <n v="39"/>
    <s v="month"/>
    <s v="Not Cancelled"/>
    <x v="4"/>
    <x v="4"/>
  </r>
  <r>
    <n v="211636708"/>
    <x v="218"/>
    <x v="0"/>
    <x v="0"/>
    <n v="39"/>
    <s v="month"/>
    <s v="Not Cancelled"/>
    <x v="4"/>
    <x v="4"/>
  </r>
  <r>
    <n v="176884824"/>
    <x v="218"/>
    <x v="0"/>
    <x v="0"/>
    <n v="39"/>
    <s v="month"/>
    <s v="Not Cancelled"/>
    <x v="4"/>
    <x v="4"/>
  </r>
  <r>
    <n v="211352758"/>
    <x v="218"/>
    <x v="0"/>
    <x v="0"/>
    <n v="39"/>
    <s v="month"/>
    <s v="Not Cancelled"/>
    <x v="4"/>
    <x v="4"/>
  </r>
  <r>
    <n v="210814163"/>
    <x v="218"/>
    <x v="0"/>
    <x v="0"/>
    <n v="39"/>
    <s v="month"/>
    <s v="Not Cancelled"/>
    <x v="4"/>
    <x v="4"/>
  </r>
  <r>
    <n v="210893245"/>
    <x v="218"/>
    <x v="0"/>
    <x v="0"/>
    <n v="39"/>
    <s v="month"/>
    <s v="Not Cancelled"/>
    <x v="4"/>
    <x v="4"/>
  </r>
  <r>
    <n v="130967112"/>
    <x v="218"/>
    <x v="0"/>
    <x v="0"/>
    <n v="39"/>
    <s v="month"/>
    <s v="Not Cancelled"/>
    <x v="4"/>
    <x v="4"/>
  </r>
  <r>
    <n v="199116000"/>
    <x v="218"/>
    <x v="0"/>
    <x v="0"/>
    <n v="39"/>
    <s v="month"/>
    <s v="Not Cancelled"/>
    <x v="4"/>
    <x v="4"/>
  </r>
  <r>
    <n v="161182706"/>
    <x v="218"/>
    <x v="258"/>
    <x v="0"/>
    <n v="39"/>
    <s v="month"/>
    <n v="37"/>
    <x v="4"/>
    <x v="4"/>
  </r>
  <r>
    <n v="211576047"/>
    <x v="219"/>
    <x v="0"/>
    <x v="0"/>
    <n v="39"/>
    <s v="month"/>
    <s v="Not Cancelled"/>
    <x v="5"/>
    <x v="5"/>
  </r>
  <r>
    <n v="211897884"/>
    <x v="219"/>
    <x v="0"/>
    <x v="0"/>
    <n v="39"/>
    <s v="month"/>
    <s v="Not Cancelled"/>
    <x v="5"/>
    <x v="5"/>
  </r>
  <r>
    <n v="211661733"/>
    <x v="219"/>
    <x v="0"/>
    <x v="0"/>
    <n v="39"/>
    <s v="month"/>
    <s v="Not Cancelled"/>
    <x v="5"/>
    <x v="5"/>
  </r>
  <r>
    <n v="211561665"/>
    <x v="219"/>
    <x v="0"/>
    <x v="1"/>
    <n v="39"/>
    <s v="month"/>
    <s v="Not Cancelled"/>
    <x v="5"/>
    <x v="5"/>
  </r>
  <r>
    <n v="211911280"/>
    <x v="219"/>
    <x v="225"/>
    <x v="0"/>
    <n v="39"/>
    <s v="month"/>
    <n v="134"/>
    <x v="5"/>
    <x v="5"/>
  </r>
  <r>
    <n v="123946316"/>
    <x v="219"/>
    <x v="306"/>
    <x v="0"/>
    <n v="39"/>
    <s v="month"/>
    <n v="67"/>
    <x v="5"/>
    <x v="5"/>
  </r>
  <r>
    <n v="144469362"/>
    <x v="219"/>
    <x v="251"/>
    <x v="0"/>
    <n v="39"/>
    <s v="month"/>
    <n v="20"/>
    <x v="5"/>
    <x v="5"/>
  </r>
  <r>
    <n v="187268085"/>
    <x v="219"/>
    <x v="4"/>
    <x v="0"/>
    <n v="39"/>
    <s v="month"/>
    <n v="27"/>
    <x v="5"/>
    <x v="5"/>
  </r>
  <r>
    <n v="210088359"/>
    <x v="219"/>
    <x v="321"/>
    <x v="0"/>
    <n v="39"/>
    <s v="month"/>
    <n v="76"/>
    <x v="5"/>
    <x v="5"/>
  </r>
  <r>
    <n v="211906202"/>
    <x v="219"/>
    <x v="288"/>
    <x v="0"/>
    <n v="39"/>
    <s v="month"/>
    <n v="41"/>
    <x v="5"/>
    <x v="5"/>
  </r>
  <r>
    <n v="126391978"/>
    <x v="219"/>
    <x v="240"/>
    <x v="0"/>
    <n v="39"/>
    <s v="month"/>
    <n v="100"/>
    <x v="5"/>
    <x v="5"/>
  </r>
  <r>
    <n v="154753462"/>
    <x v="220"/>
    <x v="0"/>
    <x v="0"/>
    <n v="39"/>
    <s v="month"/>
    <s v="Not Cancelled"/>
    <x v="6"/>
    <x v="6"/>
  </r>
  <r>
    <n v="212049757"/>
    <x v="220"/>
    <x v="0"/>
    <x v="0"/>
    <n v="39"/>
    <s v="month"/>
    <s v="Not Cancelled"/>
    <x v="6"/>
    <x v="6"/>
  </r>
  <r>
    <n v="147015210"/>
    <x v="220"/>
    <x v="0"/>
    <x v="0"/>
    <n v="39"/>
    <s v="month"/>
    <s v="Not Cancelled"/>
    <x v="6"/>
    <x v="6"/>
  </r>
  <r>
    <n v="212057431"/>
    <x v="220"/>
    <x v="257"/>
    <x v="1"/>
    <n v="39"/>
    <s v="month"/>
    <n v="1"/>
    <x v="6"/>
    <x v="6"/>
  </r>
  <r>
    <n v="205734465"/>
    <x v="220"/>
    <x v="308"/>
    <x v="0"/>
    <n v="39"/>
    <s v="month"/>
    <n v="57"/>
    <x v="6"/>
    <x v="6"/>
  </r>
  <r>
    <n v="208772540"/>
    <x v="220"/>
    <x v="300"/>
    <x v="0"/>
    <n v="39"/>
    <s v="month"/>
    <n v="18"/>
    <x v="6"/>
    <x v="6"/>
  </r>
  <r>
    <n v="182357706"/>
    <x v="220"/>
    <x v="255"/>
    <x v="0"/>
    <n v="39"/>
    <s v="month"/>
    <n v="83"/>
    <x v="6"/>
    <x v="6"/>
  </r>
  <r>
    <n v="211333348"/>
    <x v="220"/>
    <x v="341"/>
    <x v="0"/>
    <n v="39"/>
    <s v="month"/>
    <n v="87"/>
    <x v="6"/>
    <x v="6"/>
  </r>
  <r>
    <n v="211334702"/>
    <x v="220"/>
    <x v="344"/>
    <x v="0"/>
    <n v="39"/>
    <s v="month"/>
    <n v="104"/>
    <x v="6"/>
    <x v="6"/>
  </r>
  <r>
    <n v="212129575"/>
    <x v="221"/>
    <x v="0"/>
    <x v="0"/>
    <n v="39"/>
    <s v="month"/>
    <s v="Not Cancelled"/>
    <x v="0"/>
    <x v="0"/>
  </r>
  <r>
    <n v="209733088"/>
    <x v="221"/>
    <x v="0"/>
    <x v="0"/>
    <n v="39"/>
    <s v="month"/>
    <s v="Not Cancelled"/>
    <x v="0"/>
    <x v="0"/>
  </r>
  <r>
    <n v="152792045"/>
    <x v="221"/>
    <x v="177"/>
    <x v="0"/>
    <n v="39"/>
    <s v="month"/>
    <n v="68"/>
    <x v="0"/>
    <x v="0"/>
  </r>
  <r>
    <n v="212163568"/>
    <x v="221"/>
    <x v="323"/>
    <x v="0"/>
    <n v="39"/>
    <s v="month"/>
    <n v="46"/>
    <x v="0"/>
    <x v="0"/>
  </r>
  <r>
    <n v="212260363"/>
    <x v="221"/>
    <x v="15"/>
    <x v="0"/>
    <n v="39"/>
    <s v="month"/>
    <n v="27"/>
    <x v="0"/>
    <x v="0"/>
  </r>
  <r>
    <n v="212164158"/>
    <x v="221"/>
    <x v="293"/>
    <x v="0"/>
    <n v="39"/>
    <s v="month"/>
    <n v="75"/>
    <x v="0"/>
    <x v="0"/>
  </r>
  <r>
    <n v="155604779"/>
    <x v="221"/>
    <x v="255"/>
    <x v="0"/>
    <n v="39"/>
    <s v="month"/>
    <n v="82"/>
    <x v="0"/>
    <x v="0"/>
  </r>
  <r>
    <n v="150421022"/>
    <x v="221"/>
    <x v="273"/>
    <x v="0"/>
    <n v="39"/>
    <s v="month"/>
    <n v="63"/>
    <x v="0"/>
    <x v="0"/>
  </r>
  <r>
    <n v="122616012"/>
    <x v="221"/>
    <x v="3"/>
    <x v="0"/>
    <n v="39"/>
    <s v="month"/>
    <n v="77"/>
    <x v="0"/>
    <x v="0"/>
  </r>
  <r>
    <n v="209356278"/>
    <x v="222"/>
    <x v="0"/>
    <x v="0"/>
    <n v="39"/>
    <s v="month"/>
    <s v="Not Cancelled"/>
    <x v="1"/>
    <x v="1"/>
  </r>
  <r>
    <n v="212604642"/>
    <x v="222"/>
    <x v="0"/>
    <x v="0"/>
    <n v="39"/>
    <s v="month"/>
    <s v="Not Cancelled"/>
    <x v="1"/>
    <x v="1"/>
  </r>
  <r>
    <n v="210730447"/>
    <x v="222"/>
    <x v="0"/>
    <x v="0"/>
    <n v="39"/>
    <s v="month"/>
    <s v="Not Cancelled"/>
    <x v="1"/>
    <x v="1"/>
  </r>
  <r>
    <n v="212388726"/>
    <x v="222"/>
    <x v="0"/>
    <x v="1"/>
    <n v="39"/>
    <s v="month"/>
    <s v="Not Cancelled"/>
    <x v="1"/>
    <x v="1"/>
  </r>
  <r>
    <n v="127793951"/>
    <x v="222"/>
    <x v="335"/>
    <x v="0"/>
    <n v="39"/>
    <s v="month"/>
    <n v="139"/>
    <x v="1"/>
    <x v="1"/>
  </r>
  <r>
    <n v="189715793"/>
    <x v="222"/>
    <x v="326"/>
    <x v="0"/>
    <n v="39"/>
    <s v="month"/>
    <n v="37"/>
    <x v="1"/>
    <x v="1"/>
  </r>
  <r>
    <n v="148369126"/>
    <x v="223"/>
    <x v="0"/>
    <x v="0"/>
    <n v="39"/>
    <s v="month"/>
    <s v="Not Cancelled"/>
    <x v="2"/>
    <x v="2"/>
  </r>
  <r>
    <n v="157503290"/>
    <x v="223"/>
    <x v="288"/>
    <x v="0"/>
    <n v="39"/>
    <s v="month"/>
    <n v="37"/>
    <x v="2"/>
    <x v="2"/>
  </r>
  <r>
    <n v="212712986"/>
    <x v="223"/>
    <x v="285"/>
    <x v="0"/>
    <n v="39"/>
    <s v="month"/>
    <n v="46"/>
    <x v="2"/>
    <x v="2"/>
  </r>
  <r>
    <n v="204512028"/>
    <x v="223"/>
    <x v="237"/>
    <x v="0"/>
    <n v="39"/>
    <s v="month"/>
    <n v="30"/>
    <x v="2"/>
    <x v="2"/>
  </r>
  <r>
    <n v="147066240"/>
    <x v="223"/>
    <x v="300"/>
    <x v="0"/>
    <n v="39"/>
    <s v="month"/>
    <n v="15"/>
    <x v="2"/>
    <x v="2"/>
  </r>
  <r>
    <n v="212759443"/>
    <x v="224"/>
    <x v="23"/>
    <x v="0"/>
    <n v="39"/>
    <s v="month"/>
    <n v="0"/>
    <x v="3"/>
    <x v="3"/>
  </r>
  <r>
    <n v="212042832"/>
    <x v="225"/>
    <x v="0"/>
    <x v="0"/>
    <n v="39"/>
    <s v="month"/>
    <s v="Not Cancelled"/>
    <x v="4"/>
    <x v="4"/>
  </r>
  <r>
    <n v="212113682"/>
    <x v="225"/>
    <x v="0"/>
    <x v="0"/>
    <n v="39"/>
    <s v="month"/>
    <s v="Not Cancelled"/>
    <x v="4"/>
    <x v="4"/>
  </r>
  <r>
    <n v="181175226"/>
    <x v="225"/>
    <x v="0"/>
    <x v="0"/>
    <n v="39"/>
    <s v="month"/>
    <s v="Not Cancelled"/>
    <x v="4"/>
    <x v="4"/>
  </r>
  <r>
    <n v="201817514"/>
    <x v="225"/>
    <x v="256"/>
    <x v="0"/>
    <n v="39"/>
    <s v="month"/>
    <n v="1"/>
    <x v="4"/>
    <x v="4"/>
  </r>
  <r>
    <n v="168698174"/>
    <x v="225"/>
    <x v="299"/>
    <x v="0"/>
    <n v="39"/>
    <s v="month"/>
    <n v="0"/>
    <x v="4"/>
    <x v="4"/>
  </r>
  <r>
    <n v="170512298"/>
    <x v="225"/>
    <x v="237"/>
    <x v="0"/>
    <n v="39"/>
    <s v="month"/>
    <n v="28"/>
    <x v="4"/>
    <x v="4"/>
  </r>
  <r>
    <n v="213181546"/>
    <x v="225"/>
    <x v="73"/>
    <x v="0"/>
    <n v="39"/>
    <s v="month"/>
    <n v="45"/>
    <x v="4"/>
    <x v="4"/>
  </r>
  <r>
    <n v="154535908"/>
    <x v="225"/>
    <x v="345"/>
    <x v="0"/>
    <n v="39"/>
    <s v="month"/>
    <n v="68"/>
    <x v="4"/>
    <x v="4"/>
  </r>
  <r>
    <n v="151540809"/>
    <x v="225"/>
    <x v="309"/>
    <x v="0"/>
    <n v="39"/>
    <s v="month"/>
    <n v="36"/>
    <x v="4"/>
    <x v="4"/>
  </r>
  <r>
    <n v="212334937"/>
    <x v="225"/>
    <x v="317"/>
    <x v="0"/>
    <n v="39"/>
    <s v="month"/>
    <n v="31"/>
    <x v="4"/>
    <x v="4"/>
  </r>
  <r>
    <n v="204766175"/>
    <x v="225"/>
    <x v="346"/>
    <x v="0"/>
    <n v="39"/>
    <s v="month"/>
    <n v="88"/>
    <x v="4"/>
    <x v="4"/>
  </r>
  <r>
    <n v="212055738"/>
    <x v="225"/>
    <x v="347"/>
    <x v="0"/>
    <n v="39"/>
    <s v="month"/>
    <n v="129"/>
    <x v="4"/>
    <x v="4"/>
  </r>
  <r>
    <n v="211907956"/>
    <x v="226"/>
    <x v="0"/>
    <x v="0"/>
    <n v="39"/>
    <s v="month"/>
    <s v="Not Cancelled"/>
    <x v="5"/>
    <x v="5"/>
  </r>
  <r>
    <n v="212759443"/>
    <x v="226"/>
    <x v="0"/>
    <x v="0"/>
    <n v="39"/>
    <s v="month"/>
    <s v="Not Cancelled"/>
    <x v="5"/>
    <x v="5"/>
  </r>
  <r>
    <n v="213182327"/>
    <x v="226"/>
    <x v="0"/>
    <x v="0"/>
    <n v="39"/>
    <s v="month"/>
    <s v="Not Cancelled"/>
    <x v="5"/>
    <x v="5"/>
  </r>
  <r>
    <n v="213442067"/>
    <x v="226"/>
    <x v="0"/>
    <x v="0"/>
    <n v="39"/>
    <s v="month"/>
    <s v="Not Cancelled"/>
    <x v="5"/>
    <x v="5"/>
  </r>
  <r>
    <n v="213427247"/>
    <x v="226"/>
    <x v="0"/>
    <x v="0"/>
    <n v="39"/>
    <s v="month"/>
    <s v="Not Cancelled"/>
    <x v="5"/>
    <x v="5"/>
  </r>
  <r>
    <n v="172476368"/>
    <x v="226"/>
    <x v="237"/>
    <x v="0"/>
    <n v="39"/>
    <s v="month"/>
    <n v="27"/>
    <x v="5"/>
    <x v="5"/>
  </r>
  <r>
    <n v="148900262"/>
    <x v="226"/>
    <x v="322"/>
    <x v="0"/>
    <n v="39"/>
    <s v="month"/>
    <n v="23"/>
    <x v="5"/>
    <x v="5"/>
  </r>
  <r>
    <n v="213450505"/>
    <x v="226"/>
    <x v="58"/>
    <x v="0"/>
    <n v="39"/>
    <s v="month"/>
    <n v="28"/>
    <x v="5"/>
    <x v="5"/>
  </r>
  <r>
    <n v="168261038"/>
    <x v="226"/>
    <x v="324"/>
    <x v="0"/>
    <n v="39"/>
    <s v="month"/>
    <n v="38"/>
    <x v="5"/>
    <x v="5"/>
  </r>
  <r>
    <n v="207018786"/>
    <x v="226"/>
    <x v="344"/>
    <x v="0"/>
    <n v="39"/>
    <s v="month"/>
    <n v="98"/>
    <x v="5"/>
    <x v="5"/>
  </r>
  <r>
    <n v="213781045"/>
    <x v="227"/>
    <x v="0"/>
    <x v="0"/>
    <n v="39"/>
    <s v="month"/>
    <s v="Not Cancelled"/>
    <x v="6"/>
    <x v="6"/>
  </r>
  <r>
    <n v="213785402"/>
    <x v="227"/>
    <x v="225"/>
    <x v="0"/>
    <n v="39"/>
    <s v="month"/>
    <n v="126"/>
    <x v="6"/>
    <x v="6"/>
  </r>
  <r>
    <n v="213689187"/>
    <x v="227"/>
    <x v="289"/>
    <x v="1"/>
    <n v="39"/>
    <s v="month"/>
    <n v="1"/>
    <x v="6"/>
    <x v="6"/>
  </r>
  <r>
    <n v="213413298"/>
    <x v="227"/>
    <x v="185"/>
    <x v="1"/>
    <n v="39"/>
    <s v="month"/>
    <n v="0"/>
    <x v="6"/>
    <x v="6"/>
  </r>
  <r>
    <n v="184458429"/>
    <x v="227"/>
    <x v="308"/>
    <x v="0"/>
    <n v="39"/>
    <s v="month"/>
    <n v="50"/>
    <x v="6"/>
    <x v="6"/>
  </r>
  <r>
    <n v="212190070"/>
    <x v="227"/>
    <x v="338"/>
    <x v="0"/>
    <n v="39"/>
    <s v="month"/>
    <n v="61"/>
    <x v="6"/>
    <x v="6"/>
  </r>
  <r>
    <n v="212737739"/>
    <x v="227"/>
    <x v="285"/>
    <x v="0"/>
    <n v="39"/>
    <s v="month"/>
    <n v="42"/>
    <x v="6"/>
    <x v="6"/>
  </r>
  <r>
    <n v="211904660"/>
    <x v="228"/>
    <x v="0"/>
    <x v="0"/>
    <n v="39"/>
    <s v="month"/>
    <s v="Not Cancelled"/>
    <x v="0"/>
    <x v="0"/>
  </r>
  <r>
    <n v="112792926"/>
    <x v="228"/>
    <x v="0"/>
    <x v="0"/>
    <n v="39"/>
    <s v="month"/>
    <s v="Not Cancelled"/>
    <x v="0"/>
    <x v="0"/>
  </r>
  <r>
    <n v="213914942"/>
    <x v="228"/>
    <x v="0"/>
    <x v="0"/>
    <n v="39"/>
    <s v="month"/>
    <s v="Not Cancelled"/>
    <x v="0"/>
    <x v="0"/>
  </r>
  <r>
    <n v="189220435"/>
    <x v="228"/>
    <x v="300"/>
    <x v="0"/>
    <n v="39"/>
    <s v="month"/>
    <n v="10"/>
    <x v="0"/>
    <x v="0"/>
  </r>
  <r>
    <n v="203237584"/>
    <x v="228"/>
    <x v="152"/>
    <x v="0"/>
    <n v="39"/>
    <s v="month"/>
    <n v="5"/>
    <x v="0"/>
    <x v="0"/>
  </r>
  <r>
    <n v="213179140"/>
    <x v="228"/>
    <x v="258"/>
    <x v="0"/>
    <n v="39"/>
    <s v="month"/>
    <n v="27"/>
    <x v="0"/>
    <x v="0"/>
  </r>
  <r>
    <n v="211629536"/>
    <x v="228"/>
    <x v="267"/>
    <x v="0"/>
    <n v="39"/>
    <s v="month"/>
    <n v="37"/>
    <x v="0"/>
    <x v="0"/>
  </r>
  <r>
    <n v="204953211"/>
    <x v="228"/>
    <x v="267"/>
    <x v="0"/>
    <n v="39"/>
    <s v="month"/>
    <n v="37"/>
    <x v="0"/>
    <x v="0"/>
  </r>
  <r>
    <n v="111394466"/>
    <x v="228"/>
    <x v="311"/>
    <x v="0"/>
    <n v="39"/>
    <s v="month"/>
    <n v="63"/>
    <x v="0"/>
    <x v="0"/>
  </r>
  <r>
    <n v="214107134"/>
    <x v="229"/>
    <x v="0"/>
    <x v="0"/>
    <n v="39"/>
    <s v="month"/>
    <s v="Not Cancelled"/>
    <x v="1"/>
    <x v="1"/>
  </r>
  <r>
    <n v="214105034"/>
    <x v="229"/>
    <x v="0"/>
    <x v="0"/>
    <n v="39"/>
    <s v="month"/>
    <s v="Not Cancelled"/>
    <x v="1"/>
    <x v="1"/>
  </r>
  <r>
    <n v="214124745"/>
    <x v="229"/>
    <x v="290"/>
    <x v="0"/>
    <n v="39"/>
    <s v="month"/>
    <n v="139"/>
    <x v="1"/>
    <x v="1"/>
  </r>
  <r>
    <n v="214107426"/>
    <x v="229"/>
    <x v="248"/>
    <x v="1"/>
    <n v="39"/>
    <s v="month"/>
    <n v="1"/>
    <x v="1"/>
    <x v="1"/>
  </r>
  <r>
    <n v="213980322"/>
    <x v="229"/>
    <x v="177"/>
    <x v="0"/>
    <n v="39"/>
    <s v="month"/>
    <n v="60"/>
    <x v="1"/>
    <x v="1"/>
  </r>
  <r>
    <n v="213434919"/>
    <x v="229"/>
    <x v="141"/>
    <x v="0"/>
    <n v="39"/>
    <s v="month"/>
    <n v="0"/>
    <x v="1"/>
    <x v="1"/>
  </r>
  <r>
    <n v="214129448"/>
    <x v="229"/>
    <x v="176"/>
    <x v="0"/>
    <n v="39"/>
    <s v="month"/>
    <n v="98"/>
    <x v="1"/>
    <x v="1"/>
  </r>
  <r>
    <n v="213944536"/>
    <x v="229"/>
    <x v="173"/>
    <x v="0"/>
    <n v="39"/>
    <s v="month"/>
    <n v="61"/>
    <x v="1"/>
    <x v="1"/>
  </r>
  <r>
    <n v="214052531"/>
    <x v="229"/>
    <x v="331"/>
    <x v="0"/>
    <n v="39"/>
    <s v="month"/>
    <n v="129"/>
    <x v="1"/>
    <x v="1"/>
  </r>
  <r>
    <n v="214196608"/>
    <x v="230"/>
    <x v="0"/>
    <x v="0"/>
    <n v="39"/>
    <s v="month"/>
    <s v="Not Cancelled"/>
    <x v="2"/>
    <x v="2"/>
  </r>
  <r>
    <n v="125299295"/>
    <x v="230"/>
    <x v="338"/>
    <x v="0"/>
    <n v="39"/>
    <s v="month"/>
    <n v="58"/>
    <x v="2"/>
    <x v="2"/>
  </r>
  <r>
    <n v="214199386"/>
    <x v="230"/>
    <x v="235"/>
    <x v="0"/>
    <n v="39"/>
    <s v="month"/>
    <n v="15"/>
    <x v="2"/>
    <x v="2"/>
  </r>
  <r>
    <n v="214191851"/>
    <x v="230"/>
    <x v="82"/>
    <x v="0"/>
    <n v="39"/>
    <s v="month"/>
    <n v="20"/>
    <x v="2"/>
    <x v="2"/>
  </r>
  <r>
    <n v="214174478"/>
    <x v="230"/>
    <x v="288"/>
    <x v="0"/>
    <n v="39"/>
    <s v="month"/>
    <n v="30"/>
    <x v="2"/>
    <x v="2"/>
  </r>
  <r>
    <n v="214264465"/>
    <x v="231"/>
    <x v="0"/>
    <x v="0"/>
    <n v="39"/>
    <s v="month"/>
    <s v="Not Cancelled"/>
    <x v="3"/>
    <x v="3"/>
  </r>
  <r>
    <n v="214261616"/>
    <x v="231"/>
    <x v="0"/>
    <x v="0"/>
    <n v="39"/>
    <s v="month"/>
    <s v="Not Cancelled"/>
    <x v="3"/>
    <x v="3"/>
  </r>
  <r>
    <n v="214178644"/>
    <x v="231"/>
    <x v="0"/>
    <x v="0"/>
    <n v="39"/>
    <s v="month"/>
    <s v="Not Cancelled"/>
    <x v="3"/>
    <x v="3"/>
  </r>
  <r>
    <n v="214202809"/>
    <x v="231"/>
    <x v="288"/>
    <x v="0"/>
    <n v="39"/>
    <s v="month"/>
    <n v="29"/>
    <x v="3"/>
    <x v="3"/>
  </r>
  <r>
    <n v="214220188"/>
    <x v="232"/>
    <x v="0"/>
    <x v="0"/>
    <n v="39"/>
    <s v="month"/>
    <s v="Not Cancelled"/>
    <x v="4"/>
    <x v="4"/>
  </r>
  <r>
    <n v="212113435"/>
    <x v="232"/>
    <x v="0"/>
    <x v="0"/>
    <n v="39"/>
    <s v="month"/>
    <s v="Not Cancelled"/>
    <x v="4"/>
    <x v="4"/>
  </r>
  <r>
    <n v="213431638"/>
    <x v="232"/>
    <x v="0"/>
    <x v="0"/>
    <n v="39"/>
    <s v="month"/>
    <s v="Not Cancelled"/>
    <x v="4"/>
    <x v="4"/>
  </r>
  <r>
    <n v="214102994"/>
    <x v="232"/>
    <x v="0"/>
    <x v="0"/>
    <n v="39"/>
    <s v="month"/>
    <s v="Not Cancelled"/>
    <x v="4"/>
    <x v="4"/>
  </r>
  <r>
    <n v="177266058"/>
    <x v="232"/>
    <x v="0"/>
    <x v="0"/>
    <n v="39"/>
    <s v="month"/>
    <s v="Not Cancelled"/>
    <x v="4"/>
    <x v="4"/>
  </r>
  <r>
    <n v="116060198"/>
    <x v="232"/>
    <x v="0"/>
    <x v="0"/>
    <n v="39"/>
    <s v="month"/>
    <s v="Not Cancelled"/>
    <x v="4"/>
    <x v="4"/>
  </r>
  <r>
    <n v="214312843"/>
    <x v="232"/>
    <x v="0"/>
    <x v="0"/>
    <n v="39"/>
    <s v="month"/>
    <s v="Not Cancelled"/>
    <x v="4"/>
    <x v="4"/>
  </r>
  <r>
    <n v="156245288"/>
    <x v="232"/>
    <x v="322"/>
    <x v="0"/>
    <n v="39"/>
    <s v="month"/>
    <n v="17"/>
    <x v="4"/>
    <x v="4"/>
  </r>
  <r>
    <n v="148869972"/>
    <x v="232"/>
    <x v="15"/>
    <x v="0"/>
    <n v="39"/>
    <s v="month"/>
    <n v="16"/>
    <x v="4"/>
    <x v="4"/>
  </r>
  <r>
    <n v="156186115"/>
    <x v="232"/>
    <x v="258"/>
    <x v="0"/>
    <n v="39"/>
    <s v="month"/>
    <n v="23"/>
    <x v="4"/>
    <x v="4"/>
  </r>
  <r>
    <n v="207235755"/>
    <x v="232"/>
    <x v="288"/>
    <x v="0"/>
    <n v="39"/>
    <s v="month"/>
    <n v="28"/>
    <x v="4"/>
    <x v="4"/>
  </r>
  <r>
    <n v="169235213"/>
    <x v="232"/>
    <x v="285"/>
    <x v="0"/>
    <n v="39"/>
    <s v="month"/>
    <n v="37"/>
    <x v="4"/>
    <x v="4"/>
  </r>
  <r>
    <n v="213692152"/>
    <x v="232"/>
    <x v="45"/>
    <x v="0"/>
    <n v="39"/>
    <s v="month"/>
    <n v="31"/>
    <x v="4"/>
    <x v="4"/>
  </r>
  <r>
    <n v="214352003"/>
    <x v="232"/>
    <x v="225"/>
    <x v="0"/>
    <n v="39"/>
    <s v="month"/>
    <n v="121"/>
    <x v="4"/>
    <x v="4"/>
  </r>
  <r>
    <n v="139691790"/>
    <x v="233"/>
    <x v="312"/>
    <x v="0"/>
    <n v="39"/>
    <s v="month"/>
    <n v="61"/>
    <x v="5"/>
    <x v="5"/>
  </r>
  <r>
    <n v="210646453"/>
    <x v="233"/>
    <x v="345"/>
    <x v="0"/>
    <n v="39"/>
    <s v="month"/>
    <n v="60"/>
    <x v="5"/>
    <x v="5"/>
  </r>
  <r>
    <n v="206891005"/>
    <x v="233"/>
    <x v="258"/>
    <x v="0"/>
    <n v="39"/>
    <s v="month"/>
    <n v="22"/>
    <x v="5"/>
    <x v="5"/>
  </r>
  <r>
    <n v="212293354"/>
    <x v="233"/>
    <x v="152"/>
    <x v="0"/>
    <n v="39"/>
    <s v="month"/>
    <n v="0"/>
    <x v="5"/>
    <x v="5"/>
  </r>
  <r>
    <n v="214464069"/>
    <x v="234"/>
    <x v="0"/>
    <x v="0"/>
    <n v="39"/>
    <s v="month"/>
    <s v="Not Cancelled"/>
    <x v="6"/>
    <x v="6"/>
  </r>
  <r>
    <n v="214446543"/>
    <x v="234"/>
    <x v="0"/>
    <x v="0"/>
    <n v="39"/>
    <s v="month"/>
    <s v="Not Cancelled"/>
    <x v="6"/>
    <x v="6"/>
  </r>
  <r>
    <n v="212376935"/>
    <x v="234"/>
    <x v="303"/>
    <x v="0"/>
    <n v="39"/>
    <s v="month"/>
    <n v="47"/>
    <x v="6"/>
    <x v="6"/>
  </r>
  <r>
    <n v="173118928"/>
    <x v="234"/>
    <x v="212"/>
    <x v="0"/>
    <n v="39"/>
    <s v="month"/>
    <n v="37"/>
    <x v="6"/>
    <x v="6"/>
  </r>
  <r>
    <n v="214410106"/>
    <x v="234"/>
    <x v="258"/>
    <x v="0"/>
    <n v="39"/>
    <s v="month"/>
    <n v="21"/>
    <x v="6"/>
    <x v="6"/>
  </r>
  <r>
    <n v="214093520"/>
    <x v="234"/>
    <x v="330"/>
    <x v="0"/>
    <n v="39"/>
    <s v="month"/>
    <n v="28"/>
    <x v="6"/>
    <x v="6"/>
  </r>
  <r>
    <n v="214441521"/>
    <x v="234"/>
    <x v="330"/>
    <x v="0"/>
    <n v="39"/>
    <s v="month"/>
    <n v="28"/>
    <x v="6"/>
    <x v="6"/>
  </r>
  <r>
    <n v="214519787"/>
    <x v="235"/>
    <x v="0"/>
    <x v="0"/>
    <n v="39"/>
    <s v="month"/>
    <s v="Not Cancelled"/>
    <x v="0"/>
    <x v="0"/>
  </r>
  <r>
    <n v="213177724"/>
    <x v="235"/>
    <x v="0"/>
    <x v="0"/>
    <n v="39"/>
    <s v="month"/>
    <s v="Not Cancelled"/>
    <x v="0"/>
    <x v="0"/>
  </r>
  <r>
    <n v="213421956"/>
    <x v="235"/>
    <x v="336"/>
    <x v="1"/>
    <n v="39"/>
    <s v="month"/>
    <n v="1"/>
    <x v="0"/>
    <x v="0"/>
  </r>
  <r>
    <n v="151094649"/>
    <x v="235"/>
    <x v="267"/>
    <x v="0"/>
    <n v="39"/>
    <s v="month"/>
    <n v="30"/>
    <x v="0"/>
    <x v="0"/>
  </r>
  <r>
    <n v="160056180"/>
    <x v="235"/>
    <x v="178"/>
    <x v="0"/>
    <n v="39"/>
    <s v="month"/>
    <n v="31"/>
    <x v="0"/>
    <x v="0"/>
  </r>
  <r>
    <n v="166480898"/>
    <x v="235"/>
    <x v="45"/>
    <x v="0"/>
    <n v="39"/>
    <s v="month"/>
    <n v="28"/>
    <x v="0"/>
    <x v="0"/>
  </r>
  <r>
    <n v="182085396"/>
    <x v="235"/>
    <x v="127"/>
    <x v="0"/>
    <n v="39"/>
    <s v="month"/>
    <n v="37"/>
    <x v="0"/>
    <x v="0"/>
  </r>
  <r>
    <n v="214519010"/>
    <x v="235"/>
    <x v="178"/>
    <x v="0"/>
    <n v="39"/>
    <s v="month"/>
    <n v="31"/>
    <x v="0"/>
    <x v="0"/>
  </r>
  <r>
    <n v="148657735"/>
    <x v="235"/>
    <x v="324"/>
    <x v="0"/>
    <n v="39"/>
    <s v="month"/>
    <n v="29"/>
    <x v="0"/>
    <x v="0"/>
  </r>
  <r>
    <n v="214555461"/>
    <x v="236"/>
    <x v="0"/>
    <x v="0"/>
    <n v="39"/>
    <s v="month"/>
    <s v="Not Cancelled"/>
    <x v="1"/>
    <x v="1"/>
  </r>
  <r>
    <n v="148042512"/>
    <x v="236"/>
    <x v="0"/>
    <x v="0"/>
    <n v="39"/>
    <s v="month"/>
    <s v="Not Cancelled"/>
    <x v="1"/>
    <x v="1"/>
  </r>
  <r>
    <n v="214534717"/>
    <x v="236"/>
    <x v="0"/>
    <x v="0"/>
    <n v="39"/>
    <s v="month"/>
    <s v="Not Cancelled"/>
    <x v="1"/>
    <x v="1"/>
  </r>
  <r>
    <n v="211223610"/>
    <x v="236"/>
    <x v="209"/>
    <x v="0"/>
    <n v="39"/>
    <s v="month"/>
    <n v="68"/>
    <x v="1"/>
    <x v="1"/>
  </r>
  <r>
    <n v="214444866"/>
    <x v="236"/>
    <x v="99"/>
    <x v="0"/>
    <n v="39"/>
    <s v="month"/>
    <n v="61"/>
    <x v="1"/>
    <x v="1"/>
  </r>
  <r>
    <n v="206477826"/>
    <x v="236"/>
    <x v="343"/>
    <x v="0"/>
    <n v="39"/>
    <s v="month"/>
    <n v="37"/>
    <x v="1"/>
    <x v="1"/>
  </r>
  <r>
    <n v="214589440"/>
    <x v="236"/>
    <x v="178"/>
    <x v="0"/>
    <n v="39"/>
    <s v="month"/>
    <n v="30"/>
    <x v="1"/>
    <x v="1"/>
  </r>
  <r>
    <n v="214516527"/>
    <x v="236"/>
    <x v="323"/>
    <x v="0"/>
    <n v="39"/>
    <s v="month"/>
    <n v="31"/>
    <x v="1"/>
    <x v="1"/>
  </r>
  <r>
    <n v="158980862"/>
    <x v="236"/>
    <x v="258"/>
    <x v="0"/>
    <n v="39"/>
    <s v="month"/>
    <n v="19"/>
    <x v="1"/>
    <x v="1"/>
  </r>
  <r>
    <n v="144769275"/>
    <x v="236"/>
    <x v="336"/>
    <x v="0"/>
    <n v="39"/>
    <s v="month"/>
    <n v="0"/>
    <x v="1"/>
    <x v="1"/>
  </r>
  <r>
    <n v="214508205"/>
    <x v="236"/>
    <x v="255"/>
    <x v="0"/>
    <n v="39"/>
    <s v="month"/>
    <n v="67"/>
    <x v="1"/>
    <x v="1"/>
  </r>
  <r>
    <n v="156178486"/>
    <x v="237"/>
    <x v="0"/>
    <x v="0"/>
    <n v="39"/>
    <s v="month"/>
    <s v="Not Cancelled"/>
    <x v="2"/>
    <x v="2"/>
  </r>
  <r>
    <n v="214584458"/>
    <x v="237"/>
    <x v="240"/>
    <x v="0"/>
    <n v="39"/>
    <s v="month"/>
    <n v="82"/>
    <x v="2"/>
    <x v="2"/>
  </r>
  <r>
    <n v="181935574"/>
    <x v="238"/>
    <x v="0"/>
    <x v="0"/>
    <n v="39"/>
    <s v="month"/>
    <s v="Not Cancelled"/>
    <x v="3"/>
    <x v="3"/>
  </r>
  <r>
    <n v="153006404"/>
    <x v="238"/>
    <x v="126"/>
    <x v="0"/>
    <n v="39"/>
    <s v="month"/>
    <n v="20"/>
    <x v="3"/>
    <x v="3"/>
  </r>
  <r>
    <n v="214423891"/>
    <x v="238"/>
    <x v="212"/>
    <x v="0"/>
    <n v="39"/>
    <s v="month"/>
    <n v="33"/>
    <x v="3"/>
    <x v="3"/>
  </r>
  <r>
    <n v="214510838"/>
    <x v="238"/>
    <x v="268"/>
    <x v="0"/>
    <n v="39"/>
    <s v="month"/>
    <n v="37"/>
    <x v="3"/>
    <x v="3"/>
  </r>
  <r>
    <n v="211383216"/>
    <x v="238"/>
    <x v="101"/>
    <x v="0"/>
    <n v="39"/>
    <s v="month"/>
    <n v="2"/>
    <x v="3"/>
    <x v="3"/>
  </r>
  <r>
    <n v="214641741"/>
    <x v="238"/>
    <x v="251"/>
    <x v="0"/>
    <n v="39"/>
    <s v="month"/>
    <n v="1"/>
    <x v="3"/>
    <x v="3"/>
  </r>
  <r>
    <n v="214643362"/>
    <x v="238"/>
    <x v="187"/>
    <x v="0"/>
    <n v="39"/>
    <s v="month"/>
    <n v="61"/>
    <x v="3"/>
    <x v="3"/>
  </r>
  <r>
    <n v="214419772"/>
    <x v="239"/>
    <x v="0"/>
    <x v="0"/>
    <n v="39"/>
    <s v="month"/>
    <s v="Not Cancelled"/>
    <x v="4"/>
    <x v="4"/>
  </r>
  <r>
    <n v="213227787"/>
    <x v="239"/>
    <x v="0"/>
    <x v="0"/>
    <n v="39"/>
    <s v="month"/>
    <s v="Not Cancelled"/>
    <x v="4"/>
    <x v="4"/>
  </r>
  <r>
    <n v="214666572"/>
    <x v="239"/>
    <x v="0"/>
    <x v="0"/>
    <n v="39"/>
    <s v="month"/>
    <s v="Not Cancelled"/>
    <x v="4"/>
    <x v="4"/>
  </r>
  <r>
    <n v="126780716"/>
    <x v="239"/>
    <x v="73"/>
    <x v="0"/>
    <n v="39"/>
    <s v="month"/>
    <n v="31"/>
    <x v="4"/>
    <x v="4"/>
  </r>
  <r>
    <n v="214682826"/>
    <x v="239"/>
    <x v="73"/>
    <x v="0"/>
    <n v="39"/>
    <s v="month"/>
    <n v="31"/>
    <x v="4"/>
    <x v="4"/>
  </r>
  <r>
    <n v="212392663"/>
    <x v="239"/>
    <x v="330"/>
    <x v="0"/>
    <n v="39"/>
    <s v="month"/>
    <n v="23"/>
    <x v="4"/>
    <x v="4"/>
  </r>
  <r>
    <n v="147118133"/>
    <x v="239"/>
    <x v="98"/>
    <x v="0"/>
    <n v="39"/>
    <s v="month"/>
    <n v="99"/>
    <x v="4"/>
    <x v="4"/>
  </r>
  <r>
    <n v="157031617"/>
    <x v="240"/>
    <x v="0"/>
    <x v="0"/>
    <n v="39"/>
    <s v="month"/>
    <s v="Not Cancelled"/>
    <x v="5"/>
    <x v="5"/>
  </r>
  <r>
    <n v="211958379"/>
    <x v="240"/>
    <x v="0"/>
    <x v="0"/>
    <n v="39"/>
    <s v="month"/>
    <s v="Not Cancelled"/>
    <x v="5"/>
    <x v="5"/>
  </r>
  <r>
    <n v="152310842"/>
    <x v="240"/>
    <x v="0"/>
    <x v="0"/>
    <n v="39"/>
    <s v="month"/>
    <s v="Not Cancelled"/>
    <x v="5"/>
    <x v="5"/>
  </r>
  <r>
    <n v="214711907"/>
    <x v="240"/>
    <x v="0"/>
    <x v="0"/>
    <n v="39"/>
    <s v="month"/>
    <s v="Not Cancelled"/>
    <x v="5"/>
    <x v="5"/>
  </r>
  <r>
    <n v="150342446"/>
    <x v="240"/>
    <x v="284"/>
    <x v="0"/>
    <n v="39"/>
    <s v="month"/>
    <n v="1"/>
    <x v="5"/>
    <x v="5"/>
  </r>
  <r>
    <n v="214741130"/>
    <x v="240"/>
    <x v="325"/>
    <x v="0"/>
    <n v="39"/>
    <s v="month"/>
    <n v="68"/>
    <x v="5"/>
    <x v="5"/>
  </r>
  <r>
    <n v="214734037"/>
    <x v="240"/>
    <x v="338"/>
    <x v="0"/>
    <n v="39"/>
    <s v="month"/>
    <n v="48"/>
    <x v="5"/>
    <x v="5"/>
  </r>
  <r>
    <n v="214500293"/>
    <x v="240"/>
    <x v="268"/>
    <x v="0"/>
    <n v="39"/>
    <s v="month"/>
    <n v="35"/>
    <x v="5"/>
    <x v="5"/>
  </r>
  <r>
    <n v="214587827"/>
    <x v="240"/>
    <x v="222"/>
    <x v="0"/>
    <n v="39"/>
    <s v="month"/>
    <n v="91"/>
    <x v="5"/>
    <x v="5"/>
  </r>
  <r>
    <n v="214739055"/>
    <x v="240"/>
    <x v="252"/>
    <x v="0"/>
    <n v="39"/>
    <s v="month"/>
    <n v="99"/>
    <x v="5"/>
    <x v="5"/>
  </r>
  <r>
    <n v="163103693"/>
    <x v="240"/>
    <x v="313"/>
    <x v="0"/>
    <n v="39"/>
    <s v="month"/>
    <n v="112"/>
    <x v="5"/>
    <x v="5"/>
  </r>
  <r>
    <n v="214483378"/>
    <x v="241"/>
    <x v="0"/>
    <x v="0"/>
    <n v="39"/>
    <s v="month"/>
    <s v="Not Cancelled"/>
    <x v="6"/>
    <x v="6"/>
  </r>
  <r>
    <n v="157883110"/>
    <x v="241"/>
    <x v="0"/>
    <x v="0"/>
    <n v="39"/>
    <s v="month"/>
    <s v="Not Cancelled"/>
    <x v="6"/>
    <x v="6"/>
  </r>
  <r>
    <n v="132424181"/>
    <x v="241"/>
    <x v="348"/>
    <x v="0"/>
    <n v="39"/>
    <s v="month"/>
    <n v="73"/>
    <x v="6"/>
    <x v="6"/>
  </r>
  <r>
    <n v="214805206"/>
    <x v="241"/>
    <x v="177"/>
    <x v="0"/>
    <n v="39"/>
    <s v="month"/>
    <n v="48"/>
    <x v="6"/>
    <x v="6"/>
  </r>
  <r>
    <n v="214641940"/>
    <x v="241"/>
    <x v="157"/>
    <x v="0"/>
    <n v="39"/>
    <s v="month"/>
    <n v="38"/>
    <x v="6"/>
    <x v="6"/>
  </r>
  <r>
    <n v="206112289"/>
    <x v="241"/>
    <x v="303"/>
    <x v="0"/>
    <n v="39"/>
    <s v="month"/>
    <n v="40"/>
    <x v="6"/>
    <x v="6"/>
  </r>
  <r>
    <n v="214781323"/>
    <x v="241"/>
    <x v="330"/>
    <x v="0"/>
    <n v="39"/>
    <s v="month"/>
    <n v="21"/>
    <x v="6"/>
    <x v="6"/>
  </r>
  <r>
    <n v="214767936"/>
    <x v="241"/>
    <x v="284"/>
    <x v="0"/>
    <n v="39"/>
    <s v="month"/>
    <n v="0"/>
    <x v="6"/>
    <x v="6"/>
  </r>
  <r>
    <n v="182023209"/>
    <x v="241"/>
    <x v="342"/>
    <x v="0"/>
    <n v="39"/>
    <s v="month"/>
    <n v="11"/>
    <x v="6"/>
    <x v="6"/>
  </r>
  <r>
    <n v="148513036"/>
    <x v="242"/>
    <x v="0"/>
    <x v="0"/>
    <n v="39"/>
    <s v="month"/>
    <s v="Not Cancelled"/>
    <x v="0"/>
    <x v="0"/>
  </r>
  <r>
    <n v="157910445"/>
    <x v="242"/>
    <x v="0"/>
    <x v="0"/>
    <n v="39"/>
    <s v="month"/>
    <s v="Not Cancelled"/>
    <x v="0"/>
    <x v="0"/>
  </r>
  <r>
    <n v="213810773"/>
    <x v="242"/>
    <x v="294"/>
    <x v="0"/>
    <n v="39"/>
    <s v="month"/>
    <n v="124"/>
    <x v="0"/>
    <x v="0"/>
  </r>
  <r>
    <n v="154820233"/>
    <x v="242"/>
    <x v="209"/>
    <x v="0"/>
    <n v="39"/>
    <s v="month"/>
    <n v="62"/>
    <x v="0"/>
    <x v="0"/>
  </r>
  <r>
    <n v="214248197"/>
    <x v="242"/>
    <x v="212"/>
    <x v="0"/>
    <n v="39"/>
    <s v="month"/>
    <n v="29"/>
    <x v="0"/>
    <x v="0"/>
  </r>
  <r>
    <n v="214818730"/>
    <x v="242"/>
    <x v="73"/>
    <x v="0"/>
    <n v="39"/>
    <s v="month"/>
    <n v="28"/>
    <x v="0"/>
    <x v="0"/>
  </r>
  <r>
    <n v="186667733"/>
    <x v="242"/>
    <x v="73"/>
    <x v="0"/>
    <n v="39"/>
    <s v="month"/>
    <n v="28"/>
    <x v="0"/>
    <x v="0"/>
  </r>
  <r>
    <n v="214901781"/>
    <x v="243"/>
    <x v="0"/>
    <x v="0"/>
    <n v="39"/>
    <s v="month"/>
    <s v="Not Cancelled"/>
    <x v="1"/>
    <x v="1"/>
  </r>
  <r>
    <n v="214884589"/>
    <x v="243"/>
    <x v="0"/>
    <x v="0"/>
    <n v="39"/>
    <s v="month"/>
    <s v="Not Cancelled"/>
    <x v="1"/>
    <x v="1"/>
  </r>
  <r>
    <n v="210344586"/>
    <x v="243"/>
    <x v="0"/>
    <x v="0"/>
    <n v="39"/>
    <s v="month"/>
    <s v="Not Cancelled"/>
    <x v="1"/>
    <x v="1"/>
  </r>
  <r>
    <n v="214813191"/>
    <x v="243"/>
    <x v="0"/>
    <x v="0"/>
    <n v="39"/>
    <s v="month"/>
    <s v="Not Cancelled"/>
    <x v="1"/>
    <x v="1"/>
  </r>
  <r>
    <n v="214880602"/>
    <x v="243"/>
    <x v="0"/>
    <x v="0"/>
    <n v="39"/>
    <s v="month"/>
    <s v="Not Cancelled"/>
    <x v="1"/>
    <x v="1"/>
  </r>
  <r>
    <n v="186140999"/>
    <x v="243"/>
    <x v="127"/>
    <x v="0"/>
    <n v="39"/>
    <s v="month"/>
    <n v="29"/>
    <x v="1"/>
    <x v="1"/>
  </r>
  <r>
    <n v="214860336"/>
    <x v="243"/>
    <x v="244"/>
    <x v="0"/>
    <n v="39"/>
    <s v="month"/>
    <n v="59"/>
    <x v="1"/>
    <x v="1"/>
  </r>
  <r>
    <n v="138725699"/>
    <x v="243"/>
    <x v="303"/>
    <x v="0"/>
    <n v="39"/>
    <s v="month"/>
    <n v="38"/>
    <x v="1"/>
    <x v="1"/>
  </r>
  <r>
    <n v="132315255"/>
    <x v="243"/>
    <x v="320"/>
    <x v="0"/>
    <n v="39"/>
    <s v="month"/>
    <n v="0"/>
    <x v="1"/>
    <x v="1"/>
  </r>
  <r>
    <n v="208202304"/>
    <x v="243"/>
    <x v="320"/>
    <x v="0"/>
    <n v="39"/>
    <s v="month"/>
    <n v="0"/>
    <x v="1"/>
    <x v="1"/>
  </r>
  <r>
    <n v="214869362"/>
    <x v="243"/>
    <x v="285"/>
    <x v="0"/>
    <n v="39"/>
    <s v="month"/>
    <n v="26"/>
    <x v="1"/>
    <x v="1"/>
  </r>
  <r>
    <n v="207118054"/>
    <x v="244"/>
    <x v="0"/>
    <x v="0"/>
    <n v="39"/>
    <s v="month"/>
    <s v="Not Cancelled"/>
    <x v="2"/>
    <x v="2"/>
  </r>
  <r>
    <n v="214856586"/>
    <x v="244"/>
    <x v="0"/>
    <x v="0"/>
    <n v="39"/>
    <s v="month"/>
    <s v="Not Cancelled"/>
    <x v="2"/>
    <x v="2"/>
  </r>
  <r>
    <n v="201945254"/>
    <x v="244"/>
    <x v="212"/>
    <x v="0"/>
    <n v="39"/>
    <s v="month"/>
    <n v="27"/>
    <x v="2"/>
    <x v="2"/>
  </r>
  <r>
    <n v="134531651"/>
    <x v="245"/>
    <x v="0"/>
    <x v="0"/>
    <n v="39"/>
    <s v="month"/>
    <s v="Not Cancelled"/>
    <x v="3"/>
    <x v="3"/>
  </r>
  <r>
    <n v="204865394"/>
    <x v="245"/>
    <x v="0"/>
    <x v="0"/>
    <n v="39"/>
    <s v="month"/>
    <s v="Not Cancelled"/>
    <x v="3"/>
    <x v="3"/>
  </r>
  <r>
    <n v="158906669"/>
    <x v="245"/>
    <x v="0"/>
    <x v="0"/>
    <n v="39"/>
    <s v="month"/>
    <s v="Not Cancelled"/>
    <x v="3"/>
    <x v="3"/>
  </r>
  <r>
    <n v="125591366"/>
    <x v="245"/>
    <x v="310"/>
    <x v="0"/>
    <n v="39"/>
    <s v="month"/>
    <n v="91"/>
    <x v="3"/>
    <x v="3"/>
  </r>
  <r>
    <n v="214839844"/>
    <x v="245"/>
    <x v="160"/>
    <x v="0"/>
    <n v="39"/>
    <s v="month"/>
    <n v="61"/>
    <x v="3"/>
    <x v="3"/>
  </r>
  <r>
    <n v="214939612"/>
    <x v="245"/>
    <x v="244"/>
    <x v="0"/>
    <n v="39"/>
    <s v="month"/>
    <n v="57"/>
    <x v="3"/>
    <x v="3"/>
  </r>
  <r>
    <n v="204670100"/>
    <x v="245"/>
    <x v="346"/>
    <x v="0"/>
    <n v="39"/>
    <s v="month"/>
    <n v="68"/>
    <x v="3"/>
    <x v="3"/>
  </r>
  <r>
    <n v="214830539"/>
    <x v="245"/>
    <x v="69"/>
    <x v="0"/>
    <n v="39"/>
    <s v="month"/>
    <n v="38"/>
    <x v="3"/>
    <x v="3"/>
  </r>
  <r>
    <n v="185952990"/>
    <x v="245"/>
    <x v="157"/>
    <x v="0"/>
    <n v="39"/>
    <s v="month"/>
    <n v="34"/>
    <x v="3"/>
    <x v="3"/>
  </r>
  <r>
    <n v="214936311"/>
    <x v="245"/>
    <x v="235"/>
    <x v="0"/>
    <n v="39"/>
    <s v="month"/>
    <n v="0"/>
    <x v="3"/>
    <x v="3"/>
  </r>
  <r>
    <n v="214620392"/>
    <x v="245"/>
    <x v="160"/>
    <x v="0"/>
    <n v="39"/>
    <s v="month"/>
    <n v="61"/>
    <x v="3"/>
    <x v="3"/>
  </r>
  <r>
    <n v="157935884"/>
    <x v="246"/>
    <x v="0"/>
    <x v="0"/>
    <n v="39"/>
    <s v="month"/>
    <s v="Not Cancelled"/>
    <x v="4"/>
    <x v="4"/>
  </r>
  <r>
    <n v="214945706"/>
    <x v="246"/>
    <x v="0"/>
    <x v="0"/>
    <n v="39"/>
    <s v="month"/>
    <s v="Not Cancelled"/>
    <x v="4"/>
    <x v="4"/>
  </r>
  <r>
    <n v="214999374"/>
    <x v="246"/>
    <x v="0"/>
    <x v="0"/>
    <n v="39"/>
    <s v="month"/>
    <s v="Not Cancelled"/>
    <x v="4"/>
    <x v="4"/>
  </r>
  <r>
    <n v="214986467"/>
    <x v="246"/>
    <x v="0"/>
    <x v="0"/>
    <n v="39"/>
    <s v="month"/>
    <s v="Not Cancelled"/>
    <x v="4"/>
    <x v="4"/>
  </r>
  <r>
    <n v="214984741"/>
    <x v="246"/>
    <x v="0"/>
    <x v="0"/>
    <n v="39"/>
    <s v="month"/>
    <s v="Not Cancelled"/>
    <x v="4"/>
    <x v="4"/>
  </r>
  <r>
    <n v="214993166"/>
    <x v="246"/>
    <x v="0"/>
    <x v="0"/>
    <n v="39"/>
    <s v="month"/>
    <s v="Not Cancelled"/>
    <x v="4"/>
    <x v="4"/>
  </r>
  <r>
    <n v="203116697"/>
    <x v="246"/>
    <x v="0"/>
    <x v="0"/>
    <n v="39"/>
    <s v="month"/>
    <s v="Not Cancelled"/>
    <x v="4"/>
    <x v="4"/>
  </r>
  <r>
    <n v="214906741"/>
    <x v="246"/>
    <x v="0"/>
    <x v="0"/>
    <n v="39"/>
    <s v="month"/>
    <s v="Not Cancelled"/>
    <x v="4"/>
    <x v="4"/>
  </r>
  <r>
    <n v="128977818"/>
    <x v="246"/>
    <x v="349"/>
    <x v="0"/>
    <n v="39"/>
    <s v="month"/>
    <n v="121"/>
    <x v="4"/>
    <x v="4"/>
  </r>
  <r>
    <n v="209743418"/>
    <x v="246"/>
    <x v="96"/>
    <x v="0"/>
    <n v="39"/>
    <s v="month"/>
    <n v="1"/>
    <x v="4"/>
    <x v="4"/>
  </r>
  <r>
    <n v="209743418"/>
    <x v="246"/>
    <x v="341"/>
    <x v="0"/>
    <n v="39"/>
    <s v="month"/>
    <n v="61"/>
    <x v="4"/>
    <x v="4"/>
  </r>
  <r>
    <n v="130868671"/>
    <x v="246"/>
    <x v="69"/>
    <x v="0"/>
    <n v="39"/>
    <s v="month"/>
    <n v="37"/>
    <x v="4"/>
    <x v="4"/>
  </r>
  <r>
    <n v="146963394"/>
    <x v="246"/>
    <x v="255"/>
    <x v="0"/>
    <n v="39"/>
    <s v="month"/>
    <n v="57"/>
    <x v="4"/>
    <x v="4"/>
  </r>
  <r>
    <n v="214960770"/>
    <x v="246"/>
    <x v="244"/>
    <x v="0"/>
    <n v="39"/>
    <s v="month"/>
    <n v="56"/>
    <x v="4"/>
    <x v="4"/>
  </r>
  <r>
    <n v="207344872"/>
    <x v="246"/>
    <x v="298"/>
    <x v="0"/>
    <n v="39"/>
    <s v="month"/>
    <n v="30"/>
    <x v="4"/>
    <x v="4"/>
  </r>
  <r>
    <n v="202925989"/>
    <x v="246"/>
    <x v="273"/>
    <x v="0"/>
    <n v="39"/>
    <s v="month"/>
    <n v="38"/>
    <x v="4"/>
    <x v="4"/>
  </r>
  <r>
    <n v="214991976"/>
    <x v="246"/>
    <x v="311"/>
    <x v="0"/>
    <n v="39"/>
    <s v="month"/>
    <n v="45"/>
    <x v="4"/>
    <x v="4"/>
  </r>
  <r>
    <n v="211917633"/>
    <x v="246"/>
    <x v="45"/>
    <x v="0"/>
    <n v="39"/>
    <s v="month"/>
    <n v="17"/>
    <x v="4"/>
    <x v="4"/>
  </r>
  <r>
    <n v="214623264"/>
    <x v="246"/>
    <x v="348"/>
    <x v="0"/>
    <n v="39"/>
    <s v="month"/>
    <n v="68"/>
    <x v="4"/>
    <x v="4"/>
  </r>
  <r>
    <n v="205339362"/>
    <x v="246"/>
    <x v="341"/>
    <x v="0"/>
    <n v="39"/>
    <s v="month"/>
    <n v="61"/>
    <x v="4"/>
    <x v="4"/>
  </r>
  <r>
    <n v="214956352"/>
    <x v="247"/>
    <x v="0"/>
    <x v="0"/>
    <n v="39"/>
    <s v="month"/>
    <s v="Not Cancelled"/>
    <x v="5"/>
    <x v="5"/>
  </r>
  <r>
    <n v="196061402"/>
    <x v="247"/>
    <x v="0"/>
    <x v="0"/>
    <n v="39"/>
    <s v="month"/>
    <s v="Not Cancelled"/>
    <x v="5"/>
    <x v="5"/>
  </r>
  <r>
    <n v="215019022"/>
    <x v="247"/>
    <x v="0"/>
    <x v="0"/>
    <n v="39"/>
    <s v="month"/>
    <s v="Not Cancelled"/>
    <x v="5"/>
    <x v="5"/>
  </r>
  <r>
    <n v="185517087"/>
    <x v="247"/>
    <x v="0"/>
    <x v="0"/>
    <n v="39"/>
    <s v="month"/>
    <s v="Not Cancelled"/>
    <x v="5"/>
    <x v="5"/>
  </r>
  <r>
    <n v="151513254"/>
    <x v="247"/>
    <x v="96"/>
    <x v="0"/>
    <n v="39"/>
    <s v="month"/>
    <n v="0"/>
    <x v="5"/>
    <x v="5"/>
  </r>
  <r>
    <n v="214952558"/>
    <x v="247"/>
    <x v="15"/>
    <x v="1"/>
    <n v="39"/>
    <s v="month"/>
    <n v="1"/>
    <x v="5"/>
    <x v="5"/>
  </r>
  <r>
    <n v="139339380"/>
    <x v="247"/>
    <x v="180"/>
    <x v="0"/>
    <n v="39"/>
    <s v="month"/>
    <n v="40"/>
    <x v="5"/>
    <x v="5"/>
  </r>
  <r>
    <n v="208188866"/>
    <x v="247"/>
    <x v="270"/>
    <x v="0"/>
    <n v="39"/>
    <s v="month"/>
    <n v="31"/>
    <x v="5"/>
    <x v="5"/>
  </r>
  <r>
    <n v="150342446"/>
    <x v="247"/>
    <x v="291"/>
    <x v="0"/>
    <n v="39"/>
    <s v="month"/>
    <n v="38"/>
    <x v="5"/>
    <x v="5"/>
  </r>
  <r>
    <n v="188748372"/>
    <x v="247"/>
    <x v="291"/>
    <x v="0"/>
    <n v="39"/>
    <s v="month"/>
    <n v="38"/>
    <x v="5"/>
    <x v="5"/>
  </r>
  <r>
    <n v="215034356"/>
    <x v="247"/>
    <x v="96"/>
    <x v="0"/>
    <n v="39"/>
    <s v="month"/>
    <n v="0"/>
    <x v="5"/>
    <x v="5"/>
  </r>
  <r>
    <n v="145013444"/>
    <x v="247"/>
    <x v="323"/>
    <x v="0"/>
    <n v="39"/>
    <s v="month"/>
    <n v="20"/>
    <x v="5"/>
    <x v="5"/>
  </r>
  <r>
    <n v="164548755"/>
    <x v="247"/>
    <x v="249"/>
    <x v="0"/>
    <n v="39"/>
    <s v="month"/>
    <n v="68"/>
    <x v="5"/>
    <x v="5"/>
  </r>
  <r>
    <n v="193315330"/>
    <x v="247"/>
    <x v="55"/>
    <x v="0"/>
    <n v="39"/>
    <s v="month"/>
    <n v="99"/>
    <x v="5"/>
    <x v="5"/>
  </r>
  <r>
    <n v="147592201"/>
    <x v="248"/>
    <x v="0"/>
    <x v="0"/>
    <n v="39"/>
    <s v="month"/>
    <s v="Not Cancelled"/>
    <x v="6"/>
    <x v="6"/>
  </r>
  <r>
    <n v="192068317"/>
    <x v="248"/>
    <x v="0"/>
    <x v="0"/>
    <n v="39"/>
    <s v="month"/>
    <s v="Not Cancelled"/>
    <x v="6"/>
    <x v="6"/>
  </r>
  <r>
    <n v="214396083"/>
    <x v="248"/>
    <x v="0"/>
    <x v="0"/>
    <n v="39"/>
    <s v="month"/>
    <s v="Not Cancelled"/>
    <x v="6"/>
    <x v="6"/>
  </r>
  <r>
    <n v="214698924"/>
    <x v="248"/>
    <x v="15"/>
    <x v="0"/>
    <n v="39"/>
    <s v="month"/>
    <n v="0"/>
    <x v="6"/>
    <x v="6"/>
  </r>
  <r>
    <n v="153402484"/>
    <x v="248"/>
    <x v="270"/>
    <x v="0"/>
    <n v="39"/>
    <s v="month"/>
    <n v="30"/>
    <x v="6"/>
    <x v="6"/>
  </r>
  <r>
    <n v="214809412"/>
    <x v="248"/>
    <x v="252"/>
    <x v="0"/>
    <n v="39"/>
    <s v="month"/>
    <n v="91"/>
    <x v="6"/>
    <x v="6"/>
  </r>
  <r>
    <n v="215062365"/>
    <x v="248"/>
    <x v="204"/>
    <x v="0"/>
    <n v="39"/>
    <s v="month"/>
    <n v="85"/>
    <x v="6"/>
    <x v="6"/>
  </r>
  <r>
    <n v="135185873"/>
    <x v="249"/>
    <x v="0"/>
    <x v="0"/>
    <n v="39"/>
    <s v="month"/>
    <s v="Not Cancelled"/>
    <x v="0"/>
    <x v="0"/>
  </r>
  <r>
    <n v="144898968"/>
    <x v="249"/>
    <x v="0"/>
    <x v="0"/>
    <n v="39"/>
    <s v="month"/>
    <s v="Not Cancelled"/>
    <x v="0"/>
    <x v="0"/>
  </r>
  <r>
    <n v="214973231"/>
    <x v="249"/>
    <x v="0"/>
    <x v="0"/>
    <n v="39"/>
    <s v="month"/>
    <s v="Not Cancelled"/>
    <x v="0"/>
    <x v="0"/>
  </r>
  <r>
    <n v="214971897"/>
    <x v="249"/>
    <x v="0"/>
    <x v="0"/>
    <n v="39"/>
    <s v="month"/>
    <s v="Not Cancelled"/>
    <x v="0"/>
    <x v="0"/>
  </r>
  <r>
    <n v="134919488"/>
    <x v="249"/>
    <x v="307"/>
    <x v="0"/>
    <n v="39"/>
    <s v="month"/>
    <n v="88"/>
    <x v="0"/>
    <x v="0"/>
  </r>
  <r>
    <n v="214912916"/>
    <x v="249"/>
    <x v="186"/>
    <x v="0"/>
    <n v="39"/>
    <s v="month"/>
    <n v="31"/>
    <x v="0"/>
    <x v="0"/>
  </r>
  <r>
    <n v="215138344"/>
    <x v="249"/>
    <x v="212"/>
    <x v="0"/>
    <n v="39"/>
    <s v="month"/>
    <n v="22"/>
    <x v="0"/>
    <x v="0"/>
  </r>
  <r>
    <n v="215132378"/>
    <x v="249"/>
    <x v="304"/>
    <x v="0"/>
    <n v="39"/>
    <s v="month"/>
    <n v="25"/>
    <x v="0"/>
    <x v="0"/>
  </r>
  <r>
    <n v="206145911"/>
    <x v="249"/>
    <x v="322"/>
    <x v="0"/>
    <n v="39"/>
    <s v="month"/>
    <n v="0"/>
    <x v="0"/>
    <x v="0"/>
  </r>
  <r>
    <n v="215146368"/>
    <x v="249"/>
    <x v="171"/>
    <x v="0"/>
    <n v="39"/>
    <s v="month"/>
    <n v="8"/>
    <x v="0"/>
    <x v="0"/>
  </r>
  <r>
    <n v="133199506"/>
    <x v="250"/>
    <x v="0"/>
    <x v="0"/>
    <n v="39"/>
    <s v="month"/>
    <s v="Not Cancelled"/>
    <x v="1"/>
    <x v="1"/>
  </r>
  <r>
    <n v="202763494"/>
    <x v="250"/>
    <x v="0"/>
    <x v="0"/>
    <n v="39"/>
    <s v="month"/>
    <s v="Not Cancelled"/>
    <x v="1"/>
    <x v="1"/>
  </r>
  <r>
    <n v="215113205"/>
    <x v="250"/>
    <x v="0"/>
    <x v="0"/>
    <n v="39"/>
    <s v="month"/>
    <s v="Not Cancelled"/>
    <x v="1"/>
    <x v="1"/>
  </r>
  <r>
    <n v="147097108"/>
    <x v="250"/>
    <x v="0"/>
    <x v="0"/>
    <n v="39"/>
    <s v="month"/>
    <s v="Not Cancelled"/>
    <x v="1"/>
    <x v="1"/>
  </r>
  <r>
    <n v="186692270"/>
    <x v="250"/>
    <x v="0"/>
    <x v="0"/>
    <n v="39"/>
    <s v="month"/>
    <s v="Not Cancelled"/>
    <x v="1"/>
    <x v="1"/>
  </r>
  <r>
    <n v="215169444"/>
    <x v="250"/>
    <x v="0"/>
    <x v="0"/>
    <n v="39"/>
    <s v="month"/>
    <s v="Not Cancelled"/>
    <x v="1"/>
    <x v="1"/>
  </r>
  <r>
    <n v="114992353"/>
    <x v="250"/>
    <x v="332"/>
    <x v="0"/>
    <n v="39"/>
    <s v="month"/>
    <n v="94"/>
    <x v="1"/>
    <x v="1"/>
  </r>
  <r>
    <n v="212339137"/>
    <x v="250"/>
    <x v="174"/>
    <x v="0"/>
    <n v="39"/>
    <s v="month"/>
    <n v="1"/>
    <x v="1"/>
    <x v="1"/>
  </r>
  <r>
    <n v="175564124"/>
    <x v="250"/>
    <x v="343"/>
    <x v="0"/>
    <n v="39"/>
    <s v="month"/>
    <n v="23"/>
    <x v="1"/>
    <x v="1"/>
  </r>
  <r>
    <n v="174646950"/>
    <x v="250"/>
    <x v="338"/>
    <x v="0"/>
    <n v="39"/>
    <s v="month"/>
    <n v="38"/>
    <x v="1"/>
    <x v="1"/>
  </r>
  <r>
    <n v="215075697"/>
    <x v="250"/>
    <x v="186"/>
    <x v="0"/>
    <n v="39"/>
    <s v="month"/>
    <n v="30"/>
    <x v="1"/>
    <x v="1"/>
  </r>
  <r>
    <n v="215149530"/>
    <x v="250"/>
    <x v="187"/>
    <x v="0"/>
    <n v="39"/>
    <s v="month"/>
    <n v="49"/>
    <x v="1"/>
    <x v="1"/>
  </r>
  <r>
    <n v="215226464"/>
    <x v="251"/>
    <x v="0"/>
    <x v="0"/>
    <n v="39"/>
    <s v="month"/>
    <s v="Not Cancelled"/>
    <x v="2"/>
    <x v="2"/>
  </r>
  <r>
    <n v="215221354"/>
    <x v="251"/>
    <x v="0"/>
    <x v="0"/>
    <n v="39"/>
    <s v="month"/>
    <s v="Not Cancelled"/>
    <x v="2"/>
    <x v="2"/>
  </r>
  <r>
    <n v="215031638"/>
    <x v="251"/>
    <x v="0"/>
    <x v="0"/>
    <n v="39"/>
    <s v="month"/>
    <s v="Not Cancelled"/>
    <x v="2"/>
    <x v="2"/>
  </r>
  <r>
    <n v="182019861"/>
    <x v="252"/>
    <x v="0"/>
    <x v="0"/>
    <n v="39"/>
    <s v="month"/>
    <s v="Not Cancelled"/>
    <x v="3"/>
    <x v="3"/>
  </r>
  <r>
    <n v="210072231"/>
    <x v="252"/>
    <x v="0"/>
    <x v="0"/>
    <n v="39"/>
    <s v="month"/>
    <s v="Not Cancelled"/>
    <x v="3"/>
    <x v="3"/>
  </r>
  <r>
    <n v="127328847"/>
    <x v="252"/>
    <x v="237"/>
    <x v="0"/>
    <n v="39"/>
    <s v="month"/>
    <n v="1"/>
    <x v="3"/>
    <x v="3"/>
  </r>
  <r>
    <n v="155566052"/>
    <x v="252"/>
    <x v="303"/>
    <x v="0"/>
    <n v="39"/>
    <s v="month"/>
    <n v="29"/>
    <x v="3"/>
    <x v="3"/>
  </r>
  <r>
    <n v="151513254"/>
    <x v="252"/>
    <x v="177"/>
    <x v="0"/>
    <n v="39"/>
    <s v="month"/>
    <n v="37"/>
    <x v="3"/>
    <x v="3"/>
  </r>
  <r>
    <n v="152236400"/>
    <x v="252"/>
    <x v="241"/>
    <x v="0"/>
    <n v="39"/>
    <s v="month"/>
    <n v="53"/>
    <x v="3"/>
    <x v="3"/>
  </r>
  <r>
    <n v="215030324"/>
    <x v="252"/>
    <x v="332"/>
    <x v="0"/>
    <n v="39"/>
    <s v="month"/>
    <n v="92"/>
    <x v="3"/>
    <x v="3"/>
  </r>
  <r>
    <n v="206087650"/>
    <x v="252"/>
    <x v="350"/>
    <x v="0"/>
    <n v="39"/>
    <s v="month"/>
    <n v="68"/>
    <x v="3"/>
    <x v="3"/>
  </r>
  <r>
    <n v="136252657"/>
    <x v="253"/>
    <x v="209"/>
    <x v="0"/>
    <n v="39"/>
    <s v="month"/>
    <n v="51"/>
    <x v="4"/>
    <x v="4"/>
  </r>
  <r>
    <n v="134753801"/>
    <x v="253"/>
    <x v="315"/>
    <x v="0"/>
    <n v="39"/>
    <s v="month"/>
    <n v="58"/>
    <x v="4"/>
    <x v="4"/>
  </r>
  <r>
    <n v="155245092"/>
    <x v="253"/>
    <x v="291"/>
    <x v="0"/>
    <n v="39"/>
    <s v="month"/>
    <n v="32"/>
    <x v="4"/>
    <x v="4"/>
  </r>
  <r>
    <n v="214905500"/>
    <x v="253"/>
    <x v="313"/>
    <x v="0"/>
    <n v="39"/>
    <s v="month"/>
    <n v="99"/>
    <x v="4"/>
    <x v="4"/>
  </r>
  <r>
    <n v="215152504"/>
    <x v="254"/>
    <x v="0"/>
    <x v="0"/>
    <n v="39"/>
    <s v="month"/>
    <s v="Not Cancelled"/>
    <x v="5"/>
    <x v="5"/>
  </r>
  <r>
    <n v="215336639"/>
    <x v="254"/>
    <x v="0"/>
    <x v="0"/>
    <n v="39"/>
    <s v="month"/>
    <s v="Not Cancelled"/>
    <x v="5"/>
    <x v="5"/>
  </r>
  <r>
    <n v="215220026"/>
    <x v="254"/>
    <x v="0"/>
    <x v="0"/>
    <n v="39"/>
    <s v="month"/>
    <s v="Not Cancelled"/>
    <x v="5"/>
    <x v="5"/>
  </r>
  <r>
    <n v="202395800"/>
    <x v="254"/>
    <x v="0"/>
    <x v="0"/>
    <n v="39"/>
    <s v="month"/>
    <s v="Not Cancelled"/>
    <x v="5"/>
    <x v="5"/>
  </r>
  <r>
    <n v="215289431"/>
    <x v="254"/>
    <x v="313"/>
    <x v="0"/>
    <n v="39"/>
    <s v="month"/>
    <n v="98"/>
    <x v="5"/>
    <x v="5"/>
  </r>
  <r>
    <n v="182102820"/>
    <x v="254"/>
    <x v="258"/>
    <x v="0"/>
    <n v="39"/>
    <s v="month"/>
    <n v="1"/>
    <x v="5"/>
    <x v="5"/>
  </r>
  <r>
    <n v="215322558"/>
    <x v="254"/>
    <x v="147"/>
    <x v="0"/>
    <n v="39"/>
    <s v="month"/>
    <n v="38"/>
    <x v="5"/>
    <x v="5"/>
  </r>
  <r>
    <n v="215347417"/>
    <x v="254"/>
    <x v="45"/>
    <x v="0"/>
    <n v="39"/>
    <s v="month"/>
    <n v="9"/>
    <x v="5"/>
    <x v="5"/>
  </r>
  <r>
    <n v="215203944"/>
    <x v="254"/>
    <x v="279"/>
    <x v="0"/>
    <n v="39"/>
    <s v="month"/>
    <n v="56"/>
    <x v="5"/>
    <x v="5"/>
  </r>
  <r>
    <n v="215350747"/>
    <x v="254"/>
    <x v="204"/>
    <x v="0"/>
    <n v="39"/>
    <s v="month"/>
    <n v="79"/>
    <x v="5"/>
    <x v="5"/>
  </r>
  <r>
    <n v="215254830"/>
    <x v="254"/>
    <x v="305"/>
    <x v="0"/>
    <n v="39"/>
    <s v="month"/>
    <n v="78"/>
    <x v="5"/>
    <x v="5"/>
  </r>
  <r>
    <n v="192908537"/>
    <x v="254"/>
    <x v="291"/>
    <x v="0"/>
    <n v="39"/>
    <s v="month"/>
    <n v="31"/>
    <x v="5"/>
    <x v="5"/>
  </r>
  <r>
    <n v="123007965"/>
    <x v="255"/>
    <x v="0"/>
    <x v="0"/>
    <n v="39"/>
    <s v="month"/>
    <s v="Not Cancelled"/>
    <x v="6"/>
    <x v="6"/>
  </r>
  <r>
    <n v="151711223"/>
    <x v="255"/>
    <x v="0"/>
    <x v="0"/>
    <n v="39"/>
    <s v="month"/>
    <s v="Not Cancelled"/>
    <x v="6"/>
    <x v="6"/>
  </r>
  <r>
    <n v="130751382"/>
    <x v="255"/>
    <x v="0"/>
    <x v="0"/>
    <n v="39"/>
    <s v="month"/>
    <s v="Not Cancelled"/>
    <x v="6"/>
    <x v="6"/>
  </r>
  <r>
    <n v="126037254"/>
    <x v="255"/>
    <x v="0"/>
    <x v="0"/>
    <n v="39"/>
    <s v="month"/>
    <s v="Not Cancelled"/>
    <x v="6"/>
    <x v="6"/>
  </r>
  <r>
    <n v="133469770"/>
    <x v="255"/>
    <x v="0"/>
    <x v="0"/>
    <n v="39"/>
    <s v="month"/>
    <s v="Not Cancelled"/>
    <x v="6"/>
    <x v="6"/>
  </r>
  <r>
    <n v="133565657"/>
    <x v="255"/>
    <x v="195"/>
    <x v="0"/>
    <n v="39"/>
    <s v="month"/>
    <n v="85"/>
    <x v="6"/>
    <x v="6"/>
  </r>
  <r>
    <n v="215307979"/>
    <x v="255"/>
    <x v="345"/>
    <x v="0"/>
    <n v="39"/>
    <s v="month"/>
    <n v="38"/>
    <x v="6"/>
    <x v="6"/>
  </r>
  <r>
    <n v="174289942"/>
    <x v="255"/>
    <x v="350"/>
    <x v="0"/>
    <n v="39"/>
    <s v="month"/>
    <n v="65"/>
    <x v="6"/>
    <x v="6"/>
  </r>
  <r>
    <n v="215366550"/>
    <x v="255"/>
    <x v="222"/>
    <x v="0"/>
    <n v="39"/>
    <s v="month"/>
    <n v="76"/>
    <x v="6"/>
    <x v="6"/>
  </r>
  <r>
    <n v="210361390"/>
    <x v="256"/>
    <x v="0"/>
    <x v="0"/>
    <n v="39"/>
    <s v="month"/>
    <s v="Not Cancelled"/>
    <x v="0"/>
    <x v="0"/>
  </r>
  <r>
    <n v="120738319"/>
    <x v="256"/>
    <x v="0"/>
    <x v="0"/>
    <n v="39"/>
    <s v="month"/>
    <s v="Not Cancelled"/>
    <x v="0"/>
    <x v="0"/>
  </r>
  <r>
    <n v="214122861"/>
    <x v="256"/>
    <x v="0"/>
    <x v="0"/>
    <n v="39"/>
    <s v="month"/>
    <s v="Not Cancelled"/>
    <x v="0"/>
    <x v="0"/>
  </r>
  <r>
    <n v="214793162"/>
    <x v="256"/>
    <x v="0"/>
    <x v="0"/>
    <n v="39"/>
    <s v="month"/>
    <s v="Not Cancelled"/>
    <x v="0"/>
    <x v="0"/>
  </r>
  <r>
    <n v="215420480"/>
    <x v="256"/>
    <x v="349"/>
    <x v="0"/>
    <n v="39"/>
    <s v="month"/>
    <n v="111"/>
    <x v="0"/>
    <x v="0"/>
  </r>
  <r>
    <n v="215415792"/>
    <x v="256"/>
    <x v="171"/>
    <x v="1"/>
    <n v="39"/>
    <s v="month"/>
    <n v="1"/>
    <x v="0"/>
    <x v="0"/>
  </r>
  <r>
    <n v="152705871"/>
    <x v="256"/>
    <x v="45"/>
    <x v="0"/>
    <n v="39"/>
    <s v="month"/>
    <n v="7"/>
    <x v="0"/>
    <x v="0"/>
  </r>
  <r>
    <n v="168265029"/>
    <x v="256"/>
    <x v="285"/>
    <x v="0"/>
    <n v="39"/>
    <s v="month"/>
    <n v="13"/>
    <x v="0"/>
    <x v="0"/>
  </r>
  <r>
    <n v="215428908"/>
    <x v="256"/>
    <x v="338"/>
    <x v="0"/>
    <n v="39"/>
    <s v="month"/>
    <n v="32"/>
    <x v="0"/>
    <x v="0"/>
  </r>
  <r>
    <n v="215189952"/>
    <x v="256"/>
    <x v="3"/>
    <x v="0"/>
    <n v="39"/>
    <s v="month"/>
    <n v="42"/>
    <x v="0"/>
    <x v="0"/>
  </r>
  <r>
    <n v="208168256"/>
    <x v="256"/>
    <x v="180"/>
    <x v="0"/>
    <n v="39"/>
    <s v="month"/>
    <n v="31"/>
    <x v="0"/>
    <x v="0"/>
  </r>
  <r>
    <n v="163193072"/>
    <x v="257"/>
    <x v="0"/>
    <x v="0"/>
    <n v="39"/>
    <s v="month"/>
    <s v="Not Cancelled"/>
    <x v="1"/>
    <x v="1"/>
  </r>
  <r>
    <n v="153449481"/>
    <x v="257"/>
    <x v="126"/>
    <x v="0"/>
    <n v="39"/>
    <s v="month"/>
    <n v="1"/>
    <x v="1"/>
    <x v="1"/>
  </r>
  <r>
    <n v="215384745"/>
    <x v="257"/>
    <x v="180"/>
    <x v="0"/>
    <n v="39"/>
    <s v="month"/>
    <n v="30"/>
    <x v="1"/>
    <x v="1"/>
  </r>
  <r>
    <n v="160904253"/>
    <x v="257"/>
    <x v="321"/>
    <x v="0"/>
    <n v="39"/>
    <s v="month"/>
    <n v="38"/>
    <x v="1"/>
    <x v="1"/>
  </r>
  <r>
    <n v="215476119"/>
    <x v="257"/>
    <x v="321"/>
    <x v="0"/>
    <n v="39"/>
    <s v="month"/>
    <n v="38"/>
    <x v="1"/>
    <x v="1"/>
  </r>
  <r>
    <n v="214624328"/>
    <x v="257"/>
    <x v="69"/>
    <x v="0"/>
    <n v="39"/>
    <s v="month"/>
    <n v="26"/>
    <x v="1"/>
    <x v="1"/>
  </r>
  <r>
    <n v="215463105"/>
    <x v="257"/>
    <x v="267"/>
    <x v="0"/>
    <n v="39"/>
    <s v="month"/>
    <n v="8"/>
    <x v="1"/>
    <x v="1"/>
  </r>
  <r>
    <n v="187368519"/>
    <x v="257"/>
    <x v="262"/>
    <x v="0"/>
    <n v="39"/>
    <s v="month"/>
    <n v="99"/>
    <x v="1"/>
    <x v="1"/>
  </r>
  <r>
    <n v="206139986"/>
    <x v="257"/>
    <x v="314"/>
    <x v="0"/>
    <n v="39"/>
    <s v="month"/>
    <n v="60"/>
    <x v="1"/>
    <x v="1"/>
  </r>
  <r>
    <n v="215473481"/>
    <x v="257"/>
    <x v="346"/>
    <x v="0"/>
    <n v="39"/>
    <s v="month"/>
    <n v="56"/>
    <x v="1"/>
    <x v="1"/>
  </r>
  <r>
    <n v="214967111"/>
    <x v="258"/>
    <x v="0"/>
    <x v="0"/>
    <n v="39"/>
    <s v="month"/>
    <s v="Not Cancelled"/>
    <x v="2"/>
    <x v="2"/>
  </r>
  <r>
    <n v="215472324"/>
    <x v="258"/>
    <x v="293"/>
    <x v="0"/>
    <n v="39"/>
    <s v="month"/>
    <n v="38"/>
    <x v="2"/>
    <x v="2"/>
  </r>
  <r>
    <n v="146557284"/>
    <x v="258"/>
    <x v="173"/>
    <x v="0"/>
    <n v="39"/>
    <s v="month"/>
    <n v="32"/>
    <x v="2"/>
    <x v="2"/>
  </r>
  <r>
    <n v="215486098"/>
    <x v="259"/>
    <x v="0"/>
    <x v="0"/>
    <n v="39"/>
    <s v="month"/>
    <s v="Not Cancelled"/>
    <x v="3"/>
    <x v="3"/>
  </r>
  <r>
    <n v="119436804"/>
    <x v="259"/>
    <x v="0"/>
    <x v="0"/>
    <n v="39"/>
    <s v="month"/>
    <s v="Not Cancelled"/>
    <x v="3"/>
    <x v="3"/>
  </r>
  <r>
    <n v="127100688"/>
    <x v="259"/>
    <x v="288"/>
    <x v="0"/>
    <n v="39"/>
    <s v="month"/>
    <n v="1"/>
    <x v="3"/>
    <x v="3"/>
  </r>
  <r>
    <n v="134524378"/>
    <x v="259"/>
    <x v="288"/>
    <x v="0"/>
    <n v="39"/>
    <s v="month"/>
    <n v="1"/>
    <x v="3"/>
    <x v="3"/>
  </r>
  <r>
    <n v="134652589"/>
    <x v="259"/>
    <x v="326"/>
    <x v="0"/>
    <n v="39"/>
    <s v="month"/>
    <n v="0"/>
    <x v="3"/>
    <x v="3"/>
  </r>
  <r>
    <n v="214134251"/>
    <x v="259"/>
    <x v="288"/>
    <x v="1"/>
    <n v="39"/>
    <s v="month"/>
    <n v="1"/>
    <x v="3"/>
    <x v="3"/>
  </r>
  <r>
    <n v="215565049"/>
    <x v="259"/>
    <x v="326"/>
    <x v="0"/>
    <n v="39"/>
    <s v="month"/>
    <n v="0"/>
    <x v="3"/>
    <x v="3"/>
  </r>
  <r>
    <n v="215606026"/>
    <x v="259"/>
    <x v="240"/>
    <x v="0"/>
    <n v="39"/>
    <s v="month"/>
    <n v="60"/>
    <x v="3"/>
    <x v="3"/>
  </r>
  <r>
    <n v="215678881"/>
    <x v="260"/>
    <x v="0"/>
    <x v="0"/>
    <n v="39"/>
    <s v="month"/>
    <s v="Not Cancelled"/>
    <x v="4"/>
    <x v="4"/>
  </r>
  <r>
    <n v="212356610"/>
    <x v="260"/>
    <x v="0"/>
    <x v="0"/>
    <n v="39"/>
    <s v="month"/>
    <s v="Not Cancelled"/>
    <x v="4"/>
    <x v="4"/>
  </r>
  <r>
    <n v="215336118"/>
    <x v="260"/>
    <x v="0"/>
    <x v="0"/>
    <n v="39"/>
    <s v="month"/>
    <s v="Not Cancelled"/>
    <x v="4"/>
    <x v="4"/>
  </r>
  <r>
    <n v="215664306"/>
    <x v="260"/>
    <x v="0"/>
    <x v="0"/>
    <n v="39"/>
    <s v="month"/>
    <s v="Not Cancelled"/>
    <x v="4"/>
    <x v="4"/>
  </r>
  <r>
    <n v="215643802"/>
    <x v="260"/>
    <x v="0"/>
    <x v="0"/>
    <n v="39"/>
    <s v="month"/>
    <s v="Not Cancelled"/>
    <x v="4"/>
    <x v="4"/>
  </r>
  <r>
    <n v="206177720"/>
    <x v="260"/>
    <x v="309"/>
    <x v="1"/>
    <n v="39"/>
    <s v="month"/>
    <n v="1"/>
    <x v="4"/>
    <x v="4"/>
  </r>
  <r>
    <n v="215691994"/>
    <x v="260"/>
    <x v="190"/>
    <x v="0"/>
    <n v="39"/>
    <s v="month"/>
    <n v="91"/>
    <x v="4"/>
    <x v="4"/>
  </r>
  <r>
    <n v="215653406"/>
    <x v="261"/>
    <x v="0"/>
    <x v="0"/>
    <n v="39"/>
    <s v="month"/>
    <s v="Not Cancelled"/>
    <x v="5"/>
    <x v="5"/>
  </r>
  <r>
    <n v="215534470"/>
    <x v="261"/>
    <x v="330"/>
    <x v="0"/>
    <n v="39"/>
    <s v="month"/>
    <n v="1"/>
    <x v="5"/>
    <x v="5"/>
  </r>
  <r>
    <n v="150751482"/>
    <x v="261"/>
    <x v="240"/>
    <x v="0"/>
    <n v="39"/>
    <s v="month"/>
    <n v="58"/>
    <x v="5"/>
    <x v="5"/>
  </r>
  <r>
    <n v="208601341"/>
    <x v="261"/>
    <x v="341"/>
    <x v="0"/>
    <n v="39"/>
    <s v="month"/>
    <n v="46"/>
    <x v="5"/>
    <x v="5"/>
  </r>
  <r>
    <n v="215473479"/>
    <x v="261"/>
    <x v="321"/>
    <x v="0"/>
    <n v="39"/>
    <s v="month"/>
    <n v="34"/>
    <x v="5"/>
    <x v="5"/>
  </r>
  <r>
    <n v="215646044"/>
    <x v="261"/>
    <x v="173"/>
    <x v="0"/>
    <n v="39"/>
    <s v="month"/>
    <n v="29"/>
    <x v="5"/>
    <x v="5"/>
  </r>
  <r>
    <n v="215686983"/>
    <x v="261"/>
    <x v="321"/>
    <x v="0"/>
    <n v="39"/>
    <s v="month"/>
    <n v="34"/>
    <x v="5"/>
    <x v="5"/>
  </r>
  <r>
    <n v="215704655"/>
    <x v="262"/>
    <x v="0"/>
    <x v="0"/>
    <n v="39"/>
    <s v="month"/>
    <s v="Not Cancelled"/>
    <x v="6"/>
    <x v="6"/>
  </r>
  <r>
    <n v="131984682"/>
    <x v="262"/>
    <x v="325"/>
    <x v="0"/>
    <n v="39"/>
    <s v="month"/>
    <n v="46"/>
    <x v="6"/>
    <x v="6"/>
  </r>
  <r>
    <n v="214698924"/>
    <x v="262"/>
    <x v="293"/>
    <x v="0"/>
    <n v="39"/>
    <s v="month"/>
    <n v="34"/>
    <x v="6"/>
    <x v="6"/>
  </r>
  <r>
    <n v="183886863"/>
    <x v="262"/>
    <x v="330"/>
    <x v="0"/>
    <n v="39"/>
    <s v="month"/>
    <n v="0"/>
    <x v="6"/>
    <x v="6"/>
  </r>
  <r>
    <n v="215869320"/>
    <x v="263"/>
    <x v="0"/>
    <x v="0"/>
    <n v="39"/>
    <s v="month"/>
    <s v="Not Cancelled"/>
    <x v="0"/>
    <x v="0"/>
  </r>
  <r>
    <n v="215616284"/>
    <x v="263"/>
    <x v="0"/>
    <x v="0"/>
    <n v="39"/>
    <s v="month"/>
    <s v="Not Cancelled"/>
    <x v="0"/>
    <x v="0"/>
  </r>
  <r>
    <n v="215896078"/>
    <x v="263"/>
    <x v="0"/>
    <x v="0"/>
    <n v="39"/>
    <s v="month"/>
    <s v="Not Cancelled"/>
    <x v="0"/>
    <x v="0"/>
  </r>
  <r>
    <n v="215910170"/>
    <x v="263"/>
    <x v="0"/>
    <x v="0"/>
    <n v="39"/>
    <s v="month"/>
    <s v="Not Cancelled"/>
    <x v="0"/>
    <x v="0"/>
  </r>
  <r>
    <n v="211754109"/>
    <x v="263"/>
    <x v="324"/>
    <x v="1"/>
    <n v="39"/>
    <s v="month"/>
    <n v="1"/>
    <x v="0"/>
    <x v="0"/>
  </r>
  <r>
    <n v="205682690"/>
    <x v="263"/>
    <x v="324"/>
    <x v="0"/>
    <n v="39"/>
    <s v="month"/>
    <n v="1"/>
    <x v="0"/>
    <x v="0"/>
  </r>
  <r>
    <n v="151412112"/>
    <x v="263"/>
    <x v="338"/>
    <x v="0"/>
    <n v="39"/>
    <s v="month"/>
    <n v="25"/>
    <x v="0"/>
    <x v="0"/>
  </r>
  <r>
    <n v="154467458"/>
    <x v="263"/>
    <x v="3"/>
    <x v="0"/>
    <n v="39"/>
    <s v="month"/>
    <n v="35"/>
    <x v="0"/>
    <x v="0"/>
  </r>
  <r>
    <n v="212339137"/>
    <x v="263"/>
    <x v="135"/>
    <x v="0"/>
    <n v="39"/>
    <s v="month"/>
    <n v="38"/>
    <x v="0"/>
    <x v="0"/>
  </r>
  <r>
    <n v="215894271"/>
    <x v="263"/>
    <x v="273"/>
    <x v="0"/>
    <n v="39"/>
    <s v="month"/>
    <n v="21"/>
    <x v="0"/>
    <x v="0"/>
  </r>
  <r>
    <n v="215908442"/>
    <x v="263"/>
    <x v="351"/>
    <x v="0"/>
    <n v="39"/>
    <s v="month"/>
    <n v="84"/>
    <x v="0"/>
    <x v="0"/>
  </r>
  <r>
    <n v="136032360"/>
    <x v="263"/>
    <x v="333"/>
    <x v="0"/>
    <n v="39"/>
    <s v="month"/>
    <n v="92"/>
    <x v="0"/>
    <x v="0"/>
  </r>
  <r>
    <n v="215956542"/>
    <x v="264"/>
    <x v="0"/>
    <x v="0"/>
    <n v="39"/>
    <s v="month"/>
    <s v="Not Cancelled"/>
    <x v="1"/>
    <x v="1"/>
  </r>
  <r>
    <n v="215947247"/>
    <x v="264"/>
    <x v="0"/>
    <x v="0"/>
    <n v="39"/>
    <s v="month"/>
    <s v="Not Cancelled"/>
    <x v="1"/>
    <x v="1"/>
  </r>
  <r>
    <n v="122830574"/>
    <x v="264"/>
    <x v="0"/>
    <x v="0"/>
    <n v="39"/>
    <s v="month"/>
    <s v="Not Cancelled"/>
    <x v="1"/>
    <x v="1"/>
  </r>
  <r>
    <n v="206904025"/>
    <x v="264"/>
    <x v="267"/>
    <x v="1"/>
    <n v="39"/>
    <s v="month"/>
    <n v="1"/>
    <x v="1"/>
    <x v="1"/>
  </r>
  <r>
    <n v="153396366"/>
    <x v="264"/>
    <x v="293"/>
    <x v="0"/>
    <n v="39"/>
    <s v="month"/>
    <n v="32"/>
    <x v="1"/>
    <x v="1"/>
  </r>
  <r>
    <n v="200304509"/>
    <x v="264"/>
    <x v="306"/>
    <x v="0"/>
    <n v="39"/>
    <s v="month"/>
    <n v="22"/>
    <x v="1"/>
    <x v="1"/>
  </r>
  <r>
    <n v="215867874"/>
    <x v="264"/>
    <x v="180"/>
    <x v="0"/>
    <n v="39"/>
    <s v="month"/>
    <n v="23"/>
    <x v="1"/>
    <x v="1"/>
  </r>
  <r>
    <n v="215869887"/>
    <x v="264"/>
    <x v="186"/>
    <x v="0"/>
    <n v="39"/>
    <s v="month"/>
    <n v="16"/>
    <x v="1"/>
    <x v="1"/>
  </r>
  <r>
    <n v="134652589"/>
    <x v="264"/>
    <x v="157"/>
    <x v="0"/>
    <n v="39"/>
    <s v="month"/>
    <n v="15"/>
    <x v="1"/>
    <x v="1"/>
  </r>
  <r>
    <n v="215759517"/>
    <x v="264"/>
    <x v="352"/>
    <x v="0"/>
    <n v="39"/>
    <s v="month"/>
    <n v="99"/>
    <x v="1"/>
    <x v="1"/>
  </r>
  <r>
    <n v="152004313"/>
    <x v="264"/>
    <x v="255"/>
    <x v="0"/>
    <n v="39"/>
    <s v="month"/>
    <n v="39"/>
    <x v="1"/>
    <x v="1"/>
  </r>
  <r>
    <n v="215931788"/>
    <x v="264"/>
    <x v="293"/>
    <x v="0"/>
    <n v="39"/>
    <s v="month"/>
    <n v="32"/>
    <x v="1"/>
    <x v="1"/>
  </r>
  <r>
    <n v="215792692"/>
    <x v="264"/>
    <x v="344"/>
    <x v="0"/>
    <n v="39"/>
    <s v="month"/>
    <n v="60"/>
    <x v="1"/>
    <x v="1"/>
  </r>
  <r>
    <n v="205507364"/>
    <x v="264"/>
    <x v="353"/>
    <x v="0"/>
    <n v="39"/>
    <s v="month"/>
    <n v="61"/>
    <x v="1"/>
    <x v="1"/>
  </r>
  <r>
    <n v="130016916"/>
    <x v="264"/>
    <x v="353"/>
    <x v="0"/>
    <n v="39"/>
    <s v="month"/>
    <n v="61"/>
    <x v="1"/>
    <x v="1"/>
  </r>
  <r>
    <n v="174991614"/>
    <x v="265"/>
    <x v="0"/>
    <x v="0"/>
    <n v="39"/>
    <s v="month"/>
    <s v="Not Cancelled"/>
    <x v="2"/>
    <x v="2"/>
  </r>
  <r>
    <n v="118197872"/>
    <x v="265"/>
    <x v="0"/>
    <x v="0"/>
    <n v="39"/>
    <s v="month"/>
    <s v="Not Cancelled"/>
    <x v="2"/>
    <x v="2"/>
  </r>
  <r>
    <n v="215906516"/>
    <x v="265"/>
    <x v="0"/>
    <x v="0"/>
    <n v="39"/>
    <s v="month"/>
    <s v="Not Cancelled"/>
    <x v="2"/>
    <x v="2"/>
  </r>
  <r>
    <n v="116197941"/>
    <x v="265"/>
    <x v="204"/>
    <x v="0"/>
    <n v="39"/>
    <s v="month"/>
    <n v="68"/>
    <x v="2"/>
    <x v="2"/>
  </r>
  <r>
    <n v="215973039"/>
    <x v="265"/>
    <x v="127"/>
    <x v="0"/>
    <n v="39"/>
    <s v="month"/>
    <n v="7"/>
    <x v="2"/>
    <x v="2"/>
  </r>
  <r>
    <n v="147761700"/>
    <x v="265"/>
    <x v="308"/>
    <x v="0"/>
    <n v="39"/>
    <s v="month"/>
    <n v="12"/>
    <x v="2"/>
    <x v="2"/>
  </r>
  <r>
    <n v="215943650"/>
    <x v="265"/>
    <x v="255"/>
    <x v="0"/>
    <n v="39"/>
    <s v="month"/>
    <n v="38"/>
    <x v="2"/>
    <x v="2"/>
  </r>
  <r>
    <n v="157259062"/>
    <x v="265"/>
    <x v="255"/>
    <x v="0"/>
    <n v="39"/>
    <s v="month"/>
    <n v="38"/>
    <x v="2"/>
    <x v="2"/>
  </r>
  <r>
    <n v="216001506"/>
    <x v="265"/>
    <x v="353"/>
    <x v="0"/>
    <n v="39"/>
    <s v="month"/>
    <n v="60"/>
    <x v="2"/>
    <x v="2"/>
  </r>
  <r>
    <n v="199306900"/>
    <x v="265"/>
    <x v="302"/>
    <x v="0"/>
    <n v="39"/>
    <s v="month"/>
    <n v="99"/>
    <x v="2"/>
    <x v="2"/>
  </r>
  <r>
    <n v="156245288"/>
    <x v="266"/>
    <x v="0"/>
    <x v="0"/>
    <n v="39"/>
    <s v="month"/>
    <s v="Not Cancelled"/>
    <x v="3"/>
    <x v="3"/>
  </r>
  <r>
    <n v="211904765"/>
    <x v="266"/>
    <x v="0"/>
    <x v="0"/>
    <n v="39"/>
    <s v="month"/>
    <s v="Not Cancelled"/>
    <x v="3"/>
    <x v="3"/>
  </r>
  <r>
    <n v="215832805"/>
    <x v="266"/>
    <x v="0"/>
    <x v="0"/>
    <n v="39"/>
    <s v="month"/>
    <s v="Not Cancelled"/>
    <x v="3"/>
    <x v="3"/>
  </r>
  <r>
    <n v="156403612"/>
    <x v="267"/>
    <x v="0"/>
    <x v="0"/>
    <n v="39"/>
    <s v="month"/>
    <s v="Not Cancelled"/>
    <x v="4"/>
    <x v="4"/>
  </r>
  <r>
    <n v="216062001"/>
    <x v="267"/>
    <x v="0"/>
    <x v="0"/>
    <n v="39"/>
    <s v="month"/>
    <s v="Not Cancelled"/>
    <x v="4"/>
    <x v="4"/>
  </r>
  <r>
    <n v="216083936"/>
    <x v="267"/>
    <x v="0"/>
    <x v="0"/>
    <n v="39"/>
    <s v="month"/>
    <s v="Not Cancelled"/>
    <x v="4"/>
    <x v="4"/>
  </r>
  <r>
    <n v="215568210"/>
    <x v="267"/>
    <x v="331"/>
    <x v="0"/>
    <n v="39"/>
    <s v="month"/>
    <n v="91"/>
    <x v="4"/>
    <x v="4"/>
  </r>
  <r>
    <n v="181480437"/>
    <x v="267"/>
    <x v="244"/>
    <x v="0"/>
    <n v="39"/>
    <s v="month"/>
    <n v="35"/>
    <x v="4"/>
    <x v="4"/>
  </r>
  <r>
    <n v="147197398"/>
    <x v="268"/>
    <x v="0"/>
    <x v="0"/>
    <n v="39"/>
    <s v="month"/>
    <s v="Not Cancelled"/>
    <x v="5"/>
    <x v="5"/>
  </r>
  <r>
    <n v="212051648"/>
    <x v="268"/>
    <x v="0"/>
    <x v="0"/>
    <n v="39"/>
    <s v="month"/>
    <s v="Not Cancelled"/>
    <x v="5"/>
    <x v="5"/>
  </r>
  <r>
    <n v="216141502"/>
    <x v="268"/>
    <x v="0"/>
    <x v="0"/>
    <n v="39"/>
    <s v="month"/>
    <s v="Not Cancelled"/>
    <x v="5"/>
    <x v="5"/>
  </r>
  <r>
    <n v="216136975"/>
    <x v="268"/>
    <x v="0"/>
    <x v="0"/>
    <n v="39"/>
    <s v="month"/>
    <s v="Not Cancelled"/>
    <x v="5"/>
    <x v="5"/>
  </r>
  <r>
    <n v="213240907"/>
    <x v="268"/>
    <x v="0"/>
    <x v="0"/>
    <n v="39"/>
    <s v="month"/>
    <s v="Not Cancelled"/>
    <x v="5"/>
    <x v="5"/>
  </r>
  <r>
    <n v="204739496"/>
    <x v="268"/>
    <x v="302"/>
    <x v="0"/>
    <n v="39"/>
    <s v="month"/>
    <n v="96"/>
    <x v="5"/>
    <x v="5"/>
  </r>
  <r>
    <n v="203366396"/>
    <x v="268"/>
    <x v="285"/>
    <x v="0"/>
    <n v="39"/>
    <s v="month"/>
    <n v="1"/>
    <x v="5"/>
    <x v="5"/>
  </r>
  <r>
    <n v="216136446"/>
    <x v="268"/>
    <x v="99"/>
    <x v="0"/>
    <n v="39"/>
    <s v="month"/>
    <n v="29"/>
    <x v="5"/>
    <x v="5"/>
  </r>
  <r>
    <n v="216139586"/>
    <x v="268"/>
    <x v="187"/>
    <x v="0"/>
    <n v="39"/>
    <s v="month"/>
    <n v="31"/>
    <x v="5"/>
    <x v="5"/>
  </r>
  <r>
    <n v="216126416"/>
    <x v="268"/>
    <x v="343"/>
    <x v="0"/>
    <n v="39"/>
    <s v="month"/>
    <n v="5"/>
    <x v="5"/>
    <x v="5"/>
  </r>
  <r>
    <n v="216181144"/>
    <x v="268"/>
    <x v="160"/>
    <x v="0"/>
    <n v="39"/>
    <s v="month"/>
    <n v="38"/>
    <x v="5"/>
    <x v="5"/>
  </r>
  <r>
    <n v="216100714"/>
    <x v="268"/>
    <x v="305"/>
    <x v="0"/>
    <n v="39"/>
    <s v="month"/>
    <n v="64"/>
    <x v="5"/>
    <x v="5"/>
  </r>
  <r>
    <n v="216155144"/>
    <x v="268"/>
    <x v="354"/>
    <x v="0"/>
    <n v="39"/>
    <s v="month"/>
    <n v="61"/>
    <x v="5"/>
    <x v="5"/>
  </r>
  <r>
    <n v="190978347"/>
    <x v="268"/>
    <x v="98"/>
    <x v="0"/>
    <n v="39"/>
    <s v="month"/>
    <n v="70"/>
    <x v="5"/>
    <x v="5"/>
  </r>
  <r>
    <n v="215653713"/>
    <x v="268"/>
    <x v="279"/>
    <x v="0"/>
    <n v="39"/>
    <s v="month"/>
    <n v="42"/>
    <x v="5"/>
    <x v="5"/>
  </r>
  <r>
    <n v="215185569"/>
    <x v="268"/>
    <x v="355"/>
    <x v="0"/>
    <n v="39"/>
    <s v="month"/>
    <n v="91"/>
    <x v="5"/>
    <x v="5"/>
  </r>
  <r>
    <n v="215488799"/>
    <x v="269"/>
    <x v="0"/>
    <x v="0"/>
    <n v="39"/>
    <s v="month"/>
    <s v="Not Cancelled"/>
    <x v="6"/>
    <x v="6"/>
  </r>
  <r>
    <n v="216170130"/>
    <x v="269"/>
    <x v="0"/>
    <x v="0"/>
    <n v="39"/>
    <s v="month"/>
    <s v="Not Cancelled"/>
    <x v="6"/>
    <x v="6"/>
  </r>
  <r>
    <n v="215723337"/>
    <x v="269"/>
    <x v="0"/>
    <x v="0"/>
    <n v="39"/>
    <s v="month"/>
    <s v="Not Cancelled"/>
    <x v="6"/>
    <x v="6"/>
  </r>
  <r>
    <n v="148568942"/>
    <x v="269"/>
    <x v="0"/>
    <x v="0"/>
    <n v="39"/>
    <s v="month"/>
    <s v="Not Cancelled"/>
    <x v="6"/>
    <x v="6"/>
  </r>
  <r>
    <n v="215102456"/>
    <x v="269"/>
    <x v="0"/>
    <x v="0"/>
    <n v="39"/>
    <s v="month"/>
    <s v="Not Cancelled"/>
    <x v="6"/>
    <x v="6"/>
  </r>
  <r>
    <n v="216017581"/>
    <x v="269"/>
    <x v="0"/>
    <x v="0"/>
    <n v="39"/>
    <s v="month"/>
    <s v="Not Cancelled"/>
    <x v="6"/>
    <x v="6"/>
  </r>
  <r>
    <n v="153438676"/>
    <x v="269"/>
    <x v="0"/>
    <x v="0"/>
    <n v="39"/>
    <s v="month"/>
    <s v="Not Cancelled"/>
    <x v="6"/>
    <x v="6"/>
  </r>
  <r>
    <n v="213190132"/>
    <x v="269"/>
    <x v="0"/>
    <x v="0"/>
    <n v="39"/>
    <s v="month"/>
    <s v="Not Cancelled"/>
    <x v="6"/>
    <x v="6"/>
  </r>
  <r>
    <n v="216218992"/>
    <x v="269"/>
    <x v="335"/>
    <x v="0"/>
    <n v="39"/>
    <s v="month"/>
    <n v="92"/>
    <x v="6"/>
    <x v="6"/>
  </r>
  <r>
    <n v="216210442"/>
    <x v="269"/>
    <x v="273"/>
    <x v="0"/>
    <n v="39"/>
    <s v="month"/>
    <n v="15"/>
    <x v="6"/>
    <x v="6"/>
  </r>
  <r>
    <n v="129447970"/>
    <x v="269"/>
    <x v="302"/>
    <x v="0"/>
    <n v="39"/>
    <s v="month"/>
    <n v="95"/>
    <x v="6"/>
    <x v="6"/>
  </r>
  <r>
    <n v="216221115"/>
    <x v="269"/>
    <x v="135"/>
    <x v="0"/>
    <n v="39"/>
    <s v="month"/>
    <n v="32"/>
    <x v="6"/>
    <x v="6"/>
  </r>
  <r>
    <n v="215911675"/>
    <x v="269"/>
    <x v="160"/>
    <x v="0"/>
    <n v="39"/>
    <s v="month"/>
    <n v="37"/>
    <x v="6"/>
    <x v="6"/>
  </r>
  <r>
    <n v="215908254"/>
    <x v="269"/>
    <x v="173"/>
    <x v="0"/>
    <n v="39"/>
    <s v="month"/>
    <n v="21"/>
    <x v="6"/>
    <x v="6"/>
  </r>
  <r>
    <n v="214610994"/>
    <x v="269"/>
    <x v="3"/>
    <x v="0"/>
    <n v="39"/>
    <s v="month"/>
    <n v="29"/>
    <x v="6"/>
    <x v="6"/>
  </r>
  <r>
    <n v="143272167"/>
    <x v="269"/>
    <x v="290"/>
    <x v="0"/>
    <n v="39"/>
    <s v="month"/>
    <n v="99"/>
    <x v="6"/>
    <x v="6"/>
  </r>
  <r>
    <n v="216340651"/>
    <x v="270"/>
    <x v="0"/>
    <x v="0"/>
    <n v="39"/>
    <s v="month"/>
    <s v="Not Cancelled"/>
    <x v="0"/>
    <x v="0"/>
  </r>
  <r>
    <n v="153573832"/>
    <x v="270"/>
    <x v="0"/>
    <x v="0"/>
    <n v="39"/>
    <s v="month"/>
    <s v="Not Cancelled"/>
    <x v="0"/>
    <x v="0"/>
  </r>
  <r>
    <n v="138312982"/>
    <x v="270"/>
    <x v="0"/>
    <x v="0"/>
    <n v="39"/>
    <s v="month"/>
    <s v="Not Cancelled"/>
    <x v="0"/>
    <x v="0"/>
  </r>
  <r>
    <n v="216365777"/>
    <x v="270"/>
    <x v="0"/>
    <x v="0"/>
    <n v="39"/>
    <s v="month"/>
    <s v="Not Cancelled"/>
    <x v="0"/>
    <x v="0"/>
  </r>
  <r>
    <n v="216272792"/>
    <x v="270"/>
    <x v="349"/>
    <x v="0"/>
    <n v="39"/>
    <s v="month"/>
    <n v="97"/>
    <x v="0"/>
    <x v="0"/>
  </r>
  <r>
    <n v="167174814"/>
    <x v="270"/>
    <x v="186"/>
    <x v="0"/>
    <n v="39"/>
    <s v="month"/>
    <n v="10"/>
    <x v="0"/>
    <x v="0"/>
  </r>
  <r>
    <n v="216329176"/>
    <x v="270"/>
    <x v="341"/>
    <x v="0"/>
    <n v="39"/>
    <s v="month"/>
    <n v="37"/>
    <x v="0"/>
    <x v="0"/>
  </r>
  <r>
    <n v="147320092"/>
    <x v="270"/>
    <x v="255"/>
    <x v="0"/>
    <n v="39"/>
    <s v="month"/>
    <n v="33"/>
    <x v="0"/>
    <x v="0"/>
  </r>
  <r>
    <n v="157974600"/>
    <x v="270"/>
    <x v="69"/>
    <x v="0"/>
    <n v="39"/>
    <s v="month"/>
    <n v="13"/>
    <x v="0"/>
    <x v="0"/>
  </r>
  <r>
    <n v="200955808"/>
    <x v="270"/>
    <x v="340"/>
    <x v="0"/>
    <n v="39"/>
    <s v="month"/>
    <n v="30"/>
    <x v="0"/>
    <x v="0"/>
  </r>
  <r>
    <n v="216332850"/>
    <x v="270"/>
    <x v="222"/>
    <x v="0"/>
    <n v="39"/>
    <s v="month"/>
    <n v="61"/>
    <x v="0"/>
    <x v="0"/>
  </r>
  <r>
    <n v="149986818"/>
    <x v="271"/>
    <x v="0"/>
    <x v="0"/>
    <n v="39"/>
    <s v="month"/>
    <s v="Not Cancelled"/>
    <x v="1"/>
    <x v="1"/>
  </r>
  <r>
    <n v="132579012"/>
    <x v="271"/>
    <x v="0"/>
    <x v="0"/>
    <n v="39"/>
    <s v="month"/>
    <s v="Not Cancelled"/>
    <x v="1"/>
    <x v="1"/>
  </r>
  <r>
    <n v="155529346"/>
    <x v="271"/>
    <x v="356"/>
    <x v="0"/>
    <n v="39"/>
    <s v="month"/>
    <n v="94"/>
    <x v="1"/>
    <x v="1"/>
  </r>
  <r>
    <n v="153085868"/>
    <x v="271"/>
    <x v="3"/>
    <x v="0"/>
    <n v="39"/>
    <s v="month"/>
    <n v="27"/>
    <x v="1"/>
    <x v="1"/>
  </r>
  <r>
    <n v="156702204"/>
    <x v="271"/>
    <x v="135"/>
    <x v="0"/>
    <n v="39"/>
    <s v="month"/>
    <n v="30"/>
    <x v="1"/>
    <x v="1"/>
  </r>
  <r>
    <n v="158177676"/>
    <x v="271"/>
    <x v="293"/>
    <x v="0"/>
    <n v="39"/>
    <s v="month"/>
    <n v="25"/>
    <x v="1"/>
    <x v="1"/>
  </r>
  <r>
    <n v="216423972"/>
    <x v="271"/>
    <x v="346"/>
    <x v="0"/>
    <n v="39"/>
    <s v="month"/>
    <n v="42"/>
    <x v="1"/>
    <x v="1"/>
  </r>
  <r>
    <n v="216533259"/>
    <x v="272"/>
    <x v="0"/>
    <x v="0"/>
    <n v="39"/>
    <s v="month"/>
    <s v="Not Cancelled"/>
    <x v="2"/>
    <x v="2"/>
  </r>
  <r>
    <n v="204953211"/>
    <x v="272"/>
    <x v="0"/>
    <x v="0"/>
    <n v="39"/>
    <s v="month"/>
    <s v="Not Cancelled"/>
    <x v="2"/>
    <x v="2"/>
  </r>
  <r>
    <n v="149112756"/>
    <x v="272"/>
    <x v="0"/>
    <x v="0"/>
    <n v="39"/>
    <s v="month"/>
    <s v="Not Cancelled"/>
    <x v="2"/>
    <x v="2"/>
  </r>
  <r>
    <n v="216674420"/>
    <x v="272"/>
    <x v="343"/>
    <x v="1"/>
    <n v="39"/>
    <s v="month"/>
    <n v="1"/>
    <x v="2"/>
    <x v="2"/>
  </r>
  <r>
    <n v="148225450"/>
    <x v="272"/>
    <x v="3"/>
    <x v="0"/>
    <n v="39"/>
    <s v="month"/>
    <n v="26"/>
    <x v="2"/>
    <x v="2"/>
  </r>
  <r>
    <n v="216720172"/>
    <x v="272"/>
    <x v="177"/>
    <x v="0"/>
    <n v="39"/>
    <s v="month"/>
    <n v="17"/>
    <x v="2"/>
    <x v="2"/>
  </r>
  <r>
    <n v="204750804"/>
    <x v="272"/>
    <x v="293"/>
    <x v="0"/>
    <n v="39"/>
    <s v="month"/>
    <n v="24"/>
    <x v="2"/>
    <x v="2"/>
  </r>
  <r>
    <n v="147798395"/>
    <x v="273"/>
    <x v="0"/>
    <x v="0"/>
    <n v="39"/>
    <s v="month"/>
    <s v="Not Cancelled"/>
    <x v="3"/>
    <x v="3"/>
  </r>
  <r>
    <n v="216560949"/>
    <x v="273"/>
    <x v="209"/>
    <x v="0"/>
    <n v="39"/>
    <s v="month"/>
    <n v="31"/>
    <x v="3"/>
    <x v="3"/>
  </r>
  <r>
    <n v="216743053"/>
    <x v="273"/>
    <x v="346"/>
    <x v="0"/>
    <n v="39"/>
    <s v="month"/>
    <n v="40"/>
    <x v="3"/>
    <x v="3"/>
  </r>
  <r>
    <n v="149040748"/>
    <x v="274"/>
    <x v="0"/>
    <x v="0"/>
    <n v="39"/>
    <s v="month"/>
    <s v="Not Cancelled"/>
    <x v="4"/>
    <x v="4"/>
  </r>
  <r>
    <n v="206939746"/>
    <x v="274"/>
    <x v="0"/>
    <x v="0"/>
    <n v="39"/>
    <s v="month"/>
    <s v="Not Cancelled"/>
    <x v="4"/>
    <x v="4"/>
  </r>
  <r>
    <n v="216845223"/>
    <x v="274"/>
    <x v="0"/>
    <x v="0"/>
    <n v="39"/>
    <s v="month"/>
    <s v="Not Cancelled"/>
    <x v="4"/>
    <x v="4"/>
  </r>
  <r>
    <n v="124876382"/>
    <x v="274"/>
    <x v="328"/>
    <x v="0"/>
    <n v="39"/>
    <s v="month"/>
    <n v="68"/>
    <x v="4"/>
    <x v="4"/>
  </r>
  <r>
    <n v="168485609"/>
    <x v="274"/>
    <x v="339"/>
    <x v="0"/>
    <n v="39"/>
    <s v="month"/>
    <n v="76"/>
    <x v="4"/>
    <x v="4"/>
  </r>
  <r>
    <n v="216888206"/>
    <x v="274"/>
    <x v="302"/>
    <x v="0"/>
    <n v="39"/>
    <s v="month"/>
    <n v="90"/>
    <x v="4"/>
    <x v="4"/>
  </r>
  <r>
    <n v="216957502"/>
    <x v="275"/>
    <x v="0"/>
    <x v="0"/>
    <n v="39"/>
    <s v="month"/>
    <s v="Not Cancelled"/>
    <x v="5"/>
    <x v="5"/>
  </r>
  <r>
    <n v="215840282"/>
    <x v="275"/>
    <x v="0"/>
    <x v="0"/>
    <n v="39"/>
    <s v="month"/>
    <s v="Not Cancelled"/>
    <x v="5"/>
    <x v="5"/>
  </r>
  <r>
    <n v="216311456"/>
    <x v="275"/>
    <x v="0"/>
    <x v="0"/>
    <n v="39"/>
    <s v="month"/>
    <s v="Not Cancelled"/>
    <x v="5"/>
    <x v="5"/>
  </r>
  <r>
    <n v="155088727"/>
    <x v="275"/>
    <x v="0"/>
    <x v="0"/>
    <n v="39"/>
    <s v="month"/>
    <s v="Not Cancelled"/>
    <x v="5"/>
    <x v="5"/>
  </r>
  <r>
    <n v="216925191"/>
    <x v="275"/>
    <x v="232"/>
    <x v="0"/>
    <n v="39"/>
    <s v="month"/>
    <n v="7"/>
    <x v="5"/>
    <x v="5"/>
  </r>
  <r>
    <n v="216924741"/>
    <x v="275"/>
    <x v="313"/>
    <x v="0"/>
    <n v="39"/>
    <s v="month"/>
    <n v="77"/>
    <x v="5"/>
    <x v="5"/>
  </r>
  <r>
    <n v="194347007"/>
    <x v="275"/>
    <x v="148"/>
    <x v="0"/>
    <n v="39"/>
    <s v="month"/>
    <n v="37"/>
    <x v="5"/>
    <x v="5"/>
  </r>
  <r>
    <n v="217067696"/>
    <x v="276"/>
    <x v="0"/>
    <x v="0"/>
    <n v="39"/>
    <s v="month"/>
    <s v="Not Cancelled"/>
    <x v="6"/>
    <x v="6"/>
  </r>
  <r>
    <n v="217012406"/>
    <x v="276"/>
    <x v="0"/>
    <x v="0"/>
    <n v="39"/>
    <s v="month"/>
    <s v="Not Cancelled"/>
    <x v="6"/>
    <x v="6"/>
  </r>
  <r>
    <n v="216345770"/>
    <x v="276"/>
    <x v="0"/>
    <x v="0"/>
    <n v="39"/>
    <s v="month"/>
    <s v="Not Cancelled"/>
    <x v="6"/>
    <x v="6"/>
  </r>
  <r>
    <n v="215654770"/>
    <x v="276"/>
    <x v="0"/>
    <x v="0"/>
    <n v="39"/>
    <s v="month"/>
    <s v="Not Cancelled"/>
    <x v="6"/>
    <x v="6"/>
  </r>
  <r>
    <n v="217044528"/>
    <x v="276"/>
    <x v="0"/>
    <x v="0"/>
    <n v="39"/>
    <s v="month"/>
    <s v="Not Cancelled"/>
    <x v="6"/>
    <x v="6"/>
  </r>
  <r>
    <n v="217031352"/>
    <x v="276"/>
    <x v="0"/>
    <x v="0"/>
    <n v="39"/>
    <s v="month"/>
    <s v="Not Cancelled"/>
    <x v="6"/>
    <x v="6"/>
  </r>
  <r>
    <n v="146450388"/>
    <x v="276"/>
    <x v="0"/>
    <x v="0"/>
    <n v="39"/>
    <s v="month"/>
    <s v="Not Cancelled"/>
    <x v="6"/>
    <x v="6"/>
  </r>
  <r>
    <n v="153374748"/>
    <x v="276"/>
    <x v="335"/>
    <x v="0"/>
    <n v="39"/>
    <s v="month"/>
    <n v="85"/>
    <x v="6"/>
    <x v="6"/>
  </r>
  <r>
    <n v="217065874"/>
    <x v="276"/>
    <x v="3"/>
    <x v="0"/>
    <n v="39"/>
    <s v="month"/>
    <n v="22"/>
    <x v="6"/>
    <x v="6"/>
  </r>
  <r>
    <n v="216622895"/>
    <x v="276"/>
    <x v="332"/>
    <x v="0"/>
    <n v="39"/>
    <s v="month"/>
    <n v="68"/>
    <x v="6"/>
    <x v="6"/>
  </r>
  <r>
    <n v="216907852"/>
    <x v="276"/>
    <x v="325"/>
    <x v="0"/>
    <n v="39"/>
    <s v="month"/>
    <n v="32"/>
    <x v="6"/>
    <x v="6"/>
  </r>
  <r>
    <n v="217054126"/>
    <x v="277"/>
    <x v="0"/>
    <x v="0"/>
    <n v="39"/>
    <s v="month"/>
    <s v="Not Cancelled"/>
    <x v="0"/>
    <x v="0"/>
  </r>
  <r>
    <n v="206001231"/>
    <x v="277"/>
    <x v="0"/>
    <x v="0"/>
    <n v="39"/>
    <s v="month"/>
    <s v="Not Cancelled"/>
    <x v="0"/>
    <x v="0"/>
  </r>
  <r>
    <n v="216925136"/>
    <x v="277"/>
    <x v="0"/>
    <x v="0"/>
    <n v="39"/>
    <s v="month"/>
    <s v="Not Cancelled"/>
    <x v="0"/>
    <x v="0"/>
  </r>
  <r>
    <n v="217094352"/>
    <x v="277"/>
    <x v="135"/>
    <x v="0"/>
    <n v="39"/>
    <s v="month"/>
    <n v="24"/>
    <x v="0"/>
    <x v="0"/>
  </r>
  <r>
    <n v="206891818"/>
    <x v="277"/>
    <x v="99"/>
    <x v="0"/>
    <n v="39"/>
    <s v="month"/>
    <n v="20"/>
    <x v="0"/>
    <x v="0"/>
  </r>
  <r>
    <n v="217084888"/>
    <x v="277"/>
    <x v="308"/>
    <x v="0"/>
    <n v="39"/>
    <s v="month"/>
    <n v="0"/>
    <x v="0"/>
    <x v="0"/>
  </r>
  <r>
    <n v="216624401"/>
    <x v="277"/>
    <x v="99"/>
    <x v="0"/>
    <n v="39"/>
    <s v="month"/>
    <n v="20"/>
    <x v="0"/>
    <x v="0"/>
  </r>
  <r>
    <n v="216795282"/>
    <x v="277"/>
    <x v="205"/>
    <x v="0"/>
    <n v="39"/>
    <s v="month"/>
    <n v="45"/>
    <x v="0"/>
    <x v="0"/>
  </r>
  <r>
    <n v="174646924"/>
    <x v="278"/>
    <x v="0"/>
    <x v="0"/>
    <n v="39"/>
    <s v="month"/>
    <s v="Not Cancelled"/>
    <x v="1"/>
    <x v="1"/>
  </r>
  <r>
    <n v="217123644"/>
    <x v="278"/>
    <x v="0"/>
    <x v="0"/>
    <n v="39"/>
    <s v="month"/>
    <s v="Not Cancelled"/>
    <x v="1"/>
    <x v="1"/>
  </r>
  <r>
    <n v="217104490"/>
    <x v="278"/>
    <x v="0"/>
    <x v="0"/>
    <n v="39"/>
    <s v="month"/>
    <s v="Not Cancelled"/>
    <x v="1"/>
    <x v="1"/>
  </r>
  <r>
    <n v="153349708"/>
    <x v="278"/>
    <x v="0"/>
    <x v="0"/>
    <n v="39"/>
    <s v="month"/>
    <s v="Not Cancelled"/>
    <x v="1"/>
    <x v="1"/>
  </r>
  <r>
    <n v="153876204"/>
    <x v="278"/>
    <x v="157"/>
    <x v="0"/>
    <n v="39"/>
    <s v="month"/>
    <n v="1"/>
    <x v="1"/>
    <x v="1"/>
  </r>
  <r>
    <n v="132442956"/>
    <x v="278"/>
    <x v="176"/>
    <x v="0"/>
    <n v="39"/>
    <s v="month"/>
    <n v="49"/>
    <x v="1"/>
    <x v="1"/>
  </r>
  <r>
    <n v="130331160"/>
    <x v="278"/>
    <x v="135"/>
    <x v="0"/>
    <n v="39"/>
    <s v="month"/>
    <n v="23"/>
    <x v="1"/>
    <x v="1"/>
  </r>
  <r>
    <n v="216225148"/>
    <x v="278"/>
    <x v="270"/>
    <x v="0"/>
    <n v="39"/>
    <s v="month"/>
    <n v="0"/>
    <x v="1"/>
    <x v="1"/>
  </r>
  <r>
    <n v="161187748"/>
    <x v="278"/>
    <x v="329"/>
    <x v="0"/>
    <n v="39"/>
    <s v="month"/>
    <n v="45"/>
    <x v="1"/>
    <x v="1"/>
  </r>
  <r>
    <n v="217137211"/>
    <x v="278"/>
    <x v="249"/>
    <x v="0"/>
    <n v="39"/>
    <s v="month"/>
    <n v="37"/>
    <x v="1"/>
    <x v="1"/>
  </r>
  <r>
    <n v="180796559"/>
    <x v="278"/>
    <x v="249"/>
    <x v="0"/>
    <n v="39"/>
    <s v="month"/>
    <n v="37"/>
    <x v="1"/>
    <x v="1"/>
  </r>
  <r>
    <n v="168200039"/>
    <x v="279"/>
    <x v="186"/>
    <x v="0"/>
    <n v="39"/>
    <s v="month"/>
    <n v="1"/>
    <x v="2"/>
    <x v="2"/>
  </r>
  <r>
    <n v="217110396"/>
    <x v="279"/>
    <x v="345"/>
    <x v="0"/>
    <n v="39"/>
    <s v="month"/>
    <n v="14"/>
    <x v="2"/>
    <x v="2"/>
  </r>
  <r>
    <n v="217159016"/>
    <x v="279"/>
    <x v="301"/>
    <x v="0"/>
    <n v="39"/>
    <s v="month"/>
    <n v="62"/>
    <x v="2"/>
    <x v="2"/>
  </r>
  <r>
    <n v="217215106"/>
    <x v="280"/>
    <x v="0"/>
    <x v="0"/>
    <n v="39"/>
    <s v="month"/>
    <s v="Not Cancelled"/>
    <x v="3"/>
    <x v="3"/>
  </r>
  <r>
    <n v="129819604"/>
    <x v="280"/>
    <x v="314"/>
    <x v="0"/>
    <n v="39"/>
    <s v="month"/>
    <n v="37"/>
    <x v="3"/>
    <x v="3"/>
  </r>
  <r>
    <n v="217208086"/>
    <x v="280"/>
    <x v="353"/>
    <x v="0"/>
    <n v="39"/>
    <s v="month"/>
    <n v="45"/>
    <x v="3"/>
    <x v="3"/>
  </r>
  <r>
    <n v="215534470"/>
    <x v="280"/>
    <x v="314"/>
    <x v="0"/>
    <n v="39"/>
    <s v="month"/>
    <n v="37"/>
    <x v="3"/>
    <x v="3"/>
  </r>
  <r>
    <n v="217277033"/>
    <x v="281"/>
    <x v="0"/>
    <x v="0"/>
    <n v="39"/>
    <s v="month"/>
    <s v="Not Cancelled"/>
    <x v="4"/>
    <x v="4"/>
  </r>
  <r>
    <n v="136199071"/>
    <x v="281"/>
    <x v="0"/>
    <x v="0"/>
    <n v="39"/>
    <s v="month"/>
    <s v="Not Cancelled"/>
    <x v="4"/>
    <x v="4"/>
  </r>
  <r>
    <n v="217102618"/>
    <x v="281"/>
    <x v="0"/>
    <x v="0"/>
    <n v="39"/>
    <s v="month"/>
    <s v="Not Cancelled"/>
    <x v="4"/>
    <x v="4"/>
  </r>
  <r>
    <n v="217252136"/>
    <x v="281"/>
    <x v="0"/>
    <x v="0"/>
    <n v="39"/>
    <s v="month"/>
    <s v="Not Cancelled"/>
    <x v="4"/>
    <x v="4"/>
  </r>
  <r>
    <n v="215856743"/>
    <x v="281"/>
    <x v="0"/>
    <x v="0"/>
    <n v="39"/>
    <s v="month"/>
    <s v="Not Cancelled"/>
    <x v="4"/>
    <x v="4"/>
  </r>
  <r>
    <n v="217260184"/>
    <x v="281"/>
    <x v="232"/>
    <x v="1"/>
    <n v="39"/>
    <s v="month"/>
    <n v="1"/>
    <x v="4"/>
    <x v="4"/>
  </r>
  <r>
    <n v="140371292"/>
    <x v="281"/>
    <x v="337"/>
    <x v="0"/>
    <n v="39"/>
    <s v="month"/>
    <n v="28"/>
    <x v="4"/>
    <x v="4"/>
  </r>
  <r>
    <n v="164903790"/>
    <x v="281"/>
    <x v="240"/>
    <x v="0"/>
    <n v="39"/>
    <s v="month"/>
    <n v="38"/>
    <x v="4"/>
    <x v="4"/>
  </r>
  <r>
    <n v="217206158"/>
    <x v="281"/>
    <x v="301"/>
    <x v="0"/>
    <n v="39"/>
    <s v="month"/>
    <n v="60"/>
    <x v="4"/>
    <x v="4"/>
  </r>
  <r>
    <n v="215180470"/>
    <x v="281"/>
    <x v="310"/>
    <x v="0"/>
    <n v="39"/>
    <s v="month"/>
    <n v="55"/>
    <x v="4"/>
    <x v="4"/>
  </r>
  <r>
    <n v="217246611"/>
    <x v="281"/>
    <x v="241"/>
    <x v="0"/>
    <n v="39"/>
    <s v="month"/>
    <n v="24"/>
    <x v="4"/>
    <x v="4"/>
  </r>
  <r>
    <n v="217080066"/>
    <x v="281"/>
    <x v="315"/>
    <x v="0"/>
    <n v="39"/>
    <s v="month"/>
    <n v="30"/>
    <x v="4"/>
    <x v="4"/>
  </r>
  <r>
    <n v="214510838"/>
    <x v="282"/>
    <x v="0"/>
    <x v="0"/>
    <n v="39"/>
    <s v="month"/>
    <s v="Not Cancelled"/>
    <x v="5"/>
    <x v="5"/>
  </r>
  <r>
    <n v="217241338"/>
    <x v="282"/>
    <x v="0"/>
    <x v="0"/>
    <n v="39"/>
    <s v="month"/>
    <s v="Not Cancelled"/>
    <x v="5"/>
    <x v="5"/>
  </r>
  <r>
    <n v="215447681"/>
    <x v="282"/>
    <x v="0"/>
    <x v="0"/>
    <n v="39"/>
    <s v="month"/>
    <s v="Not Cancelled"/>
    <x v="5"/>
    <x v="5"/>
  </r>
  <r>
    <n v="214746385"/>
    <x v="282"/>
    <x v="0"/>
    <x v="0"/>
    <n v="39"/>
    <s v="month"/>
    <s v="Not Cancelled"/>
    <x v="5"/>
    <x v="5"/>
  </r>
  <r>
    <n v="217279595"/>
    <x v="282"/>
    <x v="0"/>
    <x v="0"/>
    <n v="39"/>
    <s v="month"/>
    <s v="Not Cancelled"/>
    <x v="5"/>
    <x v="5"/>
  </r>
  <r>
    <n v="138725699"/>
    <x v="282"/>
    <x v="69"/>
    <x v="0"/>
    <n v="39"/>
    <s v="month"/>
    <n v="1"/>
    <x v="5"/>
    <x v="5"/>
  </r>
  <r>
    <n v="199464176"/>
    <x v="282"/>
    <x v="296"/>
    <x v="0"/>
    <n v="39"/>
    <s v="month"/>
    <n v="48"/>
    <x v="5"/>
    <x v="5"/>
  </r>
  <r>
    <n v="217269788"/>
    <x v="282"/>
    <x v="350"/>
    <x v="0"/>
    <n v="39"/>
    <s v="month"/>
    <n v="38"/>
    <x v="5"/>
    <x v="5"/>
  </r>
  <r>
    <n v="217210206"/>
    <x v="282"/>
    <x v="209"/>
    <x v="0"/>
    <n v="39"/>
    <s v="month"/>
    <n v="22"/>
    <x v="5"/>
    <x v="5"/>
  </r>
  <r>
    <n v="217276264"/>
    <x v="283"/>
    <x v="0"/>
    <x v="0"/>
    <n v="39"/>
    <s v="month"/>
    <s v="Not Cancelled"/>
    <x v="6"/>
    <x v="6"/>
  </r>
  <r>
    <n v="217242854"/>
    <x v="283"/>
    <x v="0"/>
    <x v="0"/>
    <n v="39"/>
    <s v="month"/>
    <s v="Not Cancelled"/>
    <x v="6"/>
    <x v="6"/>
  </r>
  <r>
    <n v="140062581"/>
    <x v="283"/>
    <x v="273"/>
    <x v="0"/>
    <n v="39"/>
    <s v="month"/>
    <n v="1"/>
    <x v="6"/>
    <x v="6"/>
  </r>
  <r>
    <n v="217340338"/>
    <x v="283"/>
    <x v="69"/>
    <x v="1"/>
    <n v="39"/>
    <s v="month"/>
    <n v="0"/>
    <x v="6"/>
    <x v="6"/>
  </r>
  <r>
    <n v="157435806"/>
    <x v="283"/>
    <x v="346"/>
    <x v="0"/>
    <n v="39"/>
    <s v="month"/>
    <n v="30"/>
    <x v="6"/>
    <x v="6"/>
  </r>
  <r>
    <n v="217358299"/>
    <x v="283"/>
    <x v="301"/>
    <x v="0"/>
    <n v="39"/>
    <s v="month"/>
    <n v="58"/>
    <x v="6"/>
    <x v="6"/>
  </r>
  <r>
    <n v="217330046"/>
    <x v="283"/>
    <x v="340"/>
    <x v="0"/>
    <n v="39"/>
    <s v="month"/>
    <n v="17"/>
    <x v="6"/>
    <x v="6"/>
  </r>
  <r>
    <n v="216945894"/>
    <x v="284"/>
    <x v="0"/>
    <x v="0"/>
    <n v="39"/>
    <s v="month"/>
    <s v="Not Cancelled"/>
    <x v="0"/>
    <x v="0"/>
  </r>
  <r>
    <n v="150178354"/>
    <x v="284"/>
    <x v="0"/>
    <x v="0"/>
    <n v="39"/>
    <s v="month"/>
    <s v="Not Cancelled"/>
    <x v="0"/>
    <x v="0"/>
  </r>
  <r>
    <n v="153942818"/>
    <x v="284"/>
    <x v="0"/>
    <x v="0"/>
    <n v="39"/>
    <s v="month"/>
    <s v="Not Cancelled"/>
    <x v="0"/>
    <x v="0"/>
  </r>
  <r>
    <n v="150728848"/>
    <x v="284"/>
    <x v="0"/>
    <x v="0"/>
    <n v="39"/>
    <s v="month"/>
    <s v="Not Cancelled"/>
    <x v="0"/>
    <x v="0"/>
  </r>
  <r>
    <n v="138725699"/>
    <x v="284"/>
    <x v="0"/>
    <x v="0"/>
    <n v="39"/>
    <s v="month"/>
    <s v="Not Cancelled"/>
    <x v="0"/>
    <x v="0"/>
  </r>
  <r>
    <n v="217207926"/>
    <x v="284"/>
    <x v="0"/>
    <x v="0"/>
    <n v="39"/>
    <s v="month"/>
    <s v="Not Cancelled"/>
    <x v="0"/>
    <x v="0"/>
  </r>
  <r>
    <n v="217370233"/>
    <x v="284"/>
    <x v="0"/>
    <x v="0"/>
    <n v="39"/>
    <s v="month"/>
    <s v="Not Cancelled"/>
    <x v="0"/>
    <x v="0"/>
  </r>
  <r>
    <n v="205464540"/>
    <x v="284"/>
    <x v="357"/>
    <x v="0"/>
    <n v="39"/>
    <s v="month"/>
    <n v="37"/>
    <x v="0"/>
    <x v="0"/>
  </r>
  <r>
    <n v="167403892"/>
    <x v="284"/>
    <x v="313"/>
    <x v="0"/>
    <n v="39"/>
    <s v="month"/>
    <n v="68"/>
    <x v="0"/>
    <x v="0"/>
  </r>
  <r>
    <n v="217326821"/>
    <x v="284"/>
    <x v="313"/>
    <x v="0"/>
    <n v="39"/>
    <s v="month"/>
    <n v="68"/>
    <x v="0"/>
    <x v="0"/>
  </r>
  <r>
    <n v="214918906"/>
    <x v="284"/>
    <x v="357"/>
    <x v="0"/>
    <n v="39"/>
    <s v="month"/>
    <n v="37"/>
    <x v="0"/>
    <x v="0"/>
  </r>
  <r>
    <n v="216983668"/>
    <x v="284"/>
    <x v="348"/>
    <x v="0"/>
    <n v="39"/>
    <s v="month"/>
    <n v="30"/>
    <x v="0"/>
    <x v="0"/>
  </r>
  <r>
    <n v="217454204"/>
    <x v="285"/>
    <x v="0"/>
    <x v="0"/>
    <n v="39"/>
    <s v="month"/>
    <s v="Not Cancelled"/>
    <x v="1"/>
    <x v="1"/>
  </r>
  <r>
    <n v="206049284"/>
    <x v="285"/>
    <x v="0"/>
    <x v="0"/>
    <n v="39"/>
    <s v="month"/>
    <s v="Not Cancelled"/>
    <x v="1"/>
    <x v="1"/>
  </r>
  <r>
    <n v="132852439"/>
    <x v="285"/>
    <x v="0"/>
    <x v="0"/>
    <n v="39"/>
    <s v="month"/>
    <s v="Not Cancelled"/>
    <x v="1"/>
    <x v="1"/>
  </r>
  <r>
    <n v="217233198"/>
    <x v="285"/>
    <x v="0"/>
    <x v="0"/>
    <n v="39"/>
    <s v="month"/>
    <s v="Not Cancelled"/>
    <x v="1"/>
    <x v="1"/>
  </r>
  <r>
    <n v="188197564"/>
    <x v="285"/>
    <x v="306"/>
    <x v="0"/>
    <n v="39"/>
    <s v="month"/>
    <n v="1"/>
    <x v="1"/>
    <x v="1"/>
  </r>
  <r>
    <n v="146952862"/>
    <x v="285"/>
    <x v="315"/>
    <x v="0"/>
    <n v="39"/>
    <s v="month"/>
    <n v="26"/>
    <x v="1"/>
    <x v="1"/>
  </r>
  <r>
    <n v="152846561"/>
    <x v="285"/>
    <x v="205"/>
    <x v="0"/>
    <n v="39"/>
    <s v="month"/>
    <n v="37"/>
    <x v="1"/>
    <x v="1"/>
  </r>
  <r>
    <n v="132867770"/>
    <x v="285"/>
    <x v="329"/>
    <x v="0"/>
    <n v="39"/>
    <s v="month"/>
    <n v="38"/>
    <x v="1"/>
    <x v="1"/>
  </r>
  <r>
    <n v="206370330"/>
    <x v="285"/>
    <x v="334"/>
    <x v="0"/>
    <n v="39"/>
    <s v="month"/>
    <n v="60"/>
    <x v="1"/>
    <x v="1"/>
  </r>
  <r>
    <n v="217438230"/>
    <x v="285"/>
    <x v="148"/>
    <x v="0"/>
    <n v="39"/>
    <s v="month"/>
    <n v="27"/>
    <x v="1"/>
    <x v="1"/>
  </r>
  <r>
    <n v="217426939"/>
    <x v="285"/>
    <x v="249"/>
    <x v="0"/>
    <n v="39"/>
    <s v="month"/>
    <n v="30"/>
    <x v="1"/>
    <x v="1"/>
  </r>
  <r>
    <n v="205785520"/>
    <x v="286"/>
    <x v="0"/>
    <x v="0"/>
    <n v="39"/>
    <s v="month"/>
    <s v="Not Cancelled"/>
    <x v="2"/>
    <x v="2"/>
  </r>
  <r>
    <n v="154284527"/>
    <x v="286"/>
    <x v="329"/>
    <x v="0"/>
    <n v="39"/>
    <s v="month"/>
    <n v="37"/>
    <x v="2"/>
    <x v="2"/>
  </r>
  <r>
    <n v="214105912"/>
    <x v="286"/>
    <x v="329"/>
    <x v="0"/>
    <n v="39"/>
    <s v="month"/>
    <n v="37"/>
    <x v="2"/>
    <x v="2"/>
  </r>
  <r>
    <n v="200909190"/>
    <x v="286"/>
    <x v="347"/>
    <x v="0"/>
    <n v="39"/>
    <s v="month"/>
    <n v="68"/>
    <x v="2"/>
    <x v="2"/>
  </r>
  <r>
    <n v="151633468"/>
    <x v="286"/>
    <x v="222"/>
    <x v="0"/>
    <n v="39"/>
    <s v="month"/>
    <n v="45"/>
    <x v="2"/>
    <x v="2"/>
  </r>
  <r>
    <n v="207010976"/>
    <x v="286"/>
    <x v="347"/>
    <x v="0"/>
    <n v="39"/>
    <s v="month"/>
    <n v="68"/>
    <x v="2"/>
    <x v="2"/>
  </r>
  <r>
    <n v="217487776"/>
    <x v="286"/>
    <x v="240"/>
    <x v="0"/>
    <n v="39"/>
    <s v="month"/>
    <n v="33"/>
    <x v="2"/>
    <x v="2"/>
  </r>
  <r>
    <n v="217484551"/>
    <x v="286"/>
    <x v="329"/>
    <x v="0"/>
    <n v="39"/>
    <s v="month"/>
    <n v="37"/>
    <x v="2"/>
    <x v="2"/>
  </r>
  <r>
    <n v="217498202"/>
    <x v="287"/>
    <x v="0"/>
    <x v="0"/>
    <n v="39"/>
    <s v="month"/>
    <s v="Not Cancelled"/>
    <x v="3"/>
    <x v="3"/>
  </r>
  <r>
    <n v="217234603"/>
    <x v="287"/>
    <x v="0"/>
    <x v="0"/>
    <n v="39"/>
    <s v="month"/>
    <s v="Not Cancelled"/>
    <x v="3"/>
    <x v="3"/>
  </r>
  <r>
    <n v="217264148"/>
    <x v="287"/>
    <x v="0"/>
    <x v="0"/>
    <n v="39"/>
    <s v="month"/>
    <s v="Not Cancelled"/>
    <x v="3"/>
    <x v="3"/>
  </r>
  <r>
    <n v="217513366"/>
    <x v="287"/>
    <x v="0"/>
    <x v="0"/>
    <n v="39"/>
    <s v="month"/>
    <s v="Not Cancelled"/>
    <x v="3"/>
    <x v="3"/>
  </r>
  <r>
    <n v="217503737"/>
    <x v="287"/>
    <x v="0"/>
    <x v="0"/>
    <n v="39"/>
    <s v="month"/>
    <s v="Not Cancelled"/>
    <x v="3"/>
    <x v="3"/>
  </r>
  <r>
    <n v="151540809"/>
    <x v="287"/>
    <x v="0"/>
    <x v="0"/>
    <n v="39"/>
    <s v="month"/>
    <s v="Not Cancelled"/>
    <x v="3"/>
    <x v="3"/>
  </r>
  <r>
    <n v="217526421"/>
    <x v="287"/>
    <x v="262"/>
    <x v="0"/>
    <n v="39"/>
    <s v="month"/>
    <n v="69"/>
    <x v="3"/>
    <x v="3"/>
  </r>
  <r>
    <n v="217418580"/>
    <x v="287"/>
    <x v="346"/>
    <x v="0"/>
    <n v="39"/>
    <s v="month"/>
    <n v="26"/>
    <x v="3"/>
    <x v="3"/>
  </r>
  <r>
    <n v="217426015"/>
    <x v="288"/>
    <x v="0"/>
    <x v="0"/>
    <n v="39"/>
    <s v="month"/>
    <s v="Not Cancelled"/>
    <x v="4"/>
    <x v="4"/>
  </r>
  <r>
    <n v="217557584"/>
    <x v="288"/>
    <x v="0"/>
    <x v="0"/>
    <n v="39"/>
    <s v="month"/>
    <s v="Not Cancelled"/>
    <x v="4"/>
    <x v="4"/>
  </r>
  <r>
    <n v="217406489"/>
    <x v="288"/>
    <x v="0"/>
    <x v="0"/>
    <n v="39"/>
    <s v="month"/>
    <s v="Not Cancelled"/>
    <x v="4"/>
    <x v="4"/>
  </r>
  <r>
    <n v="217536534"/>
    <x v="288"/>
    <x v="0"/>
    <x v="0"/>
    <n v="39"/>
    <s v="month"/>
    <s v="Not Cancelled"/>
    <x v="4"/>
    <x v="4"/>
  </r>
  <r>
    <n v="217557082"/>
    <x v="288"/>
    <x v="0"/>
    <x v="0"/>
    <n v="39"/>
    <s v="month"/>
    <s v="Not Cancelled"/>
    <x v="4"/>
    <x v="4"/>
  </r>
  <r>
    <n v="176024207"/>
    <x v="288"/>
    <x v="307"/>
    <x v="0"/>
    <n v="39"/>
    <s v="month"/>
    <n v="49"/>
    <x v="4"/>
    <x v="4"/>
  </r>
  <r>
    <n v="160598122"/>
    <x v="288"/>
    <x v="353"/>
    <x v="0"/>
    <n v="39"/>
    <s v="month"/>
    <n v="37"/>
    <x v="4"/>
    <x v="4"/>
  </r>
  <r>
    <n v="217378430"/>
    <x v="288"/>
    <x v="310"/>
    <x v="0"/>
    <n v="39"/>
    <s v="month"/>
    <n v="48"/>
    <x v="4"/>
    <x v="4"/>
  </r>
  <r>
    <n v="193680187"/>
    <x v="288"/>
    <x v="177"/>
    <x v="0"/>
    <n v="39"/>
    <s v="month"/>
    <n v="1"/>
    <x v="4"/>
    <x v="4"/>
  </r>
  <r>
    <n v="180424442"/>
    <x v="288"/>
    <x v="353"/>
    <x v="0"/>
    <n v="39"/>
    <s v="month"/>
    <n v="37"/>
    <x v="4"/>
    <x v="4"/>
  </r>
  <r>
    <n v="217612796"/>
    <x v="289"/>
    <x v="0"/>
    <x v="0"/>
    <n v="39"/>
    <s v="month"/>
    <s v="Not Cancelled"/>
    <x v="5"/>
    <x v="5"/>
  </r>
  <r>
    <n v="217601263"/>
    <x v="289"/>
    <x v="0"/>
    <x v="0"/>
    <n v="39"/>
    <s v="month"/>
    <s v="Not Cancelled"/>
    <x v="5"/>
    <x v="5"/>
  </r>
  <r>
    <n v="217594148"/>
    <x v="289"/>
    <x v="0"/>
    <x v="0"/>
    <n v="39"/>
    <s v="month"/>
    <s v="Not Cancelled"/>
    <x v="5"/>
    <x v="5"/>
  </r>
  <r>
    <n v="217598396"/>
    <x v="289"/>
    <x v="0"/>
    <x v="0"/>
    <n v="39"/>
    <s v="month"/>
    <s v="Not Cancelled"/>
    <x v="5"/>
    <x v="5"/>
  </r>
  <r>
    <n v="206647130"/>
    <x v="289"/>
    <x v="0"/>
    <x v="0"/>
    <n v="39"/>
    <s v="month"/>
    <s v="Not Cancelled"/>
    <x v="5"/>
    <x v="5"/>
  </r>
  <r>
    <n v="207099222"/>
    <x v="289"/>
    <x v="0"/>
    <x v="0"/>
    <n v="39"/>
    <s v="month"/>
    <s v="Not Cancelled"/>
    <x v="5"/>
    <x v="5"/>
  </r>
  <r>
    <n v="207079318"/>
    <x v="289"/>
    <x v="0"/>
    <x v="0"/>
    <n v="39"/>
    <s v="month"/>
    <s v="Not Cancelled"/>
    <x v="5"/>
    <x v="5"/>
  </r>
  <r>
    <n v="217580362"/>
    <x v="289"/>
    <x v="0"/>
    <x v="0"/>
    <n v="39"/>
    <s v="month"/>
    <s v="Not Cancelled"/>
    <x v="5"/>
    <x v="5"/>
  </r>
  <r>
    <n v="217438678"/>
    <x v="289"/>
    <x v="0"/>
    <x v="0"/>
    <n v="39"/>
    <s v="month"/>
    <s v="Not Cancelled"/>
    <x v="5"/>
    <x v="5"/>
  </r>
  <r>
    <n v="215963364"/>
    <x v="289"/>
    <x v="173"/>
    <x v="0"/>
    <n v="39"/>
    <s v="month"/>
    <n v="1"/>
    <x v="5"/>
    <x v="5"/>
  </r>
  <r>
    <n v="153876204"/>
    <x v="289"/>
    <x v="205"/>
    <x v="0"/>
    <n v="39"/>
    <s v="month"/>
    <n v="33"/>
    <x v="5"/>
    <x v="5"/>
  </r>
  <r>
    <n v="153828803"/>
    <x v="289"/>
    <x v="311"/>
    <x v="0"/>
    <n v="39"/>
    <s v="month"/>
    <n v="2"/>
    <x v="5"/>
    <x v="5"/>
  </r>
  <r>
    <n v="217595865"/>
    <x v="289"/>
    <x v="282"/>
    <x v="0"/>
    <n v="39"/>
    <s v="month"/>
    <n v="37"/>
    <x v="5"/>
    <x v="5"/>
  </r>
  <r>
    <n v="216158153"/>
    <x v="289"/>
    <x v="329"/>
    <x v="0"/>
    <n v="39"/>
    <s v="month"/>
    <n v="34"/>
    <x v="5"/>
    <x v="5"/>
  </r>
  <r>
    <n v="217548173"/>
    <x v="289"/>
    <x v="265"/>
    <x v="0"/>
    <n v="39"/>
    <s v="month"/>
    <n v="29"/>
    <x v="5"/>
    <x v="5"/>
  </r>
  <r>
    <n v="217533118"/>
    <x v="290"/>
    <x v="0"/>
    <x v="0"/>
    <n v="39"/>
    <s v="month"/>
    <s v="Not Cancelled"/>
    <x v="6"/>
    <x v="6"/>
  </r>
  <r>
    <n v="205128906"/>
    <x v="290"/>
    <x v="0"/>
    <x v="0"/>
    <n v="39"/>
    <s v="month"/>
    <s v="Not Cancelled"/>
    <x v="6"/>
    <x v="6"/>
  </r>
  <r>
    <n v="205812132"/>
    <x v="290"/>
    <x v="0"/>
    <x v="0"/>
    <n v="39"/>
    <s v="month"/>
    <s v="Not Cancelled"/>
    <x v="6"/>
    <x v="6"/>
  </r>
  <r>
    <n v="216907554"/>
    <x v="290"/>
    <x v="0"/>
    <x v="0"/>
    <n v="39"/>
    <s v="month"/>
    <s v="Not Cancelled"/>
    <x v="6"/>
    <x v="6"/>
  </r>
  <r>
    <n v="215113542"/>
    <x v="290"/>
    <x v="0"/>
    <x v="0"/>
    <n v="39"/>
    <s v="month"/>
    <s v="Not Cancelled"/>
    <x v="6"/>
    <x v="6"/>
  </r>
  <r>
    <n v="204772797"/>
    <x v="290"/>
    <x v="0"/>
    <x v="0"/>
    <n v="39"/>
    <s v="month"/>
    <s v="Not Cancelled"/>
    <x v="6"/>
    <x v="6"/>
  </r>
  <r>
    <n v="217627630"/>
    <x v="290"/>
    <x v="0"/>
    <x v="0"/>
    <n v="39"/>
    <s v="month"/>
    <s v="Not Cancelled"/>
    <x v="6"/>
    <x v="6"/>
  </r>
  <r>
    <n v="217635272"/>
    <x v="290"/>
    <x v="0"/>
    <x v="0"/>
    <n v="39"/>
    <s v="month"/>
    <s v="Not Cancelled"/>
    <x v="6"/>
    <x v="6"/>
  </r>
  <r>
    <n v="217543308"/>
    <x v="290"/>
    <x v="311"/>
    <x v="0"/>
    <n v="39"/>
    <s v="month"/>
    <n v="1"/>
    <x v="6"/>
    <x v="6"/>
  </r>
  <r>
    <n v="217626870"/>
    <x v="290"/>
    <x v="311"/>
    <x v="1"/>
    <n v="39"/>
    <s v="month"/>
    <n v="1"/>
    <x v="6"/>
    <x v="6"/>
  </r>
  <r>
    <n v="217246912"/>
    <x v="290"/>
    <x v="311"/>
    <x v="1"/>
    <n v="39"/>
    <s v="month"/>
    <n v="1"/>
    <x v="6"/>
    <x v="6"/>
  </r>
  <r>
    <n v="217223132"/>
    <x v="290"/>
    <x v="63"/>
    <x v="0"/>
    <n v="39"/>
    <s v="month"/>
    <n v="58"/>
    <x v="6"/>
    <x v="6"/>
  </r>
  <r>
    <n v="217650160"/>
    <x v="290"/>
    <x v="195"/>
    <x v="0"/>
    <n v="39"/>
    <s v="month"/>
    <n v="50"/>
    <x v="6"/>
    <x v="6"/>
  </r>
  <r>
    <n v="149856123"/>
    <x v="290"/>
    <x v="316"/>
    <x v="0"/>
    <n v="39"/>
    <s v="month"/>
    <n v="26"/>
    <x v="6"/>
    <x v="6"/>
  </r>
  <r>
    <n v="217657148"/>
    <x v="290"/>
    <x v="187"/>
    <x v="0"/>
    <n v="39"/>
    <s v="month"/>
    <n v="9"/>
    <x v="6"/>
    <x v="6"/>
  </r>
  <r>
    <n v="217386658"/>
    <x v="290"/>
    <x v="344"/>
    <x v="0"/>
    <n v="39"/>
    <s v="month"/>
    <n v="34"/>
    <x v="6"/>
    <x v="6"/>
  </r>
  <r>
    <n v="202563999"/>
    <x v="291"/>
    <x v="0"/>
    <x v="0"/>
    <n v="39"/>
    <s v="month"/>
    <s v="Not Cancelled"/>
    <x v="0"/>
    <x v="0"/>
  </r>
  <r>
    <n v="137195650"/>
    <x v="291"/>
    <x v="0"/>
    <x v="0"/>
    <n v="39"/>
    <s v="month"/>
    <s v="Not Cancelled"/>
    <x v="0"/>
    <x v="0"/>
  </r>
  <r>
    <n v="138372112"/>
    <x v="291"/>
    <x v="0"/>
    <x v="0"/>
    <n v="39"/>
    <s v="month"/>
    <s v="Not Cancelled"/>
    <x v="0"/>
    <x v="0"/>
  </r>
  <r>
    <n v="217692419"/>
    <x v="291"/>
    <x v="0"/>
    <x v="0"/>
    <n v="39"/>
    <s v="month"/>
    <s v="Not Cancelled"/>
    <x v="0"/>
    <x v="0"/>
  </r>
  <r>
    <n v="217610905"/>
    <x v="291"/>
    <x v="0"/>
    <x v="0"/>
    <n v="39"/>
    <s v="month"/>
    <s v="Not Cancelled"/>
    <x v="0"/>
    <x v="0"/>
  </r>
  <r>
    <n v="217618558"/>
    <x v="291"/>
    <x v="0"/>
    <x v="0"/>
    <n v="39"/>
    <s v="month"/>
    <s v="Not Cancelled"/>
    <x v="0"/>
    <x v="0"/>
  </r>
  <r>
    <n v="190490555"/>
    <x v="291"/>
    <x v="0"/>
    <x v="0"/>
    <n v="39"/>
    <s v="month"/>
    <s v="Not Cancelled"/>
    <x v="0"/>
    <x v="0"/>
  </r>
  <r>
    <n v="122169020"/>
    <x v="291"/>
    <x v="147"/>
    <x v="0"/>
    <n v="39"/>
    <s v="month"/>
    <n v="1"/>
    <x v="0"/>
    <x v="0"/>
  </r>
  <r>
    <n v="217628239"/>
    <x v="291"/>
    <x v="147"/>
    <x v="1"/>
    <n v="39"/>
    <s v="month"/>
    <n v="1"/>
    <x v="0"/>
    <x v="0"/>
  </r>
  <r>
    <n v="148062219"/>
    <x v="291"/>
    <x v="265"/>
    <x v="0"/>
    <n v="39"/>
    <s v="month"/>
    <n v="27"/>
    <x v="0"/>
    <x v="0"/>
  </r>
  <r>
    <n v="131505988"/>
    <x v="291"/>
    <x v="241"/>
    <x v="0"/>
    <n v="39"/>
    <s v="month"/>
    <n v="14"/>
    <x v="0"/>
    <x v="0"/>
  </r>
  <r>
    <n v="215489398"/>
    <x v="291"/>
    <x v="311"/>
    <x v="0"/>
    <n v="39"/>
    <s v="month"/>
    <n v="0"/>
    <x v="0"/>
    <x v="0"/>
  </r>
  <r>
    <n v="195285936"/>
    <x v="291"/>
    <x v="63"/>
    <x v="0"/>
    <n v="39"/>
    <s v="month"/>
    <n v="57"/>
    <x v="0"/>
    <x v="0"/>
  </r>
  <r>
    <n v="217725764"/>
    <x v="291"/>
    <x v="293"/>
    <x v="0"/>
    <n v="39"/>
    <s v="month"/>
    <n v="5"/>
    <x v="0"/>
    <x v="0"/>
  </r>
  <r>
    <n v="217730944"/>
    <x v="291"/>
    <x v="241"/>
    <x v="0"/>
    <n v="39"/>
    <s v="month"/>
    <n v="14"/>
    <x v="0"/>
    <x v="0"/>
  </r>
  <r>
    <n v="205548571"/>
    <x v="292"/>
    <x v="0"/>
    <x v="0"/>
    <n v="39"/>
    <s v="month"/>
    <s v="Not Cancelled"/>
    <x v="1"/>
    <x v="1"/>
  </r>
  <r>
    <n v="188085249"/>
    <x v="292"/>
    <x v="0"/>
    <x v="0"/>
    <n v="39"/>
    <s v="month"/>
    <s v="Not Cancelled"/>
    <x v="1"/>
    <x v="1"/>
  </r>
  <r>
    <n v="206697535"/>
    <x v="292"/>
    <x v="0"/>
    <x v="0"/>
    <n v="39"/>
    <s v="month"/>
    <s v="Not Cancelled"/>
    <x v="1"/>
    <x v="1"/>
  </r>
  <r>
    <n v="152705871"/>
    <x v="292"/>
    <x v="0"/>
    <x v="0"/>
    <n v="39"/>
    <s v="month"/>
    <s v="Not Cancelled"/>
    <x v="1"/>
    <x v="1"/>
  </r>
  <r>
    <n v="216139584"/>
    <x v="292"/>
    <x v="0"/>
    <x v="0"/>
    <n v="39"/>
    <s v="month"/>
    <s v="Not Cancelled"/>
    <x v="1"/>
    <x v="1"/>
  </r>
  <r>
    <n v="127716285"/>
    <x v="292"/>
    <x v="0"/>
    <x v="0"/>
    <n v="39"/>
    <s v="month"/>
    <s v="Not Cancelled"/>
    <x v="1"/>
    <x v="1"/>
  </r>
  <r>
    <n v="138535334"/>
    <x v="292"/>
    <x v="225"/>
    <x v="0"/>
    <n v="39"/>
    <s v="month"/>
    <n v="61"/>
    <x v="1"/>
    <x v="1"/>
  </r>
  <r>
    <n v="205869717"/>
    <x v="292"/>
    <x v="211"/>
    <x v="0"/>
    <n v="39"/>
    <s v="month"/>
    <n v="68"/>
    <x v="1"/>
    <x v="1"/>
  </r>
  <r>
    <n v="204985013"/>
    <x v="292"/>
    <x v="328"/>
    <x v="0"/>
    <n v="39"/>
    <s v="month"/>
    <n v="50"/>
    <x v="1"/>
    <x v="1"/>
  </r>
  <r>
    <n v="217763600"/>
    <x v="293"/>
    <x v="0"/>
    <x v="0"/>
    <n v="39"/>
    <s v="month"/>
    <s v="Not Cancelled"/>
    <x v="2"/>
    <x v="2"/>
  </r>
  <r>
    <n v="217808731"/>
    <x v="293"/>
    <x v="312"/>
    <x v="1"/>
    <n v="39"/>
    <s v="month"/>
    <n v="1"/>
    <x v="2"/>
    <x v="2"/>
  </r>
  <r>
    <n v="217822232"/>
    <x v="293"/>
    <x v="358"/>
    <x v="0"/>
    <n v="39"/>
    <s v="month"/>
    <n v="42"/>
    <x v="2"/>
    <x v="2"/>
  </r>
  <r>
    <n v="217718093"/>
    <x v="294"/>
    <x v="0"/>
    <x v="0"/>
    <n v="39"/>
    <s v="month"/>
    <s v="Not Cancelled"/>
    <x v="3"/>
    <x v="3"/>
  </r>
  <r>
    <n v="217555660"/>
    <x v="294"/>
    <x v="0"/>
    <x v="0"/>
    <n v="39"/>
    <s v="month"/>
    <s v="Not Cancelled"/>
    <x v="3"/>
    <x v="3"/>
  </r>
  <r>
    <n v="154535908"/>
    <x v="294"/>
    <x v="0"/>
    <x v="0"/>
    <n v="39"/>
    <s v="month"/>
    <s v="Not Cancelled"/>
    <x v="3"/>
    <x v="3"/>
  </r>
  <r>
    <n v="217554744"/>
    <x v="294"/>
    <x v="222"/>
    <x v="0"/>
    <n v="39"/>
    <s v="month"/>
    <n v="37"/>
    <x v="3"/>
    <x v="3"/>
  </r>
  <r>
    <n v="217877324"/>
    <x v="294"/>
    <x v="312"/>
    <x v="0"/>
    <n v="39"/>
    <s v="month"/>
    <n v="0"/>
    <x v="3"/>
    <x v="3"/>
  </r>
  <r>
    <n v="147765298"/>
    <x v="295"/>
    <x v="0"/>
    <x v="0"/>
    <n v="39"/>
    <s v="month"/>
    <s v="Not Cancelled"/>
    <x v="4"/>
    <x v="4"/>
  </r>
  <r>
    <n v="217901196"/>
    <x v="295"/>
    <x v="0"/>
    <x v="0"/>
    <n v="39"/>
    <s v="month"/>
    <s v="Not Cancelled"/>
    <x v="4"/>
    <x v="4"/>
  </r>
  <r>
    <n v="217266939"/>
    <x v="295"/>
    <x v="0"/>
    <x v="0"/>
    <n v="39"/>
    <s v="month"/>
    <s v="Not Cancelled"/>
    <x v="4"/>
    <x v="4"/>
  </r>
  <r>
    <n v="204908076"/>
    <x v="295"/>
    <x v="0"/>
    <x v="0"/>
    <n v="39"/>
    <s v="month"/>
    <s v="Not Cancelled"/>
    <x v="4"/>
    <x v="4"/>
  </r>
  <r>
    <n v="217698784"/>
    <x v="295"/>
    <x v="0"/>
    <x v="0"/>
    <n v="39"/>
    <s v="month"/>
    <s v="Not Cancelled"/>
    <x v="4"/>
    <x v="4"/>
  </r>
  <r>
    <n v="217909024"/>
    <x v="295"/>
    <x v="0"/>
    <x v="0"/>
    <n v="39"/>
    <s v="month"/>
    <s v="Not Cancelled"/>
    <x v="4"/>
    <x v="4"/>
  </r>
  <r>
    <n v="201498671"/>
    <x v="295"/>
    <x v="0"/>
    <x v="0"/>
    <n v="39"/>
    <s v="month"/>
    <s v="Not Cancelled"/>
    <x v="4"/>
    <x v="4"/>
  </r>
  <r>
    <n v="217902650"/>
    <x v="295"/>
    <x v="0"/>
    <x v="0"/>
    <n v="39"/>
    <s v="month"/>
    <s v="Not Cancelled"/>
    <x v="4"/>
    <x v="4"/>
  </r>
  <r>
    <n v="217896282"/>
    <x v="295"/>
    <x v="0"/>
    <x v="0"/>
    <n v="39"/>
    <s v="month"/>
    <s v="Not Cancelled"/>
    <x v="4"/>
    <x v="4"/>
  </r>
  <r>
    <n v="217337901"/>
    <x v="295"/>
    <x v="0"/>
    <x v="0"/>
    <n v="39"/>
    <s v="month"/>
    <s v="Not Cancelled"/>
    <x v="4"/>
    <x v="4"/>
  </r>
  <r>
    <n v="217477535"/>
    <x v="295"/>
    <x v="0"/>
    <x v="0"/>
    <n v="39"/>
    <s v="month"/>
    <s v="Not Cancelled"/>
    <x v="4"/>
    <x v="4"/>
  </r>
  <r>
    <n v="217885621"/>
    <x v="295"/>
    <x v="0"/>
    <x v="0"/>
    <n v="39"/>
    <s v="month"/>
    <s v="Not Cancelled"/>
    <x v="4"/>
    <x v="4"/>
  </r>
  <r>
    <n v="217714764"/>
    <x v="295"/>
    <x v="0"/>
    <x v="0"/>
    <n v="39"/>
    <s v="month"/>
    <s v="Not Cancelled"/>
    <x v="4"/>
    <x v="4"/>
  </r>
  <r>
    <n v="217335548"/>
    <x v="295"/>
    <x v="349"/>
    <x v="0"/>
    <n v="39"/>
    <s v="month"/>
    <n v="72"/>
    <x v="4"/>
    <x v="4"/>
  </r>
  <r>
    <n v="129747676"/>
    <x v="295"/>
    <x v="293"/>
    <x v="0"/>
    <n v="39"/>
    <s v="month"/>
    <n v="1"/>
    <x v="4"/>
    <x v="4"/>
  </r>
  <r>
    <n v="217846698"/>
    <x v="295"/>
    <x v="293"/>
    <x v="1"/>
    <n v="39"/>
    <s v="month"/>
    <n v="1"/>
    <x v="4"/>
    <x v="4"/>
  </r>
  <r>
    <n v="217965791"/>
    <x v="296"/>
    <x v="0"/>
    <x v="0"/>
    <n v="39"/>
    <s v="month"/>
    <s v="Not Cancelled"/>
    <x v="5"/>
    <x v="5"/>
  </r>
  <r>
    <n v="217851124"/>
    <x v="296"/>
    <x v="0"/>
    <x v="0"/>
    <n v="39"/>
    <s v="month"/>
    <s v="Not Cancelled"/>
    <x v="5"/>
    <x v="5"/>
  </r>
  <r>
    <n v="217861903"/>
    <x v="296"/>
    <x v="0"/>
    <x v="0"/>
    <n v="39"/>
    <s v="month"/>
    <s v="Not Cancelled"/>
    <x v="5"/>
    <x v="5"/>
  </r>
  <r>
    <n v="217660423"/>
    <x v="296"/>
    <x v="0"/>
    <x v="0"/>
    <n v="39"/>
    <s v="month"/>
    <s v="Not Cancelled"/>
    <x v="5"/>
    <x v="5"/>
  </r>
  <r>
    <n v="217814342"/>
    <x v="296"/>
    <x v="0"/>
    <x v="0"/>
    <n v="39"/>
    <s v="month"/>
    <s v="Not Cancelled"/>
    <x v="5"/>
    <x v="5"/>
  </r>
  <r>
    <n v="157548765"/>
    <x v="296"/>
    <x v="99"/>
    <x v="1"/>
    <n v="39"/>
    <s v="month"/>
    <n v="1"/>
    <x v="5"/>
    <x v="5"/>
  </r>
  <r>
    <n v="217934288"/>
    <x v="296"/>
    <x v="99"/>
    <x v="1"/>
    <n v="39"/>
    <s v="month"/>
    <n v="1"/>
    <x v="5"/>
    <x v="5"/>
  </r>
  <r>
    <n v="217855786"/>
    <x v="296"/>
    <x v="99"/>
    <x v="1"/>
    <n v="39"/>
    <s v="month"/>
    <n v="1"/>
    <x v="5"/>
    <x v="5"/>
  </r>
  <r>
    <n v="131753677"/>
    <x v="296"/>
    <x v="334"/>
    <x v="0"/>
    <n v="39"/>
    <s v="month"/>
    <n v="49"/>
    <x v="5"/>
    <x v="5"/>
  </r>
  <r>
    <n v="215963364"/>
    <x v="296"/>
    <x v="302"/>
    <x v="0"/>
    <n v="39"/>
    <s v="month"/>
    <n v="68"/>
    <x v="5"/>
    <x v="5"/>
  </r>
  <r>
    <n v="217971206"/>
    <x v="296"/>
    <x v="314"/>
    <x v="0"/>
    <n v="39"/>
    <s v="month"/>
    <n v="21"/>
    <x v="5"/>
    <x v="5"/>
  </r>
  <r>
    <n v="217943053"/>
    <x v="296"/>
    <x v="316"/>
    <x v="0"/>
    <n v="39"/>
    <s v="month"/>
    <n v="20"/>
    <x v="5"/>
    <x v="5"/>
  </r>
  <r>
    <n v="218004764"/>
    <x v="297"/>
    <x v="0"/>
    <x v="0"/>
    <n v="39"/>
    <s v="month"/>
    <s v="Not Cancelled"/>
    <x v="6"/>
    <x v="6"/>
  </r>
  <r>
    <n v="217768772"/>
    <x v="297"/>
    <x v="0"/>
    <x v="0"/>
    <n v="39"/>
    <s v="month"/>
    <s v="Not Cancelled"/>
    <x v="6"/>
    <x v="6"/>
  </r>
  <r>
    <n v="216775344"/>
    <x v="297"/>
    <x v="0"/>
    <x v="0"/>
    <n v="39"/>
    <s v="month"/>
    <s v="Not Cancelled"/>
    <x v="6"/>
    <x v="6"/>
  </r>
  <r>
    <n v="135364787"/>
    <x v="297"/>
    <x v="0"/>
    <x v="0"/>
    <n v="39"/>
    <s v="month"/>
    <s v="Not Cancelled"/>
    <x v="6"/>
    <x v="6"/>
  </r>
  <r>
    <n v="148107179"/>
    <x v="297"/>
    <x v="236"/>
    <x v="0"/>
    <n v="39"/>
    <s v="month"/>
    <n v="37"/>
    <x v="6"/>
    <x v="6"/>
  </r>
  <r>
    <n v="215904194"/>
    <x v="297"/>
    <x v="357"/>
    <x v="0"/>
    <n v="39"/>
    <s v="month"/>
    <n v="24"/>
    <x v="6"/>
    <x v="6"/>
  </r>
  <r>
    <n v="217988577"/>
    <x v="297"/>
    <x v="353"/>
    <x v="0"/>
    <n v="39"/>
    <s v="month"/>
    <n v="28"/>
    <x v="6"/>
    <x v="6"/>
  </r>
  <r>
    <n v="146124679"/>
    <x v="297"/>
    <x v="176"/>
    <x v="0"/>
    <n v="39"/>
    <s v="month"/>
    <n v="30"/>
    <x v="6"/>
    <x v="6"/>
  </r>
  <r>
    <n v="217819772"/>
    <x v="298"/>
    <x v="0"/>
    <x v="0"/>
    <n v="39"/>
    <s v="month"/>
    <s v="Not Cancelled"/>
    <x v="0"/>
    <x v="0"/>
  </r>
  <r>
    <n v="217996629"/>
    <x v="298"/>
    <x v="0"/>
    <x v="0"/>
    <n v="39"/>
    <s v="month"/>
    <s v="Not Cancelled"/>
    <x v="0"/>
    <x v="0"/>
  </r>
  <r>
    <n v="152621756"/>
    <x v="298"/>
    <x v="0"/>
    <x v="0"/>
    <n v="39"/>
    <s v="month"/>
    <s v="Not Cancelled"/>
    <x v="0"/>
    <x v="0"/>
  </r>
  <r>
    <n v="218006807"/>
    <x v="298"/>
    <x v="0"/>
    <x v="0"/>
    <n v="39"/>
    <s v="month"/>
    <s v="Not Cancelled"/>
    <x v="0"/>
    <x v="0"/>
  </r>
  <r>
    <n v="218045202"/>
    <x v="298"/>
    <x v="355"/>
    <x v="0"/>
    <n v="39"/>
    <s v="month"/>
    <n v="61"/>
    <x v="0"/>
    <x v="0"/>
  </r>
  <r>
    <n v="122215146"/>
    <x v="298"/>
    <x v="283"/>
    <x v="0"/>
    <n v="39"/>
    <s v="month"/>
    <n v="45"/>
    <x v="0"/>
    <x v="0"/>
  </r>
  <r>
    <n v="218003864"/>
    <x v="298"/>
    <x v="176"/>
    <x v="0"/>
    <n v="39"/>
    <s v="month"/>
    <n v="29"/>
    <x v="0"/>
    <x v="0"/>
  </r>
  <r>
    <n v="218088770"/>
    <x v="299"/>
    <x v="0"/>
    <x v="0"/>
    <n v="39"/>
    <s v="month"/>
    <s v="Not Cancelled"/>
    <x v="1"/>
    <x v="1"/>
  </r>
  <r>
    <n v="217856893"/>
    <x v="299"/>
    <x v="0"/>
    <x v="0"/>
    <n v="39"/>
    <s v="month"/>
    <s v="Not Cancelled"/>
    <x v="1"/>
    <x v="1"/>
  </r>
  <r>
    <n v="156054912"/>
    <x v="299"/>
    <x v="0"/>
    <x v="0"/>
    <n v="39"/>
    <s v="month"/>
    <s v="Not Cancelled"/>
    <x v="1"/>
    <x v="1"/>
  </r>
  <r>
    <n v="218059054"/>
    <x v="299"/>
    <x v="0"/>
    <x v="0"/>
    <n v="39"/>
    <s v="month"/>
    <s v="Not Cancelled"/>
    <x v="1"/>
    <x v="1"/>
  </r>
  <r>
    <n v="218074245"/>
    <x v="299"/>
    <x v="0"/>
    <x v="0"/>
    <n v="39"/>
    <s v="month"/>
    <s v="Not Cancelled"/>
    <x v="1"/>
    <x v="1"/>
  </r>
  <r>
    <n v="204774586"/>
    <x v="299"/>
    <x v="0"/>
    <x v="0"/>
    <n v="39"/>
    <s v="month"/>
    <s v="Not Cancelled"/>
    <x v="1"/>
    <x v="1"/>
  </r>
  <r>
    <n v="215941440"/>
    <x v="299"/>
    <x v="0"/>
    <x v="0"/>
    <n v="39"/>
    <s v="month"/>
    <s v="Not Cancelled"/>
    <x v="1"/>
    <x v="1"/>
  </r>
  <r>
    <n v="205547323"/>
    <x v="299"/>
    <x v="0"/>
    <x v="1"/>
    <n v="39"/>
    <s v="month"/>
    <s v="Not Cancelled"/>
    <x v="1"/>
    <x v="1"/>
  </r>
  <r>
    <n v="140062581"/>
    <x v="299"/>
    <x v="0"/>
    <x v="0"/>
    <n v="39"/>
    <s v="month"/>
    <s v="Not Cancelled"/>
    <x v="1"/>
    <x v="1"/>
  </r>
  <r>
    <n v="217932519"/>
    <x v="299"/>
    <x v="340"/>
    <x v="0"/>
    <n v="39"/>
    <s v="month"/>
    <n v="1"/>
    <x v="1"/>
    <x v="1"/>
  </r>
  <r>
    <n v="217982048"/>
    <x v="299"/>
    <x v="340"/>
    <x v="1"/>
    <n v="39"/>
    <s v="month"/>
    <n v="1"/>
    <x v="1"/>
    <x v="1"/>
  </r>
  <r>
    <n v="218066467"/>
    <x v="299"/>
    <x v="335"/>
    <x v="0"/>
    <n v="39"/>
    <s v="month"/>
    <n v="62"/>
    <x v="1"/>
    <x v="1"/>
  </r>
  <r>
    <n v="218046034"/>
    <x v="299"/>
    <x v="349"/>
    <x v="0"/>
    <n v="39"/>
    <s v="month"/>
    <n v="68"/>
    <x v="1"/>
    <x v="1"/>
  </r>
  <r>
    <n v="217697744"/>
    <x v="299"/>
    <x v="282"/>
    <x v="0"/>
    <n v="39"/>
    <s v="month"/>
    <n v="27"/>
    <x v="1"/>
    <x v="1"/>
  </r>
  <r>
    <n v="217942738"/>
    <x v="300"/>
    <x v="0"/>
    <x v="0"/>
    <n v="39"/>
    <s v="month"/>
    <s v="Not Cancelled"/>
    <x v="2"/>
    <x v="2"/>
  </r>
  <r>
    <n v="218133628"/>
    <x v="300"/>
    <x v="0"/>
    <x v="0"/>
    <n v="39"/>
    <s v="month"/>
    <s v="Not Cancelled"/>
    <x v="2"/>
    <x v="2"/>
  </r>
  <r>
    <n v="118508852"/>
    <x v="300"/>
    <x v="0"/>
    <x v="0"/>
    <n v="39"/>
    <s v="month"/>
    <s v="Not Cancelled"/>
    <x v="2"/>
    <x v="2"/>
  </r>
  <r>
    <n v="218120267"/>
    <x v="300"/>
    <x v="0"/>
    <x v="0"/>
    <n v="39"/>
    <s v="month"/>
    <s v="Not Cancelled"/>
    <x v="2"/>
    <x v="2"/>
  </r>
  <r>
    <n v="218095541"/>
    <x v="300"/>
    <x v="0"/>
    <x v="0"/>
    <n v="39"/>
    <s v="month"/>
    <s v="Not Cancelled"/>
    <x v="2"/>
    <x v="2"/>
  </r>
  <r>
    <n v="217626801"/>
    <x v="300"/>
    <x v="0"/>
    <x v="0"/>
    <n v="39"/>
    <s v="month"/>
    <s v="Not Cancelled"/>
    <x v="2"/>
    <x v="2"/>
  </r>
  <r>
    <n v="151555660"/>
    <x v="300"/>
    <x v="335"/>
    <x v="0"/>
    <n v="39"/>
    <s v="month"/>
    <n v="61"/>
    <x v="2"/>
    <x v="2"/>
  </r>
  <r>
    <n v="217110820"/>
    <x v="300"/>
    <x v="236"/>
    <x v="0"/>
    <n v="39"/>
    <s v="month"/>
    <n v="34"/>
    <x v="2"/>
    <x v="2"/>
  </r>
  <r>
    <n v="217932519"/>
    <x v="300"/>
    <x v="335"/>
    <x v="0"/>
    <n v="39"/>
    <s v="month"/>
    <n v="61"/>
    <x v="2"/>
    <x v="2"/>
  </r>
  <r>
    <n v="218164848"/>
    <x v="301"/>
    <x v="0"/>
    <x v="0"/>
    <n v="39"/>
    <s v="month"/>
    <s v="Not Cancelled"/>
    <x v="3"/>
    <x v="3"/>
  </r>
  <r>
    <n v="217526484"/>
    <x v="301"/>
    <x v="0"/>
    <x v="0"/>
    <n v="39"/>
    <s v="month"/>
    <s v="Not Cancelled"/>
    <x v="3"/>
    <x v="3"/>
  </r>
  <r>
    <n v="214940948"/>
    <x v="301"/>
    <x v="0"/>
    <x v="0"/>
    <n v="39"/>
    <s v="month"/>
    <s v="Not Cancelled"/>
    <x v="3"/>
    <x v="3"/>
  </r>
  <r>
    <n v="218144586"/>
    <x v="301"/>
    <x v="0"/>
    <x v="0"/>
    <n v="39"/>
    <s v="month"/>
    <s v="Not Cancelled"/>
    <x v="3"/>
    <x v="3"/>
  </r>
  <r>
    <n v="217863596"/>
    <x v="301"/>
    <x v="339"/>
    <x v="0"/>
    <n v="39"/>
    <s v="month"/>
    <n v="49"/>
    <x v="3"/>
    <x v="3"/>
  </r>
  <r>
    <n v="218098580"/>
    <x v="301"/>
    <x v="211"/>
    <x v="0"/>
    <n v="39"/>
    <s v="month"/>
    <n v="59"/>
    <x v="3"/>
    <x v="3"/>
  </r>
  <r>
    <n v="215602271"/>
    <x v="301"/>
    <x v="282"/>
    <x v="0"/>
    <n v="39"/>
    <s v="month"/>
    <n v="25"/>
    <x v="3"/>
    <x v="3"/>
  </r>
  <r>
    <n v="218202086"/>
    <x v="302"/>
    <x v="0"/>
    <x v="0"/>
    <n v="39"/>
    <s v="month"/>
    <s v="Not Cancelled"/>
    <x v="4"/>
    <x v="4"/>
  </r>
  <r>
    <n v="217927897"/>
    <x v="302"/>
    <x v="0"/>
    <x v="0"/>
    <n v="39"/>
    <s v="month"/>
    <s v="Not Cancelled"/>
    <x v="4"/>
    <x v="4"/>
  </r>
  <r>
    <n v="217856402"/>
    <x v="302"/>
    <x v="0"/>
    <x v="0"/>
    <n v="39"/>
    <s v="month"/>
    <s v="Not Cancelled"/>
    <x v="4"/>
    <x v="4"/>
  </r>
  <r>
    <n v="217588559"/>
    <x v="302"/>
    <x v="0"/>
    <x v="0"/>
    <n v="39"/>
    <s v="month"/>
    <s v="Not Cancelled"/>
    <x v="4"/>
    <x v="4"/>
  </r>
  <r>
    <n v="212136438"/>
    <x v="302"/>
    <x v="0"/>
    <x v="0"/>
    <n v="39"/>
    <s v="month"/>
    <s v="Not Cancelled"/>
    <x v="4"/>
    <x v="4"/>
  </r>
  <r>
    <n v="138548670"/>
    <x v="302"/>
    <x v="0"/>
    <x v="0"/>
    <n v="39"/>
    <s v="month"/>
    <s v="Not Cancelled"/>
    <x v="4"/>
    <x v="4"/>
  </r>
  <r>
    <n v="217588559"/>
    <x v="302"/>
    <x v="244"/>
    <x v="0"/>
    <n v="39"/>
    <s v="month"/>
    <n v="0"/>
    <x v="4"/>
    <x v="4"/>
  </r>
  <r>
    <n v="171893540"/>
    <x v="302"/>
    <x v="339"/>
    <x v="0"/>
    <n v="39"/>
    <s v="month"/>
    <n v="48"/>
    <x v="4"/>
    <x v="4"/>
  </r>
  <r>
    <n v="202412363"/>
    <x v="302"/>
    <x v="357"/>
    <x v="0"/>
    <n v="39"/>
    <s v="month"/>
    <n v="19"/>
    <x v="4"/>
    <x v="4"/>
  </r>
  <r>
    <n v="218129311"/>
    <x v="302"/>
    <x v="195"/>
    <x v="0"/>
    <n v="39"/>
    <s v="month"/>
    <n v="38"/>
    <x v="4"/>
    <x v="4"/>
  </r>
  <r>
    <n v="218092565"/>
    <x v="302"/>
    <x v="195"/>
    <x v="0"/>
    <n v="39"/>
    <s v="month"/>
    <n v="38"/>
    <x v="4"/>
    <x v="4"/>
  </r>
  <r>
    <n v="150436862"/>
    <x v="303"/>
    <x v="0"/>
    <x v="0"/>
    <n v="39"/>
    <s v="month"/>
    <s v="Not Cancelled"/>
    <x v="5"/>
    <x v="5"/>
  </r>
  <r>
    <n v="218211840"/>
    <x v="303"/>
    <x v="0"/>
    <x v="0"/>
    <n v="39"/>
    <s v="month"/>
    <s v="Not Cancelled"/>
    <x v="5"/>
    <x v="5"/>
  </r>
  <r>
    <n v="218235209"/>
    <x v="303"/>
    <x v="0"/>
    <x v="0"/>
    <n v="39"/>
    <s v="month"/>
    <s v="Not Cancelled"/>
    <x v="5"/>
    <x v="5"/>
  </r>
  <r>
    <n v="132631414"/>
    <x v="303"/>
    <x v="0"/>
    <x v="0"/>
    <n v="39"/>
    <s v="month"/>
    <s v="Not Cancelled"/>
    <x v="5"/>
    <x v="5"/>
  </r>
  <r>
    <n v="218254260"/>
    <x v="303"/>
    <x v="0"/>
    <x v="0"/>
    <n v="39"/>
    <s v="month"/>
    <s v="Not Cancelled"/>
    <x v="5"/>
    <x v="5"/>
  </r>
  <r>
    <n v="218095604"/>
    <x v="303"/>
    <x v="0"/>
    <x v="0"/>
    <n v="39"/>
    <s v="month"/>
    <s v="Not Cancelled"/>
    <x v="5"/>
    <x v="5"/>
  </r>
  <r>
    <n v="147845964"/>
    <x v="303"/>
    <x v="255"/>
    <x v="0"/>
    <n v="39"/>
    <s v="month"/>
    <n v="0"/>
    <x v="5"/>
    <x v="5"/>
  </r>
  <r>
    <n v="218242871"/>
    <x v="303"/>
    <x v="236"/>
    <x v="0"/>
    <n v="39"/>
    <s v="month"/>
    <n v="31"/>
    <x v="5"/>
    <x v="5"/>
  </r>
  <r>
    <n v="218238016"/>
    <x v="303"/>
    <x v="302"/>
    <x v="0"/>
    <n v="39"/>
    <s v="month"/>
    <n v="61"/>
    <x v="5"/>
    <x v="5"/>
  </r>
  <r>
    <n v="217387951"/>
    <x v="303"/>
    <x v="236"/>
    <x v="0"/>
    <n v="39"/>
    <s v="month"/>
    <n v="31"/>
    <x v="5"/>
    <x v="5"/>
  </r>
  <r>
    <n v="218236754"/>
    <x v="303"/>
    <x v="279"/>
    <x v="0"/>
    <n v="39"/>
    <s v="month"/>
    <n v="7"/>
    <x v="5"/>
    <x v="5"/>
  </r>
  <r>
    <n v="218307564"/>
    <x v="304"/>
    <x v="0"/>
    <x v="0"/>
    <n v="39"/>
    <s v="month"/>
    <s v="Not Cancelled"/>
    <x v="6"/>
    <x v="6"/>
  </r>
  <r>
    <n v="150521180"/>
    <x v="304"/>
    <x v="0"/>
    <x v="0"/>
    <n v="39"/>
    <s v="month"/>
    <s v="Not Cancelled"/>
    <x v="6"/>
    <x v="6"/>
  </r>
  <r>
    <n v="135240372"/>
    <x v="304"/>
    <x v="0"/>
    <x v="0"/>
    <n v="39"/>
    <s v="month"/>
    <s v="Not Cancelled"/>
    <x v="6"/>
    <x v="6"/>
  </r>
  <r>
    <n v="218275834"/>
    <x v="304"/>
    <x v="0"/>
    <x v="0"/>
    <n v="39"/>
    <s v="month"/>
    <s v="Not Cancelled"/>
    <x v="6"/>
    <x v="6"/>
  </r>
  <r>
    <n v="218028076"/>
    <x v="304"/>
    <x v="0"/>
    <x v="0"/>
    <n v="39"/>
    <s v="month"/>
    <s v="Not Cancelled"/>
    <x v="6"/>
    <x v="6"/>
  </r>
  <r>
    <n v="164254865"/>
    <x v="304"/>
    <x v="0"/>
    <x v="0"/>
    <n v="39"/>
    <s v="month"/>
    <s v="Not Cancelled"/>
    <x v="6"/>
    <x v="6"/>
  </r>
  <r>
    <n v="218274904"/>
    <x v="304"/>
    <x v="241"/>
    <x v="1"/>
    <n v="39"/>
    <s v="month"/>
    <n v="1"/>
    <x v="6"/>
    <x v="6"/>
  </r>
  <r>
    <n v="208473540"/>
    <x v="304"/>
    <x v="359"/>
    <x v="0"/>
    <n v="39"/>
    <s v="month"/>
    <n v="65"/>
    <x v="6"/>
    <x v="6"/>
  </r>
  <r>
    <n v="218233516"/>
    <x v="304"/>
    <x v="98"/>
    <x v="0"/>
    <n v="39"/>
    <s v="month"/>
    <n v="34"/>
    <x v="6"/>
    <x v="6"/>
  </r>
  <r>
    <n v="218261606"/>
    <x v="304"/>
    <x v="351"/>
    <x v="0"/>
    <n v="39"/>
    <s v="month"/>
    <n v="43"/>
    <x v="6"/>
    <x v="6"/>
  </r>
  <r>
    <n v="218289472"/>
    <x v="304"/>
    <x v="241"/>
    <x v="0"/>
    <n v="39"/>
    <s v="month"/>
    <n v="1"/>
    <x v="6"/>
    <x v="6"/>
  </r>
  <r>
    <n v="215946425"/>
    <x v="304"/>
    <x v="360"/>
    <x v="0"/>
    <n v="39"/>
    <s v="month"/>
    <n v="24"/>
    <x v="6"/>
    <x v="6"/>
  </r>
  <r>
    <n v="218284850"/>
    <x v="304"/>
    <x v="360"/>
    <x v="0"/>
    <n v="39"/>
    <s v="month"/>
    <n v="24"/>
    <x v="6"/>
    <x v="6"/>
  </r>
  <r>
    <n v="202151053"/>
    <x v="305"/>
    <x v="0"/>
    <x v="0"/>
    <n v="39"/>
    <s v="month"/>
    <s v="Not Cancelled"/>
    <x v="0"/>
    <x v="0"/>
  </r>
  <r>
    <n v="112301350"/>
    <x v="305"/>
    <x v="0"/>
    <x v="0"/>
    <n v="39"/>
    <s v="month"/>
    <s v="Not Cancelled"/>
    <x v="0"/>
    <x v="0"/>
  </r>
  <r>
    <n v="218300918"/>
    <x v="305"/>
    <x v="0"/>
    <x v="0"/>
    <n v="39"/>
    <s v="month"/>
    <s v="Not Cancelled"/>
    <x v="0"/>
    <x v="0"/>
  </r>
  <r>
    <n v="205452800"/>
    <x v="305"/>
    <x v="0"/>
    <x v="0"/>
    <n v="39"/>
    <s v="month"/>
    <s v="Not Cancelled"/>
    <x v="0"/>
    <x v="0"/>
  </r>
  <r>
    <n v="218278300"/>
    <x v="305"/>
    <x v="0"/>
    <x v="0"/>
    <n v="39"/>
    <s v="month"/>
    <s v="Not Cancelled"/>
    <x v="0"/>
    <x v="0"/>
  </r>
  <r>
    <n v="216920844"/>
    <x v="305"/>
    <x v="0"/>
    <x v="0"/>
    <n v="39"/>
    <s v="month"/>
    <s v="Not Cancelled"/>
    <x v="0"/>
    <x v="0"/>
  </r>
  <r>
    <n v="127100688"/>
    <x v="305"/>
    <x v="305"/>
    <x v="0"/>
    <n v="39"/>
    <s v="month"/>
    <n v="27"/>
    <x v="0"/>
    <x v="0"/>
  </r>
  <r>
    <n v="218345379"/>
    <x v="305"/>
    <x v="283"/>
    <x v="0"/>
    <n v="39"/>
    <s v="month"/>
    <n v="38"/>
    <x v="0"/>
    <x v="0"/>
  </r>
  <r>
    <n v="183507186"/>
    <x v="305"/>
    <x v="310"/>
    <x v="0"/>
    <n v="39"/>
    <s v="month"/>
    <n v="31"/>
    <x v="0"/>
    <x v="0"/>
  </r>
  <r>
    <n v="218133430"/>
    <x v="306"/>
    <x v="0"/>
    <x v="0"/>
    <n v="39"/>
    <s v="month"/>
    <s v="Not Cancelled"/>
    <x v="1"/>
    <x v="1"/>
  </r>
  <r>
    <n v="147813476"/>
    <x v="306"/>
    <x v="0"/>
    <x v="0"/>
    <n v="39"/>
    <s v="month"/>
    <s v="Not Cancelled"/>
    <x v="1"/>
    <x v="1"/>
  </r>
  <r>
    <n v="218375754"/>
    <x v="306"/>
    <x v="0"/>
    <x v="0"/>
    <n v="39"/>
    <s v="month"/>
    <s v="Not Cancelled"/>
    <x v="1"/>
    <x v="1"/>
  </r>
  <r>
    <n v="216000482"/>
    <x v="306"/>
    <x v="0"/>
    <x v="0"/>
    <n v="39"/>
    <s v="month"/>
    <s v="Not Cancelled"/>
    <x v="1"/>
    <x v="1"/>
  </r>
  <r>
    <n v="161549477"/>
    <x v="306"/>
    <x v="0"/>
    <x v="0"/>
    <n v="39"/>
    <s v="month"/>
    <s v="Not Cancelled"/>
    <x v="1"/>
    <x v="1"/>
  </r>
  <r>
    <n v="133444654"/>
    <x v="306"/>
    <x v="337"/>
    <x v="0"/>
    <n v="39"/>
    <s v="month"/>
    <n v="3"/>
    <x v="1"/>
    <x v="1"/>
  </r>
  <r>
    <n v="217883594"/>
    <x v="306"/>
    <x v="282"/>
    <x v="0"/>
    <n v="39"/>
    <s v="month"/>
    <n v="20"/>
    <x v="1"/>
    <x v="1"/>
  </r>
  <r>
    <n v="197752733"/>
    <x v="307"/>
    <x v="0"/>
    <x v="0"/>
    <n v="39"/>
    <s v="month"/>
    <s v="Not Cancelled"/>
    <x v="2"/>
    <x v="2"/>
  </r>
  <r>
    <n v="175884318"/>
    <x v="307"/>
    <x v="0"/>
    <x v="0"/>
    <n v="39"/>
    <s v="month"/>
    <s v="Not Cancelled"/>
    <x v="2"/>
    <x v="2"/>
  </r>
  <r>
    <n v="218413958"/>
    <x v="307"/>
    <x v="0"/>
    <x v="0"/>
    <n v="39"/>
    <s v="month"/>
    <s v="Not Cancelled"/>
    <x v="2"/>
    <x v="2"/>
  </r>
  <r>
    <n v="218434925"/>
    <x v="307"/>
    <x v="0"/>
    <x v="0"/>
    <n v="39"/>
    <s v="month"/>
    <s v="Not Cancelled"/>
    <x v="2"/>
    <x v="2"/>
  </r>
  <r>
    <n v="156817946"/>
    <x v="307"/>
    <x v="0"/>
    <x v="0"/>
    <n v="39"/>
    <s v="month"/>
    <s v="Not Cancelled"/>
    <x v="2"/>
    <x v="2"/>
  </r>
  <r>
    <n v="218427268"/>
    <x v="307"/>
    <x v="0"/>
    <x v="0"/>
    <n v="39"/>
    <s v="month"/>
    <s v="Not Cancelled"/>
    <x v="2"/>
    <x v="2"/>
  </r>
  <r>
    <n v="208492287"/>
    <x v="307"/>
    <x v="0"/>
    <x v="0"/>
    <n v="39"/>
    <s v="month"/>
    <s v="Not Cancelled"/>
    <x v="2"/>
    <x v="2"/>
  </r>
  <r>
    <n v="217499098"/>
    <x v="307"/>
    <x v="325"/>
    <x v="0"/>
    <n v="39"/>
    <s v="month"/>
    <n v="1"/>
    <x v="2"/>
    <x v="2"/>
  </r>
  <r>
    <n v="215723331"/>
    <x v="307"/>
    <x v="334"/>
    <x v="0"/>
    <n v="39"/>
    <s v="month"/>
    <n v="38"/>
    <x v="2"/>
    <x v="2"/>
  </r>
  <r>
    <n v="122616074"/>
    <x v="308"/>
    <x v="0"/>
    <x v="0"/>
    <n v="39"/>
    <s v="month"/>
    <s v="Not Cancelled"/>
    <x v="3"/>
    <x v="3"/>
  </r>
  <r>
    <n v="218367490"/>
    <x v="308"/>
    <x v="0"/>
    <x v="0"/>
    <n v="39"/>
    <s v="month"/>
    <s v="Not Cancelled"/>
    <x v="3"/>
    <x v="3"/>
  </r>
  <r>
    <n v="218415420"/>
    <x v="308"/>
    <x v="0"/>
    <x v="0"/>
    <n v="39"/>
    <s v="month"/>
    <s v="Not Cancelled"/>
    <x v="3"/>
    <x v="3"/>
  </r>
  <r>
    <n v="135785962"/>
    <x v="308"/>
    <x v="0"/>
    <x v="0"/>
    <n v="39"/>
    <s v="month"/>
    <s v="Not Cancelled"/>
    <x v="3"/>
    <x v="3"/>
  </r>
  <r>
    <n v="206121650"/>
    <x v="308"/>
    <x v="337"/>
    <x v="0"/>
    <n v="39"/>
    <s v="month"/>
    <n v="1"/>
    <x v="3"/>
    <x v="3"/>
  </r>
  <r>
    <n v="218129819"/>
    <x v="308"/>
    <x v="204"/>
    <x v="0"/>
    <n v="39"/>
    <s v="month"/>
    <n v="25"/>
    <x v="3"/>
    <x v="3"/>
  </r>
  <r>
    <n v="217766676"/>
    <x v="308"/>
    <x v="282"/>
    <x v="0"/>
    <n v="39"/>
    <s v="month"/>
    <n v="18"/>
    <x v="3"/>
    <x v="3"/>
  </r>
  <r>
    <n v="216886336"/>
    <x v="309"/>
    <x v="0"/>
    <x v="0"/>
    <n v="39"/>
    <s v="month"/>
    <s v="Not Cancelled"/>
    <x v="4"/>
    <x v="4"/>
  </r>
  <r>
    <n v="217991032"/>
    <x v="309"/>
    <x v="0"/>
    <x v="0"/>
    <n v="39"/>
    <s v="month"/>
    <s v="Not Cancelled"/>
    <x v="4"/>
    <x v="4"/>
  </r>
  <r>
    <n v="145797162"/>
    <x v="309"/>
    <x v="0"/>
    <x v="0"/>
    <n v="39"/>
    <s v="month"/>
    <s v="Not Cancelled"/>
    <x v="4"/>
    <x v="4"/>
  </r>
  <r>
    <n v="217581606"/>
    <x v="309"/>
    <x v="0"/>
    <x v="0"/>
    <n v="39"/>
    <s v="month"/>
    <s v="Not Cancelled"/>
    <x v="4"/>
    <x v="4"/>
  </r>
  <r>
    <n v="218459038"/>
    <x v="309"/>
    <x v="279"/>
    <x v="0"/>
    <n v="39"/>
    <s v="month"/>
    <n v="1"/>
    <x v="4"/>
    <x v="4"/>
  </r>
  <r>
    <n v="218526124"/>
    <x v="309"/>
    <x v="279"/>
    <x v="1"/>
    <n v="39"/>
    <s v="month"/>
    <n v="1"/>
    <x v="4"/>
    <x v="4"/>
  </r>
  <r>
    <n v="216335430"/>
    <x v="309"/>
    <x v="337"/>
    <x v="1"/>
    <n v="39"/>
    <s v="month"/>
    <n v="0"/>
    <x v="4"/>
    <x v="4"/>
  </r>
  <r>
    <n v="218519862"/>
    <x v="309"/>
    <x v="279"/>
    <x v="1"/>
    <n v="39"/>
    <s v="month"/>
    <n v="1"/>
    <x v="4"/>
    <x v="4"/>
  </r>
  <r>
    <n v="218496811"/>
    <x v="309"/>
    <x v="337"/>
    <x v="1"/>
    <n v="39"/>
    <s v="month"/>
    <n v="0"/>
    <x v="4"/>
    <x v="4"/>
  </r>
  <r>
    <n v="218490122"/>
    <x v="309"/>
    <x v="279"/>
    <x v="1"/>
    <n v="39"/>
    <s v="month"/>
    <n v="1"/>
    <x v="4"/>
    <x v="4"/>
  </r>
  <r>
    <n v="216337502"/>
    <x v="309"/>
    <x v="337"/>
    <x v="1"/>
    <n v="39"/>
    <s v="month"/>
    <n v="0"/>
    <x v="4"/>
    <x v="4"/>
  </r>
  <r>
    <n v="143111905"/>
    <x v="309"/>
    <x v="351"/>
    <x v="0"/>
    <n v="39"/>
    <s v="month"/>
    <n v="38"/>
    <x v="4"/>
    <x v="4"/>
  </r>
  <r>
    <n v="217709772"/>
    <x v="309"/>
    <x v="328"/>
    <x v="0"/>
    <n v="39"/>
    <s v="month"/>
    <n v="33"/>
    <x v="4"/>
    <x v="4"/>
  </r>
  <r>
    <n v="214924190"/>
    <x v="309"/>
    <x v="195"/>
    <x v="0"/>
    <n v="39"/>
    <s v="month"/>
    <n v="31"/>
    <x v="4"/>
    <x v="4"/>
  </r>
  <r>
    <n v="217914198"/>
    <x v="309"/>
    <x v="354"/>
    <x v="0"/>
    <n v="39"/>
    <s v="month"/>
    <n v="20"/>
    <x v="4"/>
    <x v="4"/>
  </r>
  <r>
    <n v="217773501"/>
    <x v="309"/>
    <x v="337"/>
    <x v="0"/>
    <n v="39"/>
    <s v="month"/>
    <n v="0"/>
    <x v="4"/>
    <x v="4"/>
  </r>
  <r>
    <n v="215311765"/>
    <x v="310"/>
    <x v="0"/>
    <x v="0"/>
    <n v="39"/>
    <s v="month"/>
    <s v="Not Cancelled"/>
    <x v="5"/>
    <x v="5"/>
  </r>
  <r>
    <n v="218554220"/>
    <x v="310"/>
    <x v="0"/>
    <x v="0"/>
    <n v="39"/>
    <s v="month"/>
    <s v="Not Cancelled"/>
    <x v="5"/>
    <x v="5"/>
  </r>
  <r>
    <n v="209743418"/>
    <x v="310"/>
    <x v="0"/>
    <x v="0"/>
    <n v="39"/>
    <s v="month"/>
    <s v="Not Cancelled"/>
    <x v="5"/>
    <x v="5"/>
  </r>
  <r>
    <n v="218553244"/>
    <x v="310"/>
    <x v="0"/>
    <x v="0"/>
    <n v="39"/>
    <s v="month"/>
    <s v="Not Cancelled"/>
    <x v="5"/>
    <x v="5"/>
  </r>
  <r>
    <n v="218548492"/>
    <x v="310"/>
    <x v="0"/>
    <x v="0"/>
    <n v="39"/>
    <s v="month"/>
    <s v="Not Cancelled"/>
    <x v="5"/>
    <x v="5"/>
  </r>
  <r>
    <n v="217958138"/>
    <x v="310"/>
    <x v="0"/>
    <x v="0"/>
    <n v="39"/>
    <s v="month"/>
    <s v="Not Cancelled"/>
    <x v="5"/>
    <x v="5"/>
  </r>
  <r>
    <n v="218365623"/>
    <x v="310"/>
    <x v="0"/>
    <x v="0"/>
    <n v="39"/>
    <s v="month"/>
    <s v="Not Cancelled"/>
    <x v="5"/>
    <x v="5"/>
  </r>
  <r>
    <n v="218512642"/>
    <x v="310"/>
    <x v="0"/>
    <x v="0"/>
    <n v="39"/>
    <s v="month"/>
    <s v="Not Cancelled"/>
    <x v="5"/>
    <x v="5"/>
  </r>
  <r>
    <n v="218569099"/>
    <x v="310"/>
    <x v="294"/>
    <x v="0"/>
    <n v="39"/>
    <s v="month"/>
    <n v="56"/>
    <x v="5"/>
    <x v="5"/>
  </r>
  <r>
    <n v="218304590"/>
    <x v="310"/>
    <x v="211"/>
    <x v="0"/>
    <n v="39"/>
    <s v="month"/>
    <n v="50"/>
    <x v="5"/>
    <x v="5"/>
  </r>
  <r>
    <n v="215390636"/>
    <x v="310"/>
    <x v="290"/>
    <x v="0"/>
    <n v="39"/>
    <s v="month"/>
    <n v="58"/>
    <x v="5"/>
    <x v="5"/>
  </r>
  <r>
    <n v="218538760"/>
    <x v="310"/>
    <x v="63"/>
    <x v="0"/>
    <n v="39"/>
    <s v="month"/>
    <n v="38"/>
    <x v="5"/>
    <x v="5"/>
  </r>
  <r>
    <n v="218544489"/>
    <x v="310"/>
    <x v="301"/>
    <x v="0"/>
    <n v="39"/>
    <s v="month"/>
    <n v="31"/>
    <x v="5"/>
    <x v="5"/>
  </r>
  <r>
    <n v="180161087"/>
    <x v="310"/>
    <x v="195"/>
    <x v="0"/>
    <n v="39"/>
    <s v="month"/>
    <n v="30"/>
    <x v="5"/>
    <x v="5"/>
  </r>
  <r>
    <n v="218484551"/>
    <x v="310"/>
    <x v="63"/>
    <x v="0"/>
    <n v="39"/>
    <s v="month"/>
    <n v="38"/>
    <x v="5"/>
    <x v="5"/>
  </r>
  <r>
    <n v="218570737"/>
    <x v="310"/>
    <x v="315"/>
    <x v="0"/>
    <n v="39"/>
    <s v="month"/>
    <n v="1"/>
    <x v="5"/>
    <x v="5"/>
  </r>
  <r>
    <n v="218526607"/>
    <x v="311"/>
    <x v="0"/>
    <x v="0"/>
    <n v="39"/>
    <s v="month"/>
    <s v="Not Cancelled"/>
    <x v="6"/>
    <x v="6"/>
  </r>
  <r>
    <n v="211011508"/>
    <x v="311"/>
    <x v="0"/>
    <x v="0"/>
    <n v="39"/>
    <s v="month"/>
    <s v="Not Cancelled"/>
    <x v="6"/>
    <x v="6"/>
  </r>
  <r>
    <n v="218610100"/>
    <x v="311"/>
    <x v="0"/>
    <x v="0"/>
    <n v="39"/>
    <s v="month"/>
    <s v="Not Cancelled"/>
    <x v="6"/>
    <x v="6"/>
  </r>
  <r>
    <n v="206055148"/>
    <x v="311"/>
    <x v="0"/>
    <x v="0"/>
    <n v="39"/>
    <s v="month"/>
    <s v="Not Cancelled"/>
    <x v="6"/>
    <x v="6"/>
  </r>
  <r>
    <n v="150509877"/>
    <x v="311"/>
    <x v="0"/>
    <x v="0"/>
    <n v="39"/>
    <s v="month"/>
    <s v="Not Cancelled"/>
    <x v="6"/>
    <x v="6"/>
  </r>
  <r>
    <n v="218498112"/>
    <x v="311"/>
    <x v="0"/>
    <x v="0"/>
    <n v="39"/>
    <s v="month"/>
    <s v="Not Cancelled"/>
    <x v="6"/>
    <x v="6"/>
  </r>
  <r>
    <n v="218624538"/>
    <x v="311"/>
    <x v="313"/>
    <x v="0"/>
    <n v="39"/>
    <s v="month"/>
    <n v="41"/>
    <x v="6"/>
    <x v="6"/>
  </r>
  <r>
    <n v="218467300"/>
    <x v="311"/>
    <x v="283"/>
    <x v="0"/>
    <n v="39"/>
    <s v="month"/>
    <n v="32"/>
    <x v="6"/>
    <x v="6"/>
  </r>
  <r>
    <n v="218509554"/>
    <x v="311"/>
    <x v="357"/>
    <x v="0"/>
    <n v="39"/>
    <s v="month"/>
    <n v="10"/>
    <x v="6"/>
    <x v="6"/>
  </r>
  <r>
    <n v="218257588"/>
    <x v="312"/>
    <x v="0"/>
    <x v="0"/>
    <n v="39"/>
    <s v="month"/>
    <s v="Not Cancelled"/>
    <x v="0"/>
    <x v="0"/>
  </r>
  <r>
    <n v="218114325"/>
    <x v="312"/>
    <x v="0"/>
    <x v="0"/>
    <n v="39"/>
    <s v="month"/>
    <s v="Not Cancelled"/>
    <x v="0"/>
    <x v="0"/>
  </r>
  <r>
    <n v="218325441"/>
    <x v="312"/>
    <x v="0"/>
    <x v="0"/>
    <n v="39"/>
    <s v="month"/>
    <s v="Not Cancelled"/>
    <x v="0"/>
    <x v="0"/>
  </r>
  <r>
    <n v="218235047"/>
    <x v="312"/>
    <x v="0"/>
    <x v="0"/>
    <n v="39"/>
    <s v="month"/>
    <s v="Not Cancelled"/>
    <x v="0"/>
    <x v="0"/>
  </r>
  <r>
    <n v="218598866"/>
    <x v="312"/>
    <x v="0"/>
    <x v="0"/>
    <n v="39"/>
    <s v="month"/>
    <s v="Not Cancelled"/>
    <x v="0"/>
    <x v="0"/>
  </r>
  <r>
    <n v="218644881"/>
    <x v="312"/>
    <x v="55"/>
    <x v="0"/>
    <n v="39"/>
    <s v="month"/>
    <n v="34"/>
    <x v="0"/>
    <x v="0"/>
  </r>
  <r>
    <n v="218509727"/>
    <x v="312"/>
    <x v="252"/>
    <x v="0"/>
    <n v="39"/>
    <s v="month"/>
    <n v="27"/>
    <x v="0"/>
    <x v="0"/>
  </r>
  <r>
    <n v="150623785"/>
    <x v="312"/>
    <x v="332"/>
    <x v="0"/>
    <n v="39"/>
    <s v="month"/>
    <n v="32"/>
    <x v="0"/>
    <x v="0"/>
  </r>
  <r>
    <n v="218586552"/>
    <x v="312"/>
    <x v="332"/>
    <x v="0"/>
    <n v="39"/>
    <s v="month"/>
    <n v="32"/>
    <x v="0"/>
    <x v="0"/>
  </r>
  <r>
    <n v="218514844"/>
    <x v="312"/>
    <x v="316"/>
    <x v="0"/>
    <n v="39"/>
    <s v="month"/>
    <n v="4"/>
    <x v="0"/>
    <x v="0"/>
  </r>
  <r>
    <n v="218694806"/>
    <x v="313"/>
    <x v="0"/>
    <x v="0"/>
    <n v="39"/>
    <s v="month"/>
    <s v="Not Cancelled"/>
    <x v="1"/>
    <x v="1"/>
  </r>
  <r>
    <n v="218678174"/>
    <x v="313"/>
    <x v="0"/>
    <x v="0"/>
    <n v="39"/>
    <s v="month"/>
    <s v="Not Cancelled"/>
    <x v="1"/>
    <x v="1"/>
  </r>
  <r>
    <n v="218695487"/>
    <x v="313"/>
    <x v="359"/>
    <x v="0"/>
    <n v="39"/>
    <s v="month"/>
    <n v="56"/>
    <x v="1"/>
    <x v="1"/>
  </r>
  <r>
    <n v="218678790"/>
    <x v="313"/>
    <x v="190"/>
    <x v="0"/>
    <n v="39"/>
    <s v="month"/>
    <n v="38"/>
    <x v="1"/>
    <x v="1"/>
  </r>
  <r>
    <n v="217499098"/>
    <x v="313"/>
    <x v="190"/>
    <x v="0"/>
    <n v="39"/>
    <s v="month"/>
    <n v="38"/>
    <x v="1"/>
    <x v="1"/>
  </r>
  <r>
    <n v="217976753"/>
    <x v="313"/>
    <x v="190"/>
    <x v="0"/>
    <n v="39"/>
    <s v="month"/>
    <n v="38"/>
    <x v="1"/>
    <x v="1"/>
  </r>
  <r>
    <n v="199359226"/>
    <x v="313"/>
    <x v="348"/>
    <x v="0"/>
    <n v="39"/>
    <s v="month"/>
    <n v="1"/>
    <x v="1"/>
    <x v="1"/>
  </r>
  <r>
    <n v="121814098"/>
    <x v="314"/>
    <x v="0"/>
    <x v="0"/>
    <n v="39"/>
    <s v="month"/>
    <s v="Not Cancelled"/>
    <x v="2"/>
    <x v="2"/>
  </r>
  <r>
    <n v="215605718"/>
    <x v="314"/>
    <x v="0"/>
    <x v="0"/>
    <n v="39"/>
    <s v="month"/>
    <s v="Not Cancelled"/>
    <x v="2"/>
    <x v="2"/>
  </r>
  <r>
    <n v="218325705"/>
    <x v="314"/>
    <x v="0"/>
    <x v="0"/>
    <n v="39"/>
    <s v="month"/>
    <s v="Not Cancelled"/>
    <x v="2"/>
    <x v="2"/>
  </r>
  <r>
    <n v="208598253"/>
    <x v="314"/>
    <x v="0"/>
    <x v="0"/>
    <n v="39"/>
    <s v="month"/>
    <s v="Not Cancelled"/>
    <x v="2"/>
    <x v="2"/>
  </r>
  <r>
    <n v="218655628"/>
    <x v="314"/>
    <x v="0"/>
    <x v="0"/>
    <n v="39"/>
    <s v="month"/>
    <s v="Not Cancelled"/>
    <x v="2"/>
    <x v="2"/>
  </r>
  <r>
    <n v="185602413"/>
    <x v="314"/>
    <x v="249"/>
    <x v="0"/>
    <n v="39"/>
    <s v="month"/>
    <n v="1"/>
    <x v="2"/>
    <x v="2"/>
  </r>
  <r>
    <n v="154082747"/>
    <x v="314"/>
    <x v="205"/>
    <x v="0"/>
    <n v="39"/>
    <s v="month"/>
    <n v="8"/>
    <x v="2"/>
    <x v="2"/>
  </r>
  <r>
    <n v="218017402"/>
    <x v="314"/>
    <x v="313"/>
    <x v="0"/>
    <n v="39"/>
    <s v="month"/>
    <n v="38"/>
    <x v="2"/>
    <x v="2"/>
  </r>
  <r>
    <n v="218792880"/>
    <x v="315"/>
    <x v="0"/>
    <x v="0"/>
    <n v="39"/>
    <s v="month"/>
    <s v="Not Cancelled"/>
    <x v="3"/>
    <x v="3"/>
  </r>
  <r>
    <n v="218761808"/>
    <x v="315"/>
    <x v="0"/>
    <x v="0"/>
    <n v="39"/>
    <s v="month"/>
    <s v="Not Cancelled"/>
    <x v="3"/>
    <x v="3"/>
  </r>
  <r>
    <n v="149303812"/>
    <x v="315"/>
    <x v="0"/>
    <x v="0"/>
    <n v="39"/>
    <s v="month"/>
    <s v="Not Cancelled"/>
    <x v="3"/>
    <x v="3"/>
  </r>
  <r>
    <n v="216144261"/>
    <x v="315"/>
    <x v="0"/>
    <x v="0"/>
    <n v="39"/>
    <s v="month"/>
    <s v="Not Cancelled"/>
    <x v="3"/>
    <x v="3"/>
  </r>
  <r>
    <n v="215976742"/>
    <x v="315"/>
    <x v="0"/>
    <x v="0"/>
    <n v="39"/>
    <s v="month"/>
    <s v="Not Cancelled"/>
    <x v="3"/>
    <x v="3"/>
  </r>
  <r>
    <n v="218617631"/>
    <x v="315"/>
    <x v="225"/>
    <x v="0"/>
    <n v="39"/>
    <s v="month"/>
    <n v="38"/>
    <x v="3"/>
    <x v="3"/>
  </r>
  <r>
    <n v="218770458"/>
    <x v="315"/>
    <x v="204"/>
    <x v="0"/>
    <n v="39"/>
    <s v="month"/>
    <n v="18"/>
    <x v="3"/>
    <x v="3"/>
  </r>
  <r>
    <n v="218720472"/>
    <x v="315"/>
    <x v="295"/>
    <x v="0"/>
    <n v="39"/>
    <s v="month"/>
    <n v="34"/>
    <x v="3"/>
    <x v="3"/>
  </r>
  <r>
    <n v="218846909"/>
    <x v="316"/>
    <x v="0"/>
    <x v="0"/>
    <n v="39"/>
    <s v="month"/>
    <s v="Not Cancelled"/>
    <x v="4"/>
    <x v="4"/>
  </r>
  <r>
    <n v="214714278"/>
    <x v="316"/>
    <x v="0"/>
    <x v="0"/>
    <n v="39"/>
    <s v="month"/>
    <s v="Not Cancelled"/>
    <x v="4"/>
    <x v="4"/>
  </r>
  <r>
    <n v="218529158"/>
    <x v="316"/>
    <x v="0"/>
    <x v="0"/>
    <n v="39"/>
    <s v="month"/>
    <s v="Not Cancelled"/>
    <x v="4"/>
    <x v="4"/>
  </r>
  <r>
    <n v="218837719"/>
    <x v="316"/>
    <x v="0"/>
    <x v="0"/>
    <n v="39"/>
    <s v="month"/>
    <s v="Not Cancelled"/>
    <x v="4"/>
    <x v="4"/>
  </r>
  <r>
    <n v="194367477"/>
    <x v="316"/>
    <x v="0"/>
    <x v="0"/>
    <n v="39"/>
    <s v="month"/>
    <s v="Not Cancelled"/>
    <x v="4"/>
    <x v="4"/>
  </r>
  <r>
    <n v="218300066"/>
    <x v="316"/>
    <x v="0"/>
    <x v="0"/>
    <n v="39"/>
    <s v="month"/>
    <s v="Not Cancelled"/>
    <x v="4"/>
    <x v="4"/>
  </r>
  <r>
    <n v="218553583"/>
    <x v="316"/>
    <x v="0"/>
    <x v="0"/>
    <n v="39"/>
    <s v="month"/>
    <s v="Not Cancelled"/>
    <x v="4"/>
    <x v="4"/>
  </r>
  <r>
    <n v="149657162"/>
    <x v="316"/>
    <x v="314"/>
    <x v="0"/>
    <n v="39"/>
    <s v="month"/>
    <n v="1"/>
    <x v="4"/>
    <x v="4"/>
  </r>
  <r>
    <n v="125920876"/>
    <x v="316"/>
    <x v="347"/>
    <x v="0"/>
    <n v="39"/>
    <s v="month"/>
    <n v="38"/>
    <x v="4"/>
    <x v="4"/>
  </r>
  <r>
    <n v="217403566"/>
    <x v="316"/>
    <x v="332"/>
    <x v="0"/>
    <n v="39"/>
    <s v="month"/>
    <n v="28"/>
    <x v="4"/>
    <x v="4"/>
  </r>
  <r>
    <n v="218677370"/>
    <x v="316"/>
    <x v="334"/>
    <x v="0"/>
    <n v="39"/>
    <s v="month"/>
    <n v="29"/>
    <x v="4"/>
    <x v="4"/>
  </r>
  <r>
    <n v="218598875"/>
    <x v="316"/>
    <x v="347"/>
    <x v="0"/>
    <n v="39"/>
    <s v="month"/>
    <n v="38"/>
    <x v="4"/>
    <x v="4"/>
  </r>
  <r>
    <n v="203116529"/>
    <x v="316"/>
    <x v="316"/>
    <x v="0"/>
    <n v="39"/>
    <s v="month"/>
    <n v="0"/>
    <x v="4"/>
    <x v="4"/>
  </r>
  <r>
    <n v="218808831"/>
    <x v="316"/>
    <x v="318"/>
    <x v="0"/>
    <n v="39"/>
    <s v="month"/>
    <n v="46"/>
    <x v="4"/>
    <x v="4"/>
  </r>
  <r>
    <n v="218844240"/>
    <x v="317"/>
    <x v="0"/>
    <x v="0"/>
    <n v="39"/>
    <s v="month"/>
    <s v="Not Cancelled"/>
    <x v="5"/>
    <x v="5"/>
  </r>
  <r>
    <n v="218863419"/>
    <x v="317"/>
    <x v="0"/>
    <x v="0"/>
    <n v="39"/>
    <s v="month"/>
    <s v="Not Cancelled"/>
    <x v="5"/>
    <x v="5"/>
  </r>
  <r>
    <n v="218445704"/>
    <x v="317"/>
    <x v="0"/>
    <x v="0"/>
    <n v="39"/>
    <s v="month"/>
    <s v="Not Cancelled"/>
    <x v="5"/>
    <x v="5"/>
  </r>
  <r>
    <n v="149411976"/>
    <x v="317"/>
    <x v="0"/>
    <x v="0"/>
    <n v="39"/>
    <s v="month"/>
    <s v="Not Cancelled"/>
    <x v="5"/>
    <x v="5"/>
  </r>
  <r>
    <n v="218862674"/>
    <x v="317"/>
    <x v="0"/>
    <x v="0"/>
    <n v="39"/>
    <s v="month"/>
    <s v="Not Cancelled"/>
    <x v="5"/>
    <x v="5"/>
  </r>
  <r>
    <n v="218851122"/>
    <x v="317"/>
    <x v="0"/>
    <x v="0"/>
    <n v="39"/>
    <s v="month"/>
    <s v="Not Cancelled"/>
    <x v="5"/>
    <x v="5"/>
  </r>
  <r>
    <n v="153402484"/>
    <x v="317"/>
    <x v="318"/>
    <x v="0"/>
    <n v="39"/>
    <s v="month"/>
    <n v="45"/>
    <x v="5"/>
    <x v="5"/>
  </r>
  <r>
    <n v="218848831"/>
    <x v="317"/>
    <x v="262"/>
    <x v="0"/>
    <n v="39"/>
    <s v="month"/>
    <n v="39"/>
    <x v="5"/>
    <x v="5"/>
  </r>
  <r>
    <n v="159639128"/>
    <x v="317"/>
    <x v="314"/>
    <x v="0"/>
    <n v="39"/>
    <s v="month"/>
    <n v="0"/>
    <x v="5"/>
    <x v="5"/>
  </r>
  <r>
    <n v="214638700"/>
    <x v="317"/>
    <x v="265"/>
    <x v="1"/>
    <n v="39"/>
    <s v="month"/>
    <n v="1"/>
    <x v="5"/>
    <x v="5"/>
  </r>
  <r>
    <n v="218850789"/>
    <x v="317"/>
    <x v="63"/>
    <x v="0"/>
    <n v="39"/>
    <s v="month"/>
    <n v="31"/>
    <x v="5"/>
    <x v="5"/>
  </r>
  <r>
    <n v="155510287"/>
    <x v="317"/>
    <x v="328"/>
    <x v="0"/>
    <n v="39"/>
    <s v="month"/>
    <n v="25"/>
    <x v="5"/>
    <x v="5"/>
  </r>
  <r>
    <n v="218677703"/>
    <x v="317"/>
    <x v="329"/>
    <x v="0"/>
    <n v="39"/>
    <s v="month"/>
    <n v="6"/>
    <x v="5"/>
    <x v="5"/>
  </r>
  <r>
    <n v="218878930"/>
    <x v="317"/>
    <x v="240"/>
    <x v="0"/>
    <n v="39"/>
    <s v="month"/>
    <n v="2"/>
    <x v="5"/>
    <x v="5"/>
  </r>
  <r>
    <n v="218935022"/>
    <x v="318"/>
    <x v="0"/>
    <x v="0"/>
    <n v="39"/>
    <s v="month"/>
    <s v="Not Cancelled"/>
    <x v="6"/>
    <x v="6"/>
  </r>
  <r>
    <n v="218925198"/>
    <x v="318"/>
    <x v="0"/>
    <x v="0"/>
    <n v="39"/>
    <s v="month"/>
    <s v="Not Cancelled"/>
    <x v="6"/>
    <x v="6"/>
  </r>
  <r>
    <n v="218927120"/>
    <x v="318"/>
    <x v="0"/>
    <x v="0"/>
    <n v="39"/>
    <s v="month"/>
    <s v="Not Cancelled"/>
    <x v="6"/>
    <x v="6"/>
  </r>
  <r>
    <n v="218930176"/>
    <x v="318"/>
    <x v="0"/>
    <x v="0"/>
    <n v="39"/>
    <s v="month"/>
    <s v="Not Cancelled"/>
    <x v="6"/>
    <x v="6"/>
  </r>
  <r>
    <n v="216185482"/>
    <x v="318"/>
    <x v="0"/>
    <x v="0"/>
    <n v="39"/>
    <s v="month"/>
    <s v="Not Cancelled"/>
    <x v="6"/>
    <x v="6"/>
  </r>
  <r>
    <n v="218814342"/>
    <x v="318"/>
    <x v="0"/>
    <x v="0"/>
    <n v="39"/>
    <s v="month"/>
    <s v="Not Cancelled"/>
    <x v="6"/>
    <x v="6"/>
  </r>
  <r>
    <n v="218764310"/>
    <x v="318"/>
    <x v="0"/>
    <x v="0"/>
    <n v="39"/>
    <s v="month"/>
    <s v="Not Cancelled"/>
    <x v="6"/>
    <x v="6"/>
  </r>
  <r>
    <n v="218814328"/>
    <x v="318"/>
    <x v="0"/>
    <x v="0"/>
    <n v="39"/>
    <s v="month"/>
    <s v="Not Cancelled"/>
    <x v="6"/>
    <x v="6"/>
  </r>
  <r>
    <n v="149144586"/>
    <x v="318"/>
    <x v="0"/>
    <x v="0"/>
    <n v="39"/>
    <s v="month"/>
    <s v="Not Cancelled"/>
    <x v="6"/>
    <x v="6"/>
  </r>
  <r>
    <n v="217635511"/>
    <x v="318"/>
    <x v="0"/>
    <x v="0"/>
    <n v="39"/>
    <s v="month"/>
    <s v="Not Cancelled"/>
    <x v="6"/>
    <x v="6"/>
  </r>
  <r>
    <n v="218924256"/>
    <x v="318"/>
    <x v="332"/>
    <x v="0"/>
    <n v="39"/>
    <s v="month"/>
    <n v="26"/>
    <x v="6"/>
    <x v="6"/>
  </r>
  <r>
    <n v="218898552"/>
    <x v="318"/>
    <x v="351"/>
    <x v="0"/>
    <n v="39"/>
    <s v="month"/>
    <n v="29"/>
    <x v="6"/>
    <x v="6"/>
  </r>
  <r>
    <n v="149657162"/>
    <x v="318"/>
    <x v="302"/>
    <x v="0"/>
    <n v="39"/>
    <s v="month"/>
    <n v="46"/>
    <x v="6"/>
    <x v="6"/>
  </r>
  <r>
    <n v="218581958"/>
    <x v="318"/>
    <x v="353"/>
    <x v="0"/>
    <n v="39"/>
    <s v="month"/>
    <n v="7"/>
    <x v="6"/>
    <x v="6"/>
  </r>
  <r>
    <n v="214943384"/>
    <x v="319"/>
    <x v="0"/>
    <x v="0"/>
    <n v="39"/>
    <s v="month"/>
    <s v="Not Cancelled"/>
    <x v="0"/>
    <x v="0"/>
  </r>
  <r>
    <n v="147832373"/>
    <x v="319"/>
    <x v="0"/>
    <x v="0"/>
    <n v="39"/>
    <s v="month"/>
    <s v="Not Cancelled"/>
    <x v="0"/>
    <x v="0"/>
  </r>
  <r>
    <n v="204362311"/>
    <x v="319"/>
    <x v="0"/>
    <x v="0"/>
    <n v="39"/>
    <s v="month"/>
    <s v="Not Cancelled"/>
    <x v="0"/>
    <x v="0"/>
  </r>
  <r>
    <n v="217137211"/>
    <x v="319"/>
    <x v="0"/>
    <x v="0"/>
    <n v="39"/>
    <s v="month"/>
    <s v="Not Cancelled"/>
    <x v="0"/>
    <x v="0"/>
  </r>
  <r>
    <n v="218942852"/>
    <x v="319"/>
    <x v="0"/>
    <x v="0"/>
    <n v="39"/>
    <s v="month"/>
    <s v="Not Cancelled"/>
    <x v="0"/>
    <x v="0"/>
  </r>
  <r>
    <n v="218715020"/>
    <x v="319"/>
    <x v="294"/>
    <x v="0"/>
    <n v="39"/>
    <s v="month"/>
    <n v="47"/>
    <x v="0"/>
    <x v="0"/>
  </r>
  <r>
    <n v="218701308"/>
    <x v="319"/>
    <x v="350"/>
    <x v="0"/>
    <n v="39"/>
    <s v="month"/>
    <n v="1"/>
    <x v="0"/>
    <x v="0"/>
  </r>
  <r>
    <n v="218979443"/>
    <x v="319"/>
    <x v="334"/>
    <x v="0"/>
    <n v="39"/>
    <s v="month"/>
    <n v="26"/>
    <x v="0"/>
    <x v="0"/>
  </r>
  <r>
    <n v="218543315"/>
    <x v="319"/>
    <x v="356"/>
    <x v="0"/>
    <n v="39"/>
    <s v="month"/>
    <n v="46"/>
    <x v="0"/>
    <x v="0"/>
  </r>
  <r>
    <n v="218281726"/>
    <x v="320"/>
    <x v="0"/>
    <x v="0"/>
    <n v="39"/>
    <s v="month"/>
    <s v="Not Cancelled"/>
    <x v="1"/>
    <x v="1"/>
  </r>
  <r>
    <n v="144972422"/>
    <x v="320"/>
    <x v="0"/>
    <x v="0"/>
    <n v="39"/>
    <s v="month"/>
    <s v="Not Cancelled"/>
    <x v="1"/>
    <x v="1"/>
  </r>
  <r>
    <n v="219017513"/>
    <x v="320"/>
    <x v="0"/>
    <x v="0"/>
    <n v="39"/>
    <s v="month"/>
    <s v="Not Cancelled"/>
    <x v="1"/>
    <x v="1"/>
  </r>
  <r>
    <n v="218096762"/>
    <x v="320"/>
    <x v="0"/>
    <x v="0"/>
    <n v="39"/>
    <s v="month"/>
    <s v="Not Cancelled"/>
    <x v="1"/>
    <x v="1"/>
  </r>
  <r>
    <n v="134289850"/>
    <x v="320"/>
    <x v="0"/>
    <x v="0"/>
    <n v="39"/>
    <s v="month"/>
    <s v="Not Cancelled"/>
    <x v="1"/>
    <x v="1"/>
  </r>
  <r>
    <n v="205210815"/>
    <x v="320"/>
    <x v="357"/>
    <x v="0"/>
    <n v="39"/>
    <s v="month"/>
    <n v="1"/>
    <x v="1"/>
    <x v="1"/>
  </r>
  <r>
    <n v="218684970"/>
    <x v="320"/>
    <x v="331"/>
    <x v="0"/>
    <n v="39"/>
    <s v="month"/>
    <n v="38"/>
    <x v="1"/>
    <x v="1"/>
  </r>
  <r>
    <n v="219045318"/>
    <x v="321"/>
    <x v="0"/>
    <x v="0"/>
    <n v="39"/>
    <s v="month"/>
    <s v="Not Cancelled"/>
    <x v="2"/>
    <x v="2"/>
  </r>
  <r>
    <n v="218428977"/>
    <x v="321"/>
    <x v="0"/>
    <x v="0"/>
    <n v="39"/>
    <s v="month"/>
    <s v="Not Cancelled"/>
    <x v="2"/>
    <x v="2"/>
  </r>
  <r>
    <n v="156587706"/>
    <x v="321"/>
    <x v="205"/>
    <x v="1"/>
    <n v="39"/>
    <s v="month"/>
    <n v="1"/>
    <x v="2"/>
    <x v="2"/>
  </r>
  <r>
    <n v="219034826"/>
    <x v="321"/>
    <x v="205"/>
    <x v="1"/>
    <n v="39"/>
    <s v="month"/>
    <n v="1"/>
    <x v="2"/>
    <x v="2"/>
  </r>
  <r>
    <n v="204380751"/>
    <x v="321"/>
    <x v="190"/>
    <x v="0"/>
    <n v="39"/>
    <s v="month"/>
    <n v="30"/>
    <x v="2"/>
    <x v="2"/>
  </r>
  <r>
    <n v="215315438"/>
    <x v="321"/>
    <x v="313"/>
    <x v="0"/>
    <n v="39"/>
    <s v="month"/>
    <n v="31"/>
    <x v="2"/>
    <x v="2"/>
  </r>
  <r>
    <n v="213774184"/>
    <x v="321"/>
    <x v="355"/>
    <x v="0"/>
    <n v="39"/>
    <s v="month"/>
    <n v="38"/>
    <x v="2"/>
    <x v="2"/>
  </r>
  <r>
    <n v="206121650"/>
    <x v="322"/>
    <x v="0"/>
    <x v="0"/>
    <n v="39"/>
    <s v="month"/>
    <s v="Not Cancelled"/>
    <x v="3"/>
    <x v="3"/>
  </r>
  <r>
    <n v="219059958"/>
    <x v="322"/>
    <x v="0"/>
    <x v="0"/>
    <n v="39"/>
    <s v="month"/>
    <s v="Not Cancelled"/>
    <x v="3"/>
    <x v="3"/>
  </r>
  <r>
    <n v="204639997"/>
    <x v="322"/>
    <x v="205"/>
    <x v="0"/>
    <n v="39"/>
    <s v="month"/>
    <n v="0"/>
    <x v="3"/>
    <x v="3"/>
  </r>
  <r>
    <n v="201817514"/>
    <x v="322"/>
    <x v="313"/>
    <x v="0"/>
    <n v="39"/>
    <s v="month"/>
    <n v="30"/>
    <x v="3"/>
    <x v="3"/>
  </r>
  <r>
    <n v="219065931"/>
    <x v="322"/>
    <x v="211"/>
    <x v="0"/>
    <n v="39"/>
    <s v="month"/>
    <n v="38"/>
    <x v="3"/>
    <x v="3"/>
  </r>
  <r>
    <n v="143627373"/>
    <x v="323"/>
    <x v="0"/>
    <x v="0"/>
    <n v="39"/>
    <s v="month"/>
    <s v="Not Cancelled"/>
    <x v="4"/>
    <x v="4"/>
  </r>
  <r>
    <n v="218675428"/>
    <x v="323"/>
    <x v="0"/>
    <x v="0"/>
    <n v="39"/>
    <s v="month"/>
    <s v="Not Cancelled"/>
    <x v="4"/>
    <x v="4"/>
  </r>
  <r>
    <n v="219057820"/>
    <x v="323"/>
    <x v="0"/>
    <x v="0"/>
    <n v="39"/>
    <s v="month"/>
    <s v="Not Cancelled"/>
    <x v="4"/>
    <x v="4"/>
  </r>
  <r>
    <n v="219115854"/>
    <x v="323"/>
    <x v="0"/>
    <x v="0"/>
    <n v="39"/>
    <s v="month"/>
    <s v="Not Cancelled"/>
    <x v="4"/>
    <x v="4"/>
  </r>
  <r>
    <n v="204826054"/>
    <x v="323"/>
    <x v="0"/>
    <x v="0"/>
    <n v="39"/>
    <s v="month"/>
    <s v="Not Cancelled"/>
    <x v="4"/>
    <x v="4"/>
  </r>
  <r>
    <n v="219072554"/>
    <x v="323"/>
    <x v="0"/>
    <x v="0"/>
    <n v="39"/>
    <s v="month"/>
    <s v="Not Cancelled"/>
    <x v="4"/>
    <x v="4"/>
  </r>
  <r>
    <n v="219088631"/>
    <x v="323"/>
    <x v="0"/>
    <x v="0"/>
    <n v="39"/>
    <s v="month"/>
    <s v="Not Cancelled"/>
    <x v="4"/>
    <x v="4"/>
  </r>
  <r>
    <n v="218861750"/>
    <x v="323"/>
    <x v="335"/>
    <x v="0"/>
    <n v="39"/>
    <s v="month"/>
    <n v="38"/>
    <x v="4"/>
    <x v="4"/>
  </r>
  <r>
    <n v="217513777"/>
    <x v="323"/>
    <x v="305"/>
    <x v="0"/>
    <n v="39"/>
    <s v="month"/>
    <n v="9"/>
    <x v="4"/>
    <x v="4"/>
  </r>
  <r>
    <n v="218805370"/>
    <x v="323"/>
    <x v="98"/>
    <x v="0"/>
    <n v="39"/>
    <s v="month"/>
    <n v="15"/>
    <x v="4"/>
    <x v="4"/>
  </r>
  <r>
    <n v="219128709"/>
    <x v="324"/>
    <x v="0"/>
    <x v="0"/>
    <n v="39"/>
    <s v="month"/>
    <s v="Not Cancelled"/>
    <x v="5"/>
    <x v="5"/>
  </r>
  <r>
    <n v="217998036"/>
    <x v="324"/>
    <x v="0"/>
    <x v="0"/>
    <n v="39"/>
    <s v="month"/>
    <s v="Not Cancelled"/>
    <x v="5"/>
    <x v="5"/>
  </r>
  <r>
    <n v="219100886"/>
    <x v="324"/>
    <x v="0"/>
    <x v="0"/>
    <n v="39"/>
    <s v="month"/>
    <s v="Not Cancelled"/>
    <x v="5"/>
    <x v="5"/>
  </r>
  <r>
    <n v="214586480"/>
    <x v="324"/>
    <x v="0"/>
    <x v="0"/>
    <n v="39"/>
    <s v="month"/>
    <s v="Not Cancelled"/>
    <x v="5"/>
    <x v="5"/>
  </r>
  <r>
    <n v="219110064"/>
    <x v="324"/>
    <x v="0"/>
    <x v="0"/>
    <n v="39"/>
    <s v="month"/>
    <s v="Not Cancelled"/>
    <x v="5"/>
    <x v="5"/>
  </r>
  <r>
    <n v="157374056"/>
    <x v="324"/>
    <x v="0"/>
    <x v="0"/>
    <n v="39"/>
    <s v="month"/>
    <s v="Not Cancelled"/>
    <x v="5"/>
    <x v="5"/>
  </r>
  <r>
    <n v="219058076"/>
    <x v="324"/>
    <x v="0"/>
    <x v="0"/>
    <n v="39"/>
    <s v="month"/>
    <s v="Not Cancelled"/>
    <x v="5"/>
    <x v="5"/>
  </r>
  <r>
    <n v="218011483"/>
    <x v="324"/>
    <x v="0"/>
    <x v="0"/>
    <n v="39"/>
    <s v="month"/>
    <s v="Not Cancelled"/>
    <x v="5"/>
    <x v="5"/>
  </r>
  <r>
    <n v="216543186"/>
    <x v="324"/>
    <x v="0"/>
    <x v="0"/>
    <n v="39"/>
    <s v="month"/>
    <s v="Not Cancelled"/>
    <x v="5"/>
    <x v="5"/>
  </r>
  <r>
    <n v="151239214"/>
    <x v="324"/>
    <x v="0"/>
    <x v="0"/>
    <n v="39"/>
    <s v="month"/>
    <s v="Not Cancelled"/>
    <x v="5"/>
    <x v="5"/>
  </r>
  <r>
    <n v="152760748"/>
    <x v="324"/>
    <x v="339"/>
    <x v="0"/>
    <n v="39"/>
    <s v="month"/>
    <n v="26"/>
    <x v="5"/>
    <x v="5"/>
  </r>
  <r>
    <n v="182102820"/>
    <x v="324"/>
    <x v="318"/>
    <x v="0"/>
    <n v="39"/>
    <s v="month"/>
    <n v="38"/>
    <x v="5"/>
    <x v="5"/>
  </r>
  <r>
    <n v="215005163"/>
    <x v="324"/>
    <x v="351"/>
    <x v="0"/>
    <n v="39"/>
    <s v="month"/>
    <n v="23"/>
    <x v="5"/>
    <x v="5"/>
  </r>
  <r>
    <n v="219136846"/>
    <x v="324"/>
    <x v="305"/>
    <x v="0"/>
    <n v="39"/>
    <s v="month"/>
    <n v="8"/>
    <x v="5"/>
    <x v="5"/>
  </r>
  <r>
    <n v="218795222"/>
    <x v="324"/>
    <x v="225"/>
    <x v="0"/>
    <n v="39"/>
    <s v="month"/>
    <n v="29"/>
    <x v="5"/>
    <x v="5"/>
  </r>
  <r>
    <n v="208706876"/>
    <x v="324"/>
    <x v="190"/>
    <x v="0"/>
    <n v="39"/>
    <s v="month"/>
    <n v="27"/>
    <x v="5"/>
    <x v="5"/>
  </r>
  <r>
    <n v="218701308"/>
    <x v="324"/>
    <x v="318"/>
    <x v="0"/>
    <n v="39"/>
    <s v="month"/>
    <n v="38"/>
    <x v="5"/>
    <x v="5"/>
  </r>
  <r>
    <n v="219136623"/>
    <x v="324"/>
    <x v="318"/>
    <x v="0"/>
    <n v="39"/>
    <s v="month"/>
    <n v="38"/>
    <x v="5"/>
    <x v="5"/>
  </r>
  <r>
    <n v="219153922"/>
    <x v="325"/>
    <x v="0"/>
    <x v="0"/>
    <n v="39"/>
    <s v="month"/>
    <s v="Not Cancelled"/>
    <x v="6"/>
    <x v="6"/>
  </r>
  <r>
    <n v="165529460"/>
    <x v="325"/>
    <x v="0"/>
    <x v="0"/>
    <n v="39"/>
    <s v="month"/>
    <s v="Not Cancelled"/>
    <x v="6"/>
    <x v="6"/>
  </r>
  <r>
    <n v="218715792"/>
    <x v="325"/>
    <x v="0"/>
    <x v="0"/>
    <n v="39"/>
    <s v="month"/>
    <s v="Not Cancelled"/>
    <x v="6"/>
    <x v="6"/>
  </r>
  <r>
    <n v="218985028"/>
    <x v="325"/>
    <x v="0"/>
    <x v="0"/>
    <n v="39"/>
    <s v="month"/>
    <s v="Not Cancelled"/>
    <x v="6"/>
    <x v="6"/>
  </r>
  <r>
    <n v="218986352"/>
    <x v="325"/>
    <x v="0"/>
    <x v="0"/>
    <n v="39"/>
    <s v="month"/>
    <s v="Not Cancelled"/>
    <x v="6"/>
    <x v="6"/>
  </r>
  <r>
    <n v="219152822"/>
    <x v="325"/>
    <x v="294"/>
    <x v="0"/>
    <n v="39"/>
    <s v="month"/>
    <n v="41"/>
    <x v="6"/>
    <x v="6"/>
  </r>
  <r>
    <n v="219084587"/>
    <x v="325"/>
    <x v="282"/>
    <x v="1"/>
    <n v="39"/>
    <s v="month"/>
    <n v="1"/>
    <x v="6"/>
    <x v="6"/>
  </r>
  <r>
    <n v="219200064"/>
    <x v="325"/>
    <x v="352"/>
    <x v="0"/>
    <n v="39"/>
    <s v="month"/>
    <n v="38"/>
    <x v="6"/>
    <x v="6"/>
  </r>
  <r>
    <n v="219224963"/>
    <x v="326"/>
    <x v="0"/>
    <x v="0"/>
    <n v="39"/>
    <s v="month"/>
    <s v="Not Cancelled"/>
    <x v="0"/>
    <x v="0"/>
  </r>
  <r>
    <n v="219172302"/>
    <x v="326"/>
    <x v="0"/>
    <x v="0"/>
    <n v="39"/>
    <s v="month"/>
    <s v="Not Cancelled"/>
    <x v="0"/>
    <x v="0"/>
  </r>
  <r>
    <n v="219244336"/>
    <x v="326"/>
    <x v="0"/>
    <x v="0"/>
    <n v="39"/>
    <s v="month"/>
    <s v="Not Cancelled"/>
    <x v="0"/>
    <x v="0"/>
  </r>
  <r>
    <n v="150342446"/>
    <x v="326"/>
    <x v="0"/>
    <x v="0"/>
    <n v="39"/>
    <s v="month"/>
    <s v="Not Cancelled"/>
    <x v="0"/>
    <x v="0"/>
  </r>
  <r>
    <n v="210432172"/>
    <x v="326"/>
    <x v="0"/>
    <x v="0"/>
    <n v="39"/>
    <s v="month"/>
    <s v="Not Cancelled"/>
    <x v="0"/>
    <x v="0"/>
  </r>
  <r>
    <n v="145614180"/>
    <x v="326"/>
    <x v="0"/>
    <x v="0"/>
    <n v="39"/>
    <s v="month"/>
    <s v="Not Cancelled"/>
    <x v="0"/>
    <x v="0"/>
  </r>
  <r>
    <n v="218318466"/>
    <x v="326"/>
    <x v="0"/>
    <x v="0"/>
    <n v="39"/>
    <s v="month"/>
    <s v="Not Cancelled"/>
    <x v="0"/>
    <x v="0"/>
  </r>
  <r>
    <n v="131984682"/>
    <x v="326"/>
    <x v="0"/>
    <x v="0"/>
    <n v="39"/>
    <s v="month"/>
    <s v="Not Cancelled"/>
    <x v="0"/>
    <x v="0"/>
  </r>
  <r>
    <n v="219243156"/>
    <x v="326"/>
    <x v="282"/>
    <x v="0"/>
    <n v="39"/>
    <s v="month"/>
    <n v="0"/>
    <x v="0"/>
    <x v="0"/>
  </r>
  <r>
    <n v="219301778"/>
    <x v="327"/>
    <x v="0"/>
    <x v="0"/>
    <n v="39"/>
    <s v="month"/>
    <s v="Not Cancelled"/>
    <x v="1"/>
    <x v="1"/>
  </r>
  <r>
    <n v="153004062"/>
    <x v="327"/>
    <x v="0"/>
    <x v="0"/>
    <n v="39"/>
    <s v="month"/>
    <s v="Not Cancelled"/>
    <x v="1"/>
    <x v="1"/>
  </r>
  <r>
    <n v="151015350"/>
    <x v="327"/>
    <x v="0"/>
    <x v="0"/>
    <n v="39"/>
    <s v="month"/>
    <s v="Not Cancelled"/>
    <x v="1"/>
    <x v="1"/>
  </r>
  <r>
    <n v="147696294"/>
    <x v="327"/>
    <x v="0"/>
    <x v="0"/>
    <n v="39"/>
    <s v="month"/>
    <s v="Not Cancelled"/>
    <x v="1"/>
    <x v="1"/>
  </r>
  <r>
    <n v="218255956"/>
    <x v="327"/>
    <x v="0"/>
    <x v="0"/>
    <n v="39"/>
    <s v="month"/>
    <s v="Not Cancelled"/>
    <x v="1"/>
    <x v="1"/>
  </r>
  <r>
    <n v="218510841"/>
    <x v="327"/>
    <x v="0"/>
    <x v="0"/>
    <n v="39"/>
    <s v="month"/>
    <s v="Not Cancelled"/>
    <x v="1"/>
    <x v="1"/>
  </r>
  <r>
    <n v="130864124"/>
    <x v="327"/>
    <x v="0"/>
    <x v="0"/>
    <n v="39"/>
    <s v="month"/>
    <s v="Not Cancelled"/>
    <x v="1"/>
    <x v="1"/>
  </r>
  <r>
    <n v="219194059"/>
    <x v="327"/>
    <x v="0"/>
    <x v="0"/>
    <n v="39"/>
    <s v="month"/>
    <s v="Not Cancelled"/>
    <x v="1"/>
    <x v="1"/>
  </r>
  <r>
    <n v="219254134"/>
    <x v="327"/>
    <x v="0"/>
    <x v="0"/>
    <n v="39"/>
    <s v="month"/>
    <s v="Not Cancelled"/>
    <x v="1"/>
    <x v="1"/>
  </r>
  <r>
    <n v="215881016"/>
    <x v="327"/>
    <x v="0"/>
    <x v="0"/>
    <n v="39"/>
    <s v="month"/>
    <s v="Not Cancelled"/>
    <x v="1"/>
    <x v="1"/>
  </r>
  <r>
    <n v="217361520"/>
    <x v="327"/>
    <x v="0"/>
    <x v="0"/>
    <n v="39"/>
    <s v="month"/>
    <s v="Not Cancelled"/>
    <x v="1"/>
    <x v="1"/>
  </r>
  <r>
    <n v="219265654"/>
    <x v="327"/>
    <x v="0"/>
    <x v="0"/>
    <n v="39"/>
    <s v="month"/>
    <s v="Not Cancelled"/>
    <x v="1"/>
    <x v="1"/>
  </r>
  <r>
    <n v="175491846"/>
    <x v="327"/>
    <x v="360"/>
    <x v="0"/>
    <n v="39"/>
    <s v="month"/>
    <n v="1"/>
    <x v="1"/>
    <x v="1"/>
  </r>
  <r>
    <n v="212603850"/>
    <x v="327"/>
    <x v="262"/>
    <x v="0"/>
    <n v="39"/>
    <s v="month"/>
    <n v="29"/>
    <x v="1"/>
    <x v="1"/>
  </r>
  <r>
    <n v="219307145"/>
    <x v="328"/>
    <x v="0"/>
    <x v="0"/>
    <n v="39"/>
    <s v="month"/>
    <s v="Not Cancelled"/>
    <x v="2"/>
    <x v="2"/>
  </r>
  <r>
    <n v="212937420"/>
    <x v="328"/>
    <x v="294"/>
    <x v="0"/>
    <n v="39"/>
    <s v="month"/>
    <n v="38"/>
    <x v="2"/>
    <x v="2"/>
  </r>
  <r>
    <n v="219318511"/>
    <x v="328"/>
    <x v="63"/>
    <x v="0"/>
    <n v="39"/>
    <s v="month"/>
    <n v="20"/>
    <x v="2"/>
    <x v="2"/>
  </r>
  <r>
    <n v="218513479"/>
    <x v="328"/>
    <x v="333"/>
    <x v="0"/>
    <n v="39"/>
    <s v="month"/>
    <n v="27"/>
    <x v="2"/>
    <x v="2"/>
  </r>
  <r>
    <n v="219301764"/>
    <x v="328"/>
    <x v="66"/>
    <x v="0"/>
    <n v="39"/>
    <s v="month"/>
    <n v="29"/>
    <x v="2"/>
    <x v="2"/>
  </r>
  <r>
    <n v="125038257"/>
    <x v="329"/>
    <x v="0"/>
    <x v="0"/>
    <n v="39"/>
    <s v="month"/>
    <s v="Not Cancelled"/>
    <x v="3"/>
    <x v="3"/>
  </r>
  <r>
    <n v="217813451"/>
    <x v="329"/>
    <x v="0"/>
    <x v="0"/>
    <n v="39"/>
    <s v="month"/>
    <s v="Not Cancelled"/>
    <x v="3"/>
    <x v="3"/>
  </r>
  <r>
    <n v="162859352"/>
    <x v="329"/>
    <x v="296"/>
    <x v="1"/>
    <n v="39"/>
    <s v="month"/>
    <n v="1"/>
    <x v="3"/>
    <x v="3"/>
  </r>
  <r>
    <n v="146923161"/>
    <x v="329"/>
    <x v="349"/>
    <x v="0"/>
    <n v="39"/>
    <s v="month"/>
    <n v="38"/>
    <x v="3"/>
    <x v="3"/>
  </r>
  <r>
    <n v="206699284"/>
    <x v="329"/>
    <x v="331"/>
    <x v="0"/>
    <n v="39"/>
    <s v="month"/>
    <n v="29"/>
    <x v="3"/>
    <x v="3"/>
  </r>
  <r>
    <n v="219330169"/>
    <x v="329"/>
    <x v="331"/>
    <x v="0"/>
    <n v="39"/>
    <s v="month"/>
    <n v="29"/>
    <x v="3"/>
    <x v="3"/>
  </r>
  <r>
    <n v="219404710"/>
    <x v="330"/>
    <x v="0"/>
    <x v="0"/>
    <n v="39"/>
    <s v="month"/>
    <s v="Not Cancelled"/>
    <x v="4"/>
    <x v="4"/>
  </r>
  <r>
    <n v="219402896"/>
    <x v="330"/>
    <x v="0"/>
    <x v="0"/>
    <n v="39"/>
    <s v="month"/>
    <s v="Not Cancelled"/>
    <x v="4"/>
    <x v="4"/>
  </r>
  <r>
    <n v="214129448"/>
    <x v="330"/>
    <x v="0"/>
    <x v="0"/>
    <n v="39"/>
    <s v="month"/>
    <s v="Not Cancelled"/>
    <x v="4"/>
    <x v="4"/>
  </r>
  <r>
    <n v="219218929"/>
    <x v="330"/>
    <x v="0"/>
    <x v="0"/>
    <n v="39"/>
    <s v="month"/>
    <s v="Not Cancelled"/>
    <x v="4"/>
    <x v="4"/>
  </r>
  <r>
    <n v="219385880"/>
    <x v="330"/>
    <x v="0"/>
    <x v="0"/>
    <n v="39"/>
    <s v="month"/>
    <s v="Not Cancelled"/>
    <x v="4"/>
    <x v="4"/>
  </r>
  <r>
    <n v="219368039"/>
    <x v="330"/>
    <x v="0"/>
    <x v="0"/>
    <n v="39"/>
    <s v="month"/>
    <s v="Not Cancelled"/>
    <x v="4"/>
    <x v="4"/>
  </r>
  <r>
    <n v="219328313"/>
    <x v="330"/>
    <x v="0"/>
    <x v="0"/>
    <n v="39"/>
    <s v="month"/>
    <s v="Not Cancelled"/>
    <x v="4"/>
    <x v="4"/>
  </r>
  <r>
    <n v="219185386"/>
    <x v="330"/>
    <x v="222"/>
    <x v="1"/>
    <n v="39"/>
    <s v="month"/>
    <n v="1"/>
    <x v="4"/>
    <x v="4"/>
  </r>
  <r>
    <n v="183712256"/>
    <x v="330"/>
    <x v="98"/>
    <x v="0"/>
    <n v="39"/>
    <s v="month"/>
    <n v="8"/>
    <x v="4"/>
    <x v="4"/>
  </r>
  <r>
    <n v="217624207"/>
    <x v="331"/>
    <x v="0"/>
    <x v="0"/>
    <n v="39"/>
    <s v="month"/>
    <s v="Not Cancelled"/>
    <x v="5"/>
    <x v="5"/>
  </r>
  <r>
    <n v="218938921"/>
    <x v="331"/>
    <x v="0"/>
    <x v="0"/>
    <n v="39"/>
    <s v="month"/>
    <s v="Not Cancelled"/>
    <x v="5"/>
    <x v="5"/>
  </r>
  <r>
    <n v="147145693"/>
    <x v="331"/>
    <x v="0"/>
    <x v="0"/>
    <n v="39"/>
    <s v="month"/>
    <s v="Not Cancelled"/>
    <x v="5"/>
    <x v="5"/>
  </r>
  <r>
    <n v="218459038"/>
    <x v="331"/>
    <x v="0"/>
    <x v="0"/>
    <n v="39"/>
    <s v="month"/>
    <s v="Not Cancelled"/>
    <x v="5"/>
    <x v="5"/>
  </r>
  <r>
    <n v="219395734"/>
    <x v="331"/>
    <x v="0"/>
    <x v="0"/>
    <n v="39"/>
    <s v="month"/>
    <s v="Not Cancelled"/>
    <x v="5"/>
    <x v="5"/>
  </r>
  <r>
    <n v="219413956"/>
    <x v="331"/>
    <x v="0"/>
    <x v="0"/>
    <n v="39"/>
    <s v="month"/>
    <s v="Not Cancelled"/>
    <x v="5"/>
    <x v="5"/>
  </r>
  <r>
    <n v="218562434"/>
    <x v="331"/>
    <x v="318"/>
    <x v="0"/>
    <n v="39"/>
    <s v="month"/>
    <n v="31"/>
    <x v="5"/>
    <x v="5"/>
  </r>
  <r>
    <n v="135521927"/>
    <x v="331"/>
    <x v="352"/>
    <x v="0"/>
    <n v="39"/>
    <s v="month"/>
    <n v="32"/>
    <x v="5"/>
    <x v="5"/>
  </r>
  <r>
    <n v="157035378"/>
    <x v="331"/>
    <x v="335"/>
    <x v="0"/>
    <n v="39"/>
    <s v="month"/>
    <n v="30"/>
    <x v="5"/>
    <x v="5"/>
  </r>
  <r>
    <n v="219382434"/>
    <x v="331"/>
    <x v="335"/>
    <x v="0"/>
    <n v="39"/>
    <s v="month"/>
    <n v="30"/>
    <x v="5"/>
    <x v="5"/>
  </r>
  <r>
    <n v="208762353"/>
    <x v="332"/>
    <x v="0"/>
    <x v="0"/>
    <n v="39"/>
    <s v="month"/>
    <s v="Not Cancelled"/>
    <x v="6"/>
    <x v="6"/>
  </r>
  <r>
    <n v="218346336"/>
    <x v="332"/>
    <x v="0"/>
    <x v="0"/>
    <n v="39"/>
    <s v="month"/>
    <s v="Not Cancelled"/>
    <x v="6"/>
    <x v="6"/>
  </r>
  <r>
    <n v="219226230"/>
    <x v="332"/>
    <x v="0"/>
    <x v="0"/>
    <n v="39"/>
    <s v="month"/>
    <s v="Not Cancelled"/>
    <x v="6"/>
    <x v="6"/>
  </r>
  <r>
    <n v="219369515"/>
    <x v="332"/>
    <x v="0"/>
    <x v="0"/>
    <n v="39"/>
    <s v="month"/>
    <s v="Not Cancelled"/>
    <x v="6"/>
    <x v="6"/>
  </r>
  <r>
    <n v="204947361"/>
    <x v="332"/>
    <x v="0"/>
    <x v="0"/>
    <n v="39"/>
    <s v="month"/>
    <s v="Not Cancelled"/>
    <x v="6"/>
    <x v="6"/>
  </r>
  <r>
    <n v="212977568"/>
    <x v="332"/>
    <x v="0"/>
    <x v="0"/>
    <n v="39"/>
    <s v="month"/>
    <s v="Not Cancelled"/>
    <x v="6"/>
    <x v="6"/>
  </r>
  <r>
    <n v="217981717"/>
    <x v="332"/>
    <x v="0"/>
    <x v="0"/>
    <n v="39"/>
    <s v="month"/>
    <s v="Not Cancelled"/>
    <x v="6"/>
    <x v="6"/>
  </r>
  <r>
    <n v="219459089"/>
    <x v="332"/>
    <x v="0"/>
    <x v="0"/>
    <n v="39"/>
    <s v="month"/>
    <s v="Not Cancelled"/>
    <x v="6"/>
    <x v="6"/>
  </r>
  <r>
    <n v="193483420"/>
    <x v="332"/>
    <x v="0"/>
    <x v="0"/>
    <n v="39"/>
    <s v="month"/>
    <s v="Not Cancelled"/>
    <x v="6"/>
    <x v="6"/>
  </r>
  <r>
    <n v="219496362"/>
    <x v="332"/>
    <x v="356"/>
    <x v="0"/>
    <n v="39"/>
    <s v="month"/>
    <n v="33"/>
    <x v="6"/>
    <x v="6"/>
  </r>
  <r>
    <n v="219398902"/>
    <x v="332"/>
    <x v="294"/>
    <x v="0"/>
    <n v="39"/>
    <s v="month"/>
    <n v="34"/>
    <x v="6"/>
    <x v="6"/>
  </r>
  <r>
    <n v="219497152"/>
    <x v="332"/>
    <x v="225"/>
    <x v="0"/>
    <n v="39"/>
    <s v="month"/>
    <n v="21"/>
    <x v="6"/>
    <x v="6"/>
  </r>
  <r>
    <n v="188426619"/>
    <x v="332"/>
    <x v="318"/>
    <x v="0"/>
    <n v="39"/>
    <s v="month"/>
    <n v="30"/>
    <x v="6"/>
    <x v="6"/>
  </r>
  <r>
    <n v="219470485"/>
    <x v="332"/>
    <x v="55"/>
    <x v="0"/>
    <n v="39"/>
    <s v="month"/>
    <n v="14"/>
    <x v="6"/>
    <x v="6"/>
  </r>
  <r>
    <n v="219460783"/>
    <x v="332"/>
    <x v="331"/>
    <x v="0"/>
    <n v="39"/>
    <s v="month"/>
    <n v="26"/>
    <x v="6"/>
    <x v="6"/>
  </r>
  <r>
    <n v="219512722"/>
    <x v="333"/>
    <x v="0"/>
    <x v="0"/>
    <n v="39"/>
    <s v="month"/>
    <s v="Not Cancelled"/>
    <x v="0"/>
    <x v="0"/>
  </r>
  <r>
    <n v="199393176"/>
    <x v="333"/>
    <x v="0"/>
    <x v="0"/>
    <n v="39"/>
    <s v="month"/>
    <s v="Not Cancelled"/>
    <x v="0"/>
    <x v="0"/>
  </r>
  <r>
    <n v="217368686"/>
    <x v="333"/>
    <x v="0"/>
    <x v="0"/>
    <n v="39"/>
    <s v="month"/>
    <s v="Not Cancelled"/>
    <x v="0"/>
    <x v="0"/>
  </r>
  <r>
    <n v="218247056"/>
    <x v="333"/>
    <x v="0"/>
    <x v="0"/>
    <n v="39"/>
    <s v="month"/>
    <s v="Not Cancelled"/>
    <x v="0"/>
    <x v="0"/>
  </r>
  <r>
    <n v="219439239"/>
    <x v="333"/>
    <x v="0"/>
    <x v="0"/>
    <n v="39"/>
    <s v="month"/>
    <s v="Not Cancelled"/>
    <x v="0"/>
    <x v="0"/>
  </r>
  <r>
    <n v="188206991"/>
    <x v="333"/>
    <x v="0"/>
    <x v="0"/>
    <n v="39"/>
    <s v="month"/>
    <s v="Not Cancelled"/>
    <x v="0"/>
    <x v="0"/>
  </r>
  <r>
    <n v="206470657"/>
    <x v="333"/>
    <x v="0"/>
    <x v="0"/>
    <n v="39"/>
    <s v="month"/>
    <s v="Not Cancelled"/>
    <x v="0"/>
    <x v="0"/>
  </r>
  <r>
    <n v="218706730"/>
    <x v="333"/>
    <x v="0"/>
    <x v="0"/>
    <n v="39"/>
    <s v="month"/>
    <s v="Not Cancelled"/>
    <x v="0"/>
    <x v="0"/>
  </r>
  <r>
    <n v="219512680"/>
    <x v="333"/>
    <x v="0"/>
    <x v="0"/>
    <n v="39"/>
    <s v="month"/>
    <s v="Not Cancelled"/>
    <x v="0"/>
    <x v="0"/>
  </r>
  <r>
    <n v="125335731"/>
    <x v="333"/>
    <x v="0"/>
    <x v="0"/>
    <n v="39"/>
    <s v="month"/>
    <s v="Not Cancelled"/>
    <x v="0"/>
    <x v="0"/>
  </r>
  <r>
    <n v="160598122"/>
    <x v="333"/>
    <x v="0"/>
    <x v="0"/>
    <n v="39"/>
    <s v="month"/>
    <s v="Not Cancelled"/>
    <x v="0"/>
    <x v="0"/>
  </r>
  <r>
    <n v="218414156"/>
    <x v="333"/>
    <x v="0"/>
    <x v="0"/>
    <n v="39"/>
    <s v="month"/>
    <s v="Not Cancelled"/>
    <x v="0"/>
    <x v="0"/>
  </r>
  <r>
    <n v="206455504"/>
    <x v="333"/>
    <x v="318"/>
    <x v="0"/>
    <n v="39"/>
    <s v="month"/>
    <n v="29"/>
    <x v="0"/>
    <x v="0"/>
  </r>
  <r>
    <n v="202589094"/>
    <x v="333"/>
    <x v="302"/>
    <x v="0"/>
    <n v="39"/>
    <s v="month"/>
    <n v="31"/>
    <x v="0"/>
    <x v="0"/>
  </r>
  <r>
    <n v="129747676"/>
    <x v="333"/>
    <x v="349"/>
    <x v="0"/>
    <n v="39"/>
    <s v="month"/>
    <n v="34"/>
    <x v="0"/>
    <x v="0"/>
  </r>
  <r>
    <n v="219511614"/>
    <x v="333"/>
    <x v="318"/>
    <x v="0"/>
    <n v="39"/>
    <s v="month"/>
    <n v="29"/>
    <x v="0"/>
    <x v="0"/>
  </r>
  <r>
    <n v="219491158"/>
    <x v="334"/>
    <x v="0"/>
    <x v="0"/>
    <n v="39"/>
    <s v="month"/>
    <s v="Not Cancelled"/>
    <x v="1"/>
    <x v="1"/>
  </r>
  <r>
    <n v="218790626"/>
    <x v="334"/>
    <x v="0"/>
    <x v="0"/>
    <n v="39"/>
    <s v="month"/>
    <s v="Not Cancelled"/>
    <x v="1"/>
    <x v="1"/>
  </r>
  <r>
    <n v="219476808"/>
    <x v="334"/>
    <x v="0"/>
    <x v="0"/>
    <n v="39"/>
    <s v="month"/>
    <s v="Not Cancelled"/>
    <x v="1"/>
    <x v="1"/>
  </r>
  <r>
    <n v="218585706"/>
    <x v="334"/>
    <x v="0"/>
    <x v="0"/>
    <n v="39"/>
    <s v="month"/>
    <s v="Not Cancelled"/>
    <x v="1"/>
    <x v="1"/>
  </r>
  <r>
    <n v="219316901"/>
    <x v="334"/>
    <x v="0"/>
    <x v="0"/>
    <n v="39"/>
    <s v="month"/>
    <s v="Not Cancelled"/>
    <x v="1"/>
    <x v="1"/>
  </r>
  <r>
    <n v="217724278"/>
    <x v="334"/>
    <x v="0"/>
    <x v="0"/>
    <n v="39"/>
    <s v="month"/>
    <s v="Not Cancelled"/>
    <x v="1"/>
    <x v="1"/>
  </r>
  <r>
    <n v="155869412"/>
    <x v="334"/>
    <x v="0"/>
    <x v="0"/>
    <n v="39"/>
    <s v="month"/>
    <s v="Not Cancelled"/>
    <x v="1"/>
    <x v="1"/>
  </r>
  <r>
    <n v="164535832"/>
    <x v="334"/>
    <x v="0"/>
    <x v="0"/>
    <n v="39"/>
    <s v="month"/>
    <s v="Not Cancelled"/>
    <x v="1"/>
    <x v="1"/>
  </r>
  <r>
    <n v="219388064"/>
    <x v="334"/>
    <x v="0"/>
    <x v="0"/>
    <n v="39"/>
    <s v="month"/>
    <s v="Not Cancelled"/>
    <x v="1"/>
    <x v="1"/>
  </r>
  <r>
    <n v="218884048"/>
    <x v="334"/>
    <x v="313"/>
    <x v="0"/>
    <n v="39"/>
    <s v="month"/>
    <n v="18"/>
    <x v="1"/>
    <x v="1"/>
  </r>
  <r>
    <n v="219603078"/>
    <x v="335"/>
    <x v="0"/>
    <x v="0"/>
    <n v="39"/>
    <s v="month"/>
    <s v="Not Cancelled"/>
    <x v="2"/>
    <x v="2"/>
  </r>
  <r>
    <n v="219146842"/>
    <x v="335"/>
    <x v="0"/>
    <x v="0"/>
    <n v="39"/>
    <s v="month"/>
    <s v="Not Cancelled"/>
    <x v="2"/>
    <x v="2"/>
  </r>
  <r>
    <n v="206676416"/>
    <x v="335"/>
    <x v="0"/>
    <x v="0"/>
    <n v="39"/>
    <s v="month"/>
    <s v="Not Cancelled"/>
    <x v="2"/>
    <x v="2"/>
  </r>
  <r>
    <n v="219615770"/>
    <x v="335"/>
    <x v="0"/>
    <x v="0"/>
    <n v="39"/>
    <s v="month"/>
    <s v="Not Cancelled"/>
    <x v="2"/>
    <x v="2"/>
  </r>
  <r>
    <n v="219630379"/>
    <x v="336"/>
    <x v="0"/>
    <x v="0"/>
    <n v="39"/>
    <s v="month"/>
    <s v="Not Cancelled"/>
    <x v="3"/>
    <x v="3"/>
  </r>
  <r>
    <n v="145096572"/>
    <x v="336"/>
    <x v="0"/>
    <x v="0"/>
    <n v="39"/>
    <s v="month"/>
    <s v="Not Cancelled"/>
    <x v="3"/>
    <x v="3"/>
  </r>
  <r>
    <n v="144005898"/>
    <x v="336"/>
    <x v="0"/>
    <x v="0"/>
    <n v="39"/>
    <s v="month"/>
    <s v="Not Cancelled"/>
    <x v="3"/>
    <x v="3"/>
  </r>
  <r>
    <n v="215189020"/>
    <x v="336"/>
    <x v="0"/>
    <x v="0"/>
    <n v="39"/>
    <s v="month"/>
    <s v="Not Cancelled"/>
    <x v="3"/>
    <x v="3"/>
  </r>
  <r>
    <n v="188354637"/>
    <x v="336"/>
    <x v="339"/>
    <x v="0"/>
    <n v="39"/>
    <s v="month"/>
    <n v="14"/>
    <x v="3"/>
    <x v="3"/>
  </r>
  <r>
    <n v="219668475"/>
    <x v="337"/>
    <x v="0"/>
    <x v="0"/>
    <n v="39"/>
    <s v="month"/>
    <s v="Not Cancelled"/>
    <x v="4"/>
    <x v="4"/>
  </r>
  <r>
    <n v="219495361"/>
    <x v="337"/>
    <x v="0"/>
    <x v="0"/>
    <n v="39"/>
    <s v="month"/>
    <s v="Not Cancelled"/>
    <x v="4"/>
    <x v="4"/>
  </r>
  <r>
    <n v="219672587"/>
    <x v="337"/>
    <x v="0"/>
    <x v="0"/>
    <n v="39"/>
    <s v="month"/>
    <s v="Not Cancelled"/>
    <x v="4"/>
    <x v="4"/>
  </r>
  <r>
    <n v="218556897"/>
    <x v="337"/>
    <x v="98"/>
    <x v="0"/>
    <n v="39"/>
    <s v="month"/>
    <n v="1"/>
    <x v="4"/>
    <x v="4"/>
  </r>
  <r>
    <n v="219467082"/>
    <x v="337"/>
    <x v="334"/>
    <x v="0"/>
    <n v="39"/>
    <s v="month"/>
    <n v="8"/>
    <x v="4"/>
    <x v="4"/>
  </r>
  <r>
    <n v="139353407"/>
    <x v="338"/>
    <x v="0"/>
    <x v="0"/>
    <n v="39"/>
    <s v="month"/>
    <s v="Not Cancelled"/>
    <x v="5"/>
    <x v="5"/>
  </r>
  <r>
    <n v="219734945"/>
    <x v="338"/>
    <x v="0"/>
    <x v="0"/>
    <n v="39"/>
    <s v="month"/>
    <s v="Not Cancelled"/>
    <x v="5"/>
    <x v="5"/>
  </r>
  <r>
    <n v="219735949"/>
    <x v="338"/>
    <x v="0"/>
    <x v="0"/>
    <n v="39"/>
    <s v="month"/>
    <s v="Not Cancelled"/>
    <x v="5"/>
    <x v="5"/>
  </r>
  <r>
    <n v="219688361"/>
    <x v="338"/>
    <x v="0"/>
    <x v="0"/>
    <n v="39"/>
    <s v="month"/>
    <s v="Not Cancelled"/>
    <x v="5"/>
    <x v="5"/>
  </r>
  <r>
    <n v="219447968"/>
    <x v="338"/>
    <x v="0"/>
    <x v="0"/>
    <n v="39"/>
    <s v="month"/>
    <s v="Not Cancelled"/>
    <x v="5"/>
    <x v="5"/>
  </r>
  <r>
    <n v="219583682"/>
    <x v="338"/>
    <x v="0"/>
    <x v="0"/>
    <n v="39"/>
    <s v="month"/>
    <s v="Not Cancelled"/>
    <x v="5"/>
    <x v="5"/>
  </r>
  <r>
    <n v="217638566"/>
    <x v="338"/>
    <x v="0"/>
    <x v="0"/>
    <n v="39"/>
    <s v="month"/>
    <s v="Not Cancelled"/>
    <x v="5"/>
    <x v="5"/>
  </r>
  <r>
    <n v="219716268"/>
    <x v="338"/>
    <x v="0"/>
    <x v="0"/>
    <n v="39"/>
    <s v="month"/>
    <s v="Not Cancelled"/>
    <x v="5"/>
    <x v="5"/>
  </r>
  <r>
    <n v="219713718"/>
    <x v="338"/>
    <x v="0"/>
    <x v="0"/>
    <n v="39"/>
    <s v="month"/>
    <s v="Not Cancelled"/>
    <x v="5"/>
    <x v="5"/>
  </r>
  <r>
    <n v="219707178"/>
    <x v="338"/>
    <x v="0"/>
    <x v="0"/>
    <n v="39"/>
    <s v="month"/>
    <s v="Not Cancelled"/>
    <x v="5"/>
    <x v="5"/>
  </r>
  <r>
    <n v="219747148"/>
    <x v="338"/>
    <x v="98"/>
    <x v="0"/>
    <n v="39"/>
    <s v="month"/>
    <n v="0"/>
    <x v="5"/>
    <x v="5"/>
  </r>
  <r>
    <n v="219710700"/>
    <x v="338"/>
    <x v="351"/>
    <x v="0"/>
    <n v="39"/>
    <s v="month"/>
    <n v="9"/>
    <x v="5"/>
    <x v="5"/>
  </r>
  <r>
    <n v="160883429"/>
    <x v="339"/>
    <x v="0"/>
    <x v="0"/>
    <n v="39"/>
    <s v="month"/>
    <s v="Not Cancelled"/>
    <x v="6"/>
    <x v="6"/>
  </r>
  <r>
    <n v="218556897"/>
    <x v="339"/>
    <x v="0"/>
    <x v="0"/>
    <n v="39"/>
    <s v="month"/>
    <s v="Not Cancelled"/>
    <x v="6"/>
    <x v="6"/>
  </r>
  <r>
    <n v="219779586"/>
    <x v="339"/>
    <x v="0"/>
    <x v="0"/>
    <n v="39"/>
    <s v="month"/>
    <s v="Not Cancelled"/>
    <x v="6"/>
    <x v="6"/>
  </r>
  <r>
    <n v="219437804"/>
    <x v="339"/>
    <x v="0"/>
    <x v="0"/>
    <n v="39"/>
    <s v="month"/>
    <s v="Not Cancelled"/>
    <x v="6"/>
    <x v="6"/>
  </r>
  <r>
    <n v="206402783"/>
    <x v="339"/>
    <x v="0"/>
    <x v="0"/>
    <n v="39"/>
    <s v="month"/>
    <s v="Not Cancelled"/>
    <x v="6"/>
    <x v="6"/>
  </r>
  <r>
    <n v="178419414"/>
    <x v="339"/>
    <x v="0"/>
    <x v="0"/>
    <n v="39"/>
    <s v="month"/>
    <s v="Not Cancelled"/>
    <x v="6"/>
    <x v="6"/>
  </r>
  <r>
    <n v="219719416"/>
    <x v="339"/>
    <x v="0"/>
    <x v="0"/>
    <n v="39"/>
    <s v="month"/>
    <s v="Not Cancelled"/>
    <x v="6"/>
    <x v="6"/>
  </r>
  <r>
    <n v="156558244"/>
    <x v="339"/>
    <x v="0"/>
    <x v="0"/>
    <n v="39"/>
    <s v="month"/>
    <s v="Not Cancelled"/>
    <x v="6"/>
    <x v="6"/>
  </r>
  <r>
    <n v="215602271"/>
    <x v="339"/>
    <x v="334"/>
    <x v="0"/>
    <n v="39"/>
    <s v="month"/>
    <n v="6"/>
    <x v="6"/>
    <x v="6"/>
  </r>
  <r>
    <n v="219761422"/>
    <x v="339"/>
    <x v="332"/>
    <x v="0"/>
    <n v="39"/>
    <s v="month"/>
    <n v="5"/>
    <x v="6"/>
    <x v="6"/>
  </r>
  <r>
    <n v="218594597"/>
    <x v="339"/>
    <x v="252"/>
    <x v="1"/>
    <n v="39"/>
    <s v="month"/>
    <n v="0"/>
    <x v="6"/>
    <x v="6"/>
  </r>
  <r>
    <n v="219734107"/>
    <x v="340"/>
    <x v="0"/>
    <x v="0"/>
    <n v="39"/>
    <s v="month"/>
    <s v="Not Cancelled"/>
    <x v="0"/>
    <x v="0"/>
  </r>
  <r>
    <n v="219836911"/>
    <x v="340"/>
    <x v="0"/>
    <x v="0"/>
    <n v="39"/>
    <s v="month"/>
    <s v="Not Cancelled"/>
    <x v="0"/>
    <x v="0"/>
  </r>
  <r>
    <n v="215179190"/>
    <x v="340"/>
    <x v="0"/>
    <x v="0"/>
    <n v="39"/>
    <s v="month"/>
    <s v="Not Cancelled"/>
    <x v="0"/>
    <x v="0"/>
  </r>
  <r>
    <n v="219817702"/>
    <x v="340"/>
    <x v="0"/>
    <x v="0"/>
    <n v="39"/>
    <s v="month"/>
    <s v="Not Cancelled"/>
    <x v="0"/>
    <x v="0"/>
  </r>
  <r>
    <n v="150065982"/>
    <x v="340"/>
    <x v="301"/>
    <x v="0"/>
    <n v="39"/>
    <s v="month"/>
    <n v="1"/>
    <x v="0"/>
    <x v="0"/>
  </r>
  <r>
    <n v="219891350"/>
    <x v="341"/>
    <x v="0"/>
    <x v="0"/>
    <n v="39"/>
    <s v="month"/>
    <s v="Not Cancelled"/>
    <x v="1"/>
    <x v="1"/>
  </r>
  <r>
    <n v="205210815"/>
    <x v="341"/>
    <x v="0"/>
    <x v="0"/>
    <n v="39"/>
    <s v="month"/>
    <s v="Not Cancelled"/>
    <x v="1"/>
    <x v="1"/>
  </r>
  <r>
    <n v="219744473"/>
    <x v="341"/>
    <x v="0"/>
    <x v="0"/>
    <n v="39"/>
    <s v="month"/>
    <s v="Not Cancelled"/>
    <x v="1"/>
    <x v="1"/>
  </r>
  <r>
    <n v="219851822"/>
    <x v="341"/>
    <x v="0"/>
    <x v="0"/>
    <n v="39"/>
    <s v="month"/>
    <s v="Not Cancelled"/>
    <x v="1"/>
    <x v="1"/>
  </r>
  <r>
    <n v="150779000"/>
    <x v="341"/>
    <x v="349"/>
    <x v="0"/>
    <n v="39"/>
    <s v="month"/>
    <n v="26"/>
    <x v="1"/>
    <x v="1"/>
  </r>
  <r>
    <n v="219876215"/>
    <x v="341"/>
    <x v="328"/>
    <x v="0"/>
    <n v="39"/>
    <s v="month"/>
    <n v="1"/>
    <x v="1"/>
    <x v="1"/>
  </r>
  <r>
    <n v="151633468"/>
    <x v="341"/>
    <x v="328"/>
    <x v="0"/>
    <n v="39"/>
    <s v="month"/>
    <n v="1"/>
    <x v="1"/>
    <x v="1"/>
  </r>
  <r>
    <n v="219834528"/>
    <x v="341"/>
    <x v="328"/>
    <x v="1"/>
    <n v="39"/>
    <s v="month"/>
    <n v="1"/>
    <x v="1"/>
    <x v="1"/>
  </r>
  <r>
    <n v="202844600"/>
    <x v="341"/>
    <x v="328"/>
    <x v="1"/>
    <n v="39"/>
    <s v="month"/>
    <n v="1"/>
    <x v="1"/>
    <x v="1"/>
  </r>
  <r>
    <n v="158093021"/>
    <x v="342"/>
    <x v="0"/>
    <x v="0"/>
    <n v="39"/>
    <s v="month"/>
    <s v="Not Cancelled"/>
    <x v="2"/>
    <x v="2"/>
  </r>
  <r>
    <n v="203366396"/>
    <x v="342"/>
    <x v="55"/>
    <x v="0"/>
    <n v="39"/>
    <s v="month"/>
    <n v="4"/>
    <x v="2"/>
    <x v="2"/>
  </r>
  <r>
    <n v="210694562"/>
    <x v="342"/>
    <x v="352"/>
    <x v="0"/>
    <n v="39"/>
    <s v="month"/>
    <n v="21"/>
    <x v="2"/>
    <x v="2"/>
  </r>
  <r>
    <n v="188347490"/>
    <x v="343"/>
    <x v="0"/>
    <x v="0"/>
    <n v="39"/>
    <s v="month"/>
    <s v="Not Cancelled"/>
    <x v="3"/>
    <x v="3"/>
  </r>
  <r>
    <n v="219947831"/>
    <x v="343"/>
    <x v="0"/>
    <x v="0"/>
    <n v="39"/>
    <s v="month"/>
    <s v="Not Cancelled"/>
    <x v="3"/>
    <x v="3"/>
  </r>
  <r>
    <n v="214775412"/>
    <x v="343"/>
    <x v="0"/>
    <x v="0"/>
    <n v="39"/>
    <s v="month"/>
    <s v="Not Cancelled"/>
    <x v="3"/>
    <x v="3"/>
  </r>
  <r>
    <n v="134753801"/>
    <x v="343"/>
    <x v="0"/>
    <x v="0"/>
    <n v="39"/>
    <s v="month"/>
    <s v="Not Cancelled"/>
    <x v="3"/>
    <x v="3"/>
  </r>
  <r>
    <n v="182584521"/>
    <x v="343"/>
    <x v="0"/>
    <x v="0"/>
    <n v="39"/>
    <s v="month"/>
    <s v="Not Cancelled"/>
    <x v="3"/>
    <x v="3"/>
  </r>
  <r>
    <n v="219955434"/>
    <x v="343"/>
    <x v="0"/>
    <x v="0"/>
    <n v="39"/>
    <s v="month"/>
    <s v="Not Cancelled"/>
    <x v="3"/>
    <x v="3"/>
  </r>
  <r>
    <n v="219951440"/>
    <x v="343"/>
    <x v="0"/>
    <x v="0"/>
    <n v="39"/>
    <s v="month"/>
    <s v="Not Cancelled"/>
    <x v="3"/>
    <x v="3"/>
  </r>
  <r>
    <n v="219808428"/>
    <x v="343"/>
    <x v="318"/>
    <x v="0"/>
    <n v="39"/>
    <s v="month"/>
    <n v="19"/>
    <x v="3"/>
    <x v="3"/>
  </r>
  <r>
    <n v="191034251"/>
    <x v="344"/>
    <x v="0"/>
    <x v="0"/>
    <n v="39"/>
    <s v="month"/>
    <s v="Not Cancelled"/>
    <x v="4"/>
    <x v="4"/>
  </r>
  <r>
    <n v="220023196"/>
    <x v="344"/>
    <x v="0"/>
    <x v="0"/>
    <n v="39"/>
    <s v="month"/>
    <s v="Not Cancelled"/>
    <x v="4"/>
    <x v="4"/>
  </r>
  <r>
    <n v="220028812"/>
    <x v="344"/>
    <x v="0"/>
    <x v="0"/>
    <n v="39"/>
    <s v="month"/>
    <s v="Not Cancelled"/>
    <x v="4"/>
    <x v="4"/>
  </r>
  <r>
    <n v="195988242"/>
    <x v="344"/>
    <x v="0"/>
    <x v="0"/>
    <n v="39"/>
    <s v="month"/>
    <s v="Not Cancelled"/>
    <x v="4"/>
    <x v="4"/>
  </r>
  <r>
    <n v="151633468"/>
    <x v="344"/>
    <x v="0"/>
    <x v="0"/>
    <n v="39"/>
    <s v="month"/>
    <s v="Not Cancelled"/>
    <x v="4"/>
    <x v="4"/>
  </r>
  <r>
    <n v="220012044"/>
    <x v="344"/>
    <x v="0"/>
    <x v="0"/>
    <n v="39"/>
    <s v="month"/>
    <s v="Not Cancelled"/>
    <x v="4"/>
    <x v="4"/>
  </r>
  <r>
    <n v="219981231"/>
    <x v="344"/>
    <x v="0"/>
    <x v="0"/>
    <n v="39"/>
    <s v="month"/>
    <s v="Not Cancelled"/>
    <x v="4"/>
    <x v="4"/>
  </r>
  <r>
    <n v="169692209"/>
    <x v="344"/>
    <x v="0"/>
    <x v="0"/>
    <n v="39"/>
    <s v="month"/>
    <s v="Not Cancelled"/>
    <x v="4"/>
    <x v="4"/>
  </r>
  <r>
    <n v="116156335"/>
    <x v="344"/>
    <x v="0"/>
    <x v="0"/>
    <n v="39"/>
    <s v="month"/>
    <s v="Not Cancelled"/>
    <x v="4"/>
    <x v="4"/>
  </r>
  <r>
    <n v="153393340"/>
    <x v="344"/>
    <x v="0"/>
    <x v="0"/>
    <n v="39"/>
    <s v="month"/>
    <s v="Not Cancelled"/>
    <x v="4"/>
    <x v="4"/>
  </r>
  <r>
    <n v="219974920"/>
    <x v="344"/>
    <x v="0"/>
    <x v="0"/>
    <n v="39"/>
    <s v="month"/>
    <s v="Not Cancelled"/>
    <x v="4"/>
    <x v="4"/>
  </r>
  <r>
    <n v="121253113"/>
    <x v="344"/>
    <x v="55"/>
    <x v="0"/>
    <n v="39"/>
    <s v="month"/>
    <n v="2"/>
    <x v="4"/>
    <x v="4"/>
  </r>
  <r>
    <n v="219690296"/>
    <x v="345"/>
    <x v="0"/>
    <x v="0"/>
    <n v="39"/>
    <s v="month"/>
    <s v="Not Cancelled"/>
    <x v="5"/>
    <x v="5"/>
  </r>
  <r>
    <n v="187268085"/>
    <x v="345"/>
    <x v="0"/>
    <x v="0"/>
    <n v="39"/>
    <s v="month"/>
    <s v="Not Cancelled"/>
    <x v="5"/>
    <x v="5"/>
  </r>
  <r>
    <n v="150623785"/>
    <x v="345"/>
    <x v="0"/>
    <x v="0"/>
    <n v="39"/>
    <s v="month"/>
    <s v="Not Cancelled"/>
    <x v="5"/>
    <x v="5"/>
  </r>
  <r>
    <n v="220056524"/>
    <x v="345"/>
    <x v="55"/>
    <x v="1"/>
    <n v="39"/>
    <s v="month"/>
    <n v="1"/>
    <x v="5"/>
    <x v="5"/>
  </r>
  <r>
    <n v="208188866"/>
    <x v="346"/>
    <x v="0"/>
    <x v="0"/>
    <n v="39"/>
    <s v="month"/>
    <s v="Not Cancelled"/>
    <x v="6"/>
    <x v="6"/>
  </r>
  <r>
    <n v="219081046"/>
    <x v="346"/>
    <x v="0"/>
    <x v="0"/>
    <n v="39"/>
    <s v="month"/>
    <s v="Not Cancelled"/>
    <x v="6"/>
    <x v="6"/>
  </r>
  <r>
    <n v="219569143"/>
    <x v="346"/>
    <x v="0"/>
    <x v="0"/>
    <n v="39"/>
    <s v="month"/>
    <s v="Not Cancelled"/>
    <x v="6"/>
    <x v="6"/>
  </r>
  <r>
    <n v="219653068"/>
    <x v="346"/>
    <x v="0"/>
    <x v="0"/>
    <n v="39"/>
    <s v="month"/>
    <s v="Not Cancelled"/>
    <x v="6"/>
    <x v="6"/>
  </r>
  <r>
    <n v="220120740"/>
    <x v="346"/>
    <x v="0"/>
    <x v="0"/>
    <n v="39"/>
    <s v="month"/>
    <s v="Not Cancelled"/>
    <x v="6"/>
    <x v="6"/>
  </r>
  <r>
    <n v="186200901"/>
    <x v="346"/>
    <x v="0"/>
    <x v="0"/>
    <n v="39"/>
    <s v="month"/>
    <s v="Not Cancelled"/>
    <x v="6"/>
    <x v="6"/>
  </r>
  <r>
    <n v="220116966"/>
    <x v="346"/>
    <x v="0"/>
    <x v="0"/>
    <n v="39"/>
    <s v="month"/>
    <s v="Not Cancelled"/>
    <x v="6"/>
    <x v="6"/>
  </r>
  <r>
    <n v="219876215"/>
    <x v="346"/>
    <x v="0"/>
    <x v="0"/>
    <n v="39"/>
    <s v="month"/>
    <s v="Not Cancelled"/>
    <x v="6"/>
    <x v="6"/>
  </r>
  <r>
    <n v="219996796"/>
    <x v="346"/>
    <x v="0"/>
    <x v="0"/>
    <n v="39"/>
    <s v="month"/>
    <s v="Not Cancelled"/>
    <x v="6"/>
    <x v="6"/>
  </r>
  <r>
    <n v="218296652"/>
    <x v="346"/>
    <x v="0"/>
    <x v="0"/>
    <n v="39"/>
    <s v="month"/>
    <s v="Not Cancelled"/>
    <x v="6"/>
    <x v="6"/>
  </r>
  <r>
    <n v="188748372"/>
    <x v="346"/>
    <x v="0"/>
    <x v="0"/>
    <n v="39"/>
    <s v="month"/>
    <s v="Not Cancelled"/>
    <x v="6"/>
    <x v="6"/>
  </r>
  <r>
    <n v="220080560"/>
    <x v="346"/>
    <x v="0"/>
    <x v="0"/>
    <n v="39"/>
    <s v="month"/>
    <s v="Not Cancelled"/>
    <x v="6"/>
    <x v="6"/>
  </r>
  <r>
    <n v="219899496"/>
    <x v="347"/>
    <x v="0"/>
    <x v="0"/>
    <n v="39"/>
    <s v="month"/>
    <s v="Not Cancelled"/>
    <x v="0"/>
    <x v="0"/>
  </r>
  <r>
    <n v="219000322"/>
    <x v="347"/>
    <x v="0"/>
    <x v="0"/>
    <n v="39"/>
    <s v="month"/>
    <s v="Not Cancelled"/>
    <x v="0"/>
    <x v="0"/>
  </r>
  <r>
    <n v="220181992"/>
    <x v="347"/>
    <x v="0"/>
    <x v="0"/>
    <n v="39"/>
    <s v="month"/>
    <s v="Not Cancelled"/>
    <x v="0"/>
    <x v="0"/>
  </r>
  <r>
    <n v="220196419"/>
    <x v="347"/>
    <x v="0"/>
    <x v="0"/>
    <n v="39"/>
    <s v="month"/>
    <s v="Not Cancelled"/>
    <x v="0"/>
    <x v="0"/>
  </r>
  <r>
    <n v="220155197"/>
    <x v="347"/>
    <x v="0"/>
    <x v="0"/>
    <n v="39"/>
    <s v="month"/>
    <s v="Not Cancelled"/>
    <x v="0"/>
    <x v="0"/>
  </r>
  <r>
    <n v="220144619"/>
    <x v="347"/>
    <x v="0"/>
    <x v="0"/>
    <n v="39"/>
    <s v="month"/>
    <s v="Not Cancelled"/>
    <x v="0"/>
    <x v="0"/>
  </r>
  <r>
    <n v="220184550"/>
    <x v="347"/>
    <x v="0"/>
    <x v="0"/>
    <n v="39"/>
    <s v="month"/>
    <s v="Not Cancelled"/>
    <x v="0"/>
    <x v="0"/>
  </r>
  <r>
    <n v="152209352"/>
    <x v="347"/>
    <x v="0"/>
    <x v="0"/>
    <n v="39"/>
    <s v="month"/>
    <s v="Not Cancelled"/>
    <x v="0"/>
    <x v="0"/>
  </r>
  <r>
    <n v="146952862"/>
    <x v="347"/>
    <x v="0"/>
    <x v="0"/>
    <n v="39"/>
    <s v="month"/>
    <s v="Not Cancelled"/>
    <x v="0"/>
    <x v="0"/>
  </r>
  <r>
    <n v="220178530"/>
    <x v="347"/>
    <x v="0"/>
    <x v="0"/>
    <n v="39"/>
    <s v="month"/>
    <s v="Not Cancelled"/>
    <x v="0"/>
    <x v="0"/>
  </r>
  <r>
    <n v="219498470"/>
    <x v="347"/>
    <x v="0"/>
    <x v="0"/>
    <n v="39"/>
    <s v="month"/>
    <s v="Not Cancelled"/>
    <x v="0"/>
    <x v="0"/>
  </r>
  <r>
    <n v="216622895"/>
    <x v="347"/>
    <x v="0"/>
    <x v="0"/>
    <n v="39"/>
    <s v="month"/>
    <s v="Not Cancelled"/>
    <x v="0"/>
    <x v="0"/>
  </r>
  <r>
    <n v="153705354"/>
    <x v="347"/>
    <x v="351"/>
    <x v="0"/>
    <n v="39"/>
    <s v="month"/>
    <n v="0"/>
    <x v="0"/>
    <x v="0"/>
  </r>
  <r>
    <n v="219280628"/>
    <x v="347"/>
    <x v="63"/>
    <x v="1"/>
    <n v="39"/>
    <s v="month"/>
    <n v="1"/>
    <x v="0"/>
    <x v="0"/>
  </r>
  <r>
    <n v="220171290"/>
    <x v="348"/>
    <x v="0"/>
    <x v="0"/>
    <n v="39"/>
    <s v="month"/>
    <s v="Not Cancelled"/>
    <x v="1"/>
    <x v="1"/>
  </r>
  <r>
    <n v="219553060"/>
    <x v="348"/>
    <x v="0"/>
    <x v="0"/>
    <n v="39"/>
    <s v="month"/>
    <s v="Not Cancelled"/>
    <x v="1"/>
    <x v="1"/>
  </r>
  <r>
    <n v="220244827"/>
    <x v="348"/>
    <x v="0"/>
    <x v="0"/>
    <n v="39"/>
    <s v="month"/>
    <s v="Not Cancelled"/>
    <x v="1"/>
    <x v="1"/>
  </r>
  <r>
    <n v="219612883"/>
    <x v="348"/>
    <x v="0"/>
    <x v="0"/>
    <n v="39"/>
    <s v="month"/>
    <s v="Not Cancelled"/>
    <x v="1"/>
    <x v="1"/>
  </r>
  <r>
    <n v="217914279"/>
    <x v="348"/>
    <x v="0"/>
    <x v="0"/>
    <n v="39"/>
    <s v="month"/>
    <s v="Not Cancelled"/>
    <x v="1"/>
    <x v="1"/>
  </r>
  <r>
    <n v="220171851"/>
    <x v="348"/>
    <x v="0"/>
    <x v="0"/>
    <n v="39"/>
    <s v="month"/>
    <s v="Not Cancelled"/>
    <x v="1"/>
    <x v="1"/>
  </r>
  <r>
    <n v="217543308"/>
    <x v="348"/>
    <x v="0"/>
    <x v="0"/>
    <n v="39"/>
    <s v="month"/>
    <s v="Not Cancelled"/>
    <x v="1"/>
    <x v="1"/>
  </r>
  <r>
    <n v="157008330"/>
    <x v="348"/>
    <x v="63"/>
    <x v="0"/>
    <n v="39"/>
    <s v="month"/>
    <n v="0"/>
    <x v="1"/>
    <x v="1"/>
  </r>
  <r>
    <n v="206063908"/>
    <x v="348"/>
    <x v="290"/>
    <x v="0"/>
    <n v="39"/>
    <s v="month"/>
    <n v="20"/>
    <x v="1"/>
    <x v="1"/>
  </r>
  <r>
    <n v="220182716"/>
    <x v="348"/>
    <x v="295"/>
    <x v="1"/>
    <n v="39"/>
    <s v="month"/>
    <n v="1"/>
    <x v="1"/>
    <x v="1"/>
  </r>
  <r>
    <n v="202103959"/>
    <x v="349"/>
    <x v="0"/>
    <x v="0"/>
    <n v="39"/>
    <s v="month"/>
    <s v="Not Cancelled"/>
    <x v="2"/>
    <x v="2"/>
  </r>
  <r>
    <n v="218757796"/>
    <x v="349"/>
    <x v="0"/>
    <x v="0"/>
    <n v="39"/>
    <s v="month"/>
    <s v="Not Cancelled"/>
    <x v="2"/>
    <x v="2"/>
  </r>
  <r>
    <n v="220272556"/>
    <x v="349"/>
    <x v="0"/>
    <x v="0"/>
    <n v="39"/>
    <s v="month"/>
    <s v="Not Cancelled"/>
    <x v="2"/>
    <x v="2"/>
  </r>
  <r>
    <n v="219493644"/>
    <x v="349"/>
    <x v="0"/>
    <x v="0"/>
    <n v="39"/>
    <s v="month"/>
    <s v="Not Cancelled"/>
    <x v="2"/>
    <x v="2"/>
  </r>
  <r>
    <n v="148996798"/>
    <x v="349"/>
    <x v="0"/>
    <x v="0"/>
    <n v="39"/>
    <s v="month"/>
    <s v="Not Cancelled"/>
    <x v="2"/>
    <x v="2"/>
  </r>
  <r>
    <n v="218947678"/>
    <x v="349"/>
    <x v="0"/>
    <x v="0"/>
    <n v="39"/>
    <s v="month"/>
    <s v="Not Cancelled"/>
    <x v="2"/>
    <x v="2"/>
  </r>
  <r>
    <n v="119465934"/>
    <x v="349"/>
    <x v="0"/>
    <x v="0"/>
    <n v="39"/>
    <s v="month"/>
    <s v="Not Cancelled"/>
    <x v="2"/>
    <x v="2"/>
  </r>
  <r>
    <n v="219195061"/>
    <x v="349"/>
    <x v="0"/>
    <x v="0"/>
    <n v="39"/>
    <s v="month"/>
    <s v="Not Cancelled"/>
    <x v="2"/>
    <x v="2"/>
  </r>
  <r>
    <n v="219637590"/>
    <x v="349"/>
    <x v="333"/>
    <x v="0"/>
    <n v="39"/>
    <s v="month"/>
    <n v="6"/>
    <x v="2"/>
    <x v="2"/>
  </r>
  <r>
    <n v="218878930"/>
    <x v="350"/>
    <x v="0"/>
    <x v="0"/>
    <n v="39"/>
    <s v="month"/>
    <s v="Not Cancelled"/>
    <x v="3"/>
    <x v="3"/>
  </r>
  <r>
    <n v="134622358"/>
    <x v="350"/>
    <x v="0"/>
    <x v="0"/>
    <n v="39"/>
    <s v="month"/>
    <s v="Not Cancelled"/>
    <x v="3"/>
    <x v="3"/>
  </r>
  <r>
    <n v="219237524"/>
    <x v="350"/>
    <x v="0"/>
    <x v="0"/>
    <n v="39"/>
    <s v="month"/>
    <s v="Not Cancelled"/>
    <x v="3"/>
    <x v="3"/>
  </r>
  <r>
    <n v="147320092"/>
    <x v="350"/>
    <x v="0"/>
    <x v="0"/>
    <n v="39"/>
    <s v="month"/>
    <s v="Not Cancelled"/>
    <x v="3"/>
    <x v="3"/>
  </r>
  <r>
    <n v="219953886"/>
    <x v="350"/>
    <x v="0"/>
    <x v="0"/>
    <n v="39"/>
    <s v="month"/>
    <s v="Not Cancelled"/>
    <x v="3"/>
    <x v="3"/>
  </r>
  <r>
    <n v="207013932"/>
    <x v="350"/>
    <x v="339"/>
    <x v="1"/>
    <n v="39"/>
    <s v="month"/>
    <n v="0"/>
    <x v="3"/>
    <x v="3"/>
  </r>
  <r>
    <n v="205274562"/>
    <x v="351"/>
    <x v="0"/>
    <x v="0"/>
    <n v="39"/>
    <s v="month"/>
    <s v="Not Cancelled"/>
    <x v="4"/>
    <x v="4"/>
  </r>
  <r>
    <n v="152698255"/>
    <x v="351"/>
    <x v="0"/>
    <x v="0"/>
    <n v="39"/>
    <s v="month"/>
    <s v="Not Cancelled"/>
    <x v="4"/>
    <x v="4"/>
  </r>
  <r>
    <n v="209361492"/>
    <x v="351"/>
    <x v="0"/>
    <x v="0"/>
    <n v="39"/>
    <s v="month"/>
    <s v="Not Cancelled"/>
    <x v="4"/>
    <x v="4"/>
  </r>
  <r>
    <n v="205530810"/>
    <x v="351"/>
    <x v="0"/>
    <x v="0"/>
    <n v="39"/>
    <s v="month"/>
    <s v="Not Cancelled"/>
    <x v="4"/>
    <x v="4"/>
  </r>
  <r>
    <n v="220343801"/>
    <x v="351"/>
    <x v="0"/>
    <x v="0"/>
    <n v="39"/>
    <s v="month"/>
    <s v="Not Cancelled"/>
    <x v="4"/>
    <x v="4"/>
  </r>
  <r>
    <n v="150441222"/>
    <x v="351"/>
    <x v="0"/>
    <x v="0"/>
    <n v="39"/>
    <s v="month"/>
    <s v="Not Cancelled"/>
    <x v="4"/>
    <x v="4"/>
  </r>
  <r>
    <n v="214640803"/>
    <x v="351"/>
    <x v="0"/>
    <x v="0"/>
    <n v="39"/>
    <s v="month"/>
    <s v="Not Cancelled"/>
    <x v="4"/>
    <x v="4"/>
  </r>
  <r>
    <n v="219569853"/>
    <x v="351"/>
    <x v="0"/>
    <x v="0"/>
    <n v="39"/>
    <s v="month"/>
    <s v="Not Cancelled"/>
    <x v="4"/>
    <x v="4"/>
  </r>
  <r>
    <n v="220197494"/>
    <x v="351"/>
    <x v="0"/>
    <x v="0"/>
    <n v="39"/>
    <s v="month"/>
    <s v="Not Cancelled"/>
    <x v="4"/>
    <x v="4"/>
  </r>
  <r>
    <n v="220323698"/>
    <x v="351"/>
    <x v="0"/>
    <x v="0"/>
    <n v="39"/>
    <s v="month"/>
    <s v="Not Cancelled"/>
    <x v="4"/>
    <x v="4"/>
  </r>
  <r>
    <n v="215180470"/>
    <x v="351"/>
    <x v="190"/>
    <x v="0"/>
    <n v="39"/>
    <s v="month"/>
    <n v="0"/>
    <x v="4"/>
    <x v="4"/>
  </r>
  <r>
    <n v="177323966"/>
    <x v="351"/>
    <x v="331"/>
    <x v="0"/>
    <n v="39"/>
    <s v="month"/>
    <n v="7"/>
    <x v="4"/>
    <x v="4"/>
  </r>
  <r>
    <n v="214682826"/>
    <x v="351"/>
    <x v="313"/>
    <x v="0"/>
    <n v="39"/>
    <s v="month"/>
    <n v="1"/>
    <x v="4"/>
    <x v="4"/>
  </r>
  <r>
    <n v="220414820"/>
    <x v="352"/>
    <x v="0"/>
    <x v="0"/>
    <n v="39"/>
    <s v="month"/>
    <s v="Not Cancelled"/>
    <x v="5"/>
    <x v="5"/>
  </r>
  <r>
    <n v="214682826"/>
    <x v="352"/>
    <x v="0"/>
    <x v="0"/>
    <n v="39"/>
    <s v="month"/>
    <s v="Not Cancelled"/>
    <x v="5"/>
    <x v="5"/>
  </r>
  <r>
    <n v="206147500"/>
    <x v="352"/>
    <x v="0"/>
    <x v="0"/>
    <n v="39"/>
    <s v="month"/>
    <s v="Not Cancelled"/>
    <x v="5"/>
    <x v="5"/>
  </r>
  <r>
    <n v="220402308"/>
    <x v="352"/>
    <x v="0"/>
    <x v="0"/>
    <n v="39"/>
    <s v="month"/>
    <s v="Not Cancelled"/>
    <x v="5"/>
    <x v="5"/>
  </r>
  <r>
    <n v="220205806"/>
    <x v="352"/>
    <x v="0"/>
    <x v="0"/>
    <n v="39"/>
    <s v="month"/>
    <s v="Not Cancelled"/>
    <x v="5"/>
    <x v="5"/>
  </r>
  <r>
    <n v="152792045"/>
    <x v="352"/>
    <x v="0"/>
    <x v="0"/>
    <n v="39"/>
    <s v="month"/>
    <s v="Not Cancelled"/>
    <x v="5"/>
    <x v="5"/>
  </r>
  <r>
    <n v="220381016"/>
    <x v="352"/>
    <x v="0"/>
    <x v="0"/>
    <n v="39"/>
    <s v="month"/>
    <s v="Not Cancelled"/>
    <x v="5"/>
    <x v="5"/>
  </r>
  <r>
    <n v="220385078"/>
    <x v="352"/>
    <x v="0"/>
    <x v="0"/>
    <n v="39"/>
    <s v="month"/>
    <s v="Not Cancelled"/>
    <x v="5"/>
    <x v="5"/>
  </r>
  <r>
    <n v="220414853"/>
    <x v="352"/>
    <x v="0"/>
    <x v="0"/>
    <n v="39"/>
    <s v="month"/>
    <s v="Not Cancelled"/>
    <x v="5"/>
    <x v="5"/>
  </r>
  <r>
    <n v="220366524"/>
    <x v="352"/>
    <x v="0"/>
    <x v="0"/>
    <n v="39"/>
    <s v="month"/>
    <s v="Not Cancelled"/>
    <x v="5"/>
    <x v="5"/>
  </r>
  <r>
    <n v="220407436"/>
    <x v="352"/>
    <x v="225"/>
    <x v="1"/>
    <n v="39"/>
    <s v="month"/>
    <n v="1"/>
    <x v="5"/>
    <x v="5"/>
  </r>
  <r>
    <n v="192182455"/>
    <x v="353"/>
    <x v="0"/>
    <x v="0"/>
    <n v="39"/>
    <s v="month"/>
    <s v="Not Cancelled"/>
    <x v="6"/>
    <x v="6"/>
  </r>
  <r>
    <n v="219439597"/>
    <x v="353"/>
    <x v="0"/>
    <x v="0"/>
    <n v="39"/>
    <s v="month"/>
    <s v="Not Cancelled"/>
    <x v="6"/>
    <x v="6"/>
  </r>
  <r>
    <n v="219576812"/>
    <x v="353"/>
    <x v="0"/>
    <x v="0"/>
    <n v="39"/>
    <s v="month"/>
    <s v="Not Cancelled"/>
    <x v="6"/>
    <x v="6"/>
  </r>
  <r>
    <n v="143111905"/>
    <x v="353"/>
    <x v="0"/>
    <x v="0"/>
    <n v="39"/>
    <s v="month"/>
    <s v="Not Cancelled"/>
    <x v="6"/>
    <x v="6"/>
  </r>
  <r>
    <n v="123297208"/>
    <x v="353"/>
    <x v="0"/>
    <x v="0"/>
    <n v="39"/>
    <s v="month"/>
    <s v="Not Cancelled"/>
    <x v="6"/>
    <x v="6"/>
  </r>
  <r>
    <n v="213194584"/>
    <x v="353"/>
    <x v="0"/>
    <x v="0"/>
    <n v="39"/>
    <s v="month"/>
    <s v="Not Cancelled"/>
    <x v="6"/>
    <x v="6"/>
  </r>
  <r>
    <n v="220455205"/>
    <x v="353"/>
    <x v="0"/>
    <x v="0"/>
    <n v="39"/>
    <s v="month"/>
    <s v="Not Cancelled"/>
    <x v="6"/>
    <x v="6"/>
  </r>
  <r>
    <n v="220425056"/>
    <x v="353"/>
    <x v="0"/>
    <x v="0"/>
    <n v="39"/>
    <s v="month"/>
    <s v="Not Cancelled"/>
    <x v="6"/>
    <x v="6"/>
  </r>
  <r>
    <n v="219685108"/>
    <x v="353"/>
    <x v="0"/>
    <x v="0"/>
    <n v="39"/>
    <s v="month"/>
    <s v="Not Cancelled"/>
    <x v="6"/>
    <x v="6"/>
  </r>
  <r>
    <n v="220531090"/>
    <x v="354"/>
    <x v="0"/>
    <x v="0"/>
    <n v="39"/>
    <s v="month"/>
    <s v="Not Cancelled"/>
    <x v="0"/>
    <x v="0"/>
  </r>
  <r>
    <n v="220510482"/>
    <x v="354"/>
    <x v="0"/>
    <x v="0"/>
    <n v="39"/>
    <s v="month"/>
    <s v="Not Cancelled"/>
    <x v="0"/>
    <x v="0"/>
  </r>
  <r>
    <n v="149856123"/>
    <x v="354"/>
    <x v="0"/>
    <x v="0"/>
    <n v="39"/>
    <s v="month"/>
    <s v="Not Cancelled"/>
    <x v="0"/>
    <x v="0"/>
  </r>
  <r>
    <n v="217506938"/>
    <x v="354"/>
    <x v="0"/>
    <x v="0"/>
    <n v="39"/>
    <s v="month"/>
    <s v="Not Cancelled"/>
    <x v="0"/>
    <x v="0"/>
  </r>
  <r>
    <n v="189403535"/>
    <x v="354"/>
    <x v="0"/>
    <x v="0"/>
    <n v="39"/>
    <s v="month"/>
    <s v="Not Cancelled"/>
    <x v="0"/>
    <x v="0"/>
  </r>
  <r>
    <n v="132318451"/>
    <x v="354"/>
    <x v="333"/>
    <x v="0"/>
    <n v="39"/>
    <s v="month"/>
    <n v="1"/>
    <x v="0"/>
    <x v="0"/>
  </r>
  <r>
    <n v="220495479"/>
    <x v="354"/>
    <x v="333"/>
    <x v="1"/>
    <n v="39"/>
    <s v="month"/>
    <n v="1"/>
    <x v="0"/>
    <x v="0"/>
  </r>
  <r>
    <n v="164903790"/>
    <x v="355"/>
    <x v="0"/>
    <x v="0"/>
    <n v="39"/>
    <s v="month"/>
    <s v="Not Cancelled"/>
    <x v="1"/>
    <x v="1"/>
  </r>
  <r>
    <n v="220371835"/>
    <x v="355"/>
    <x v="0"/>
    <x v="0"/>
    <n v="39"/>
    <s v="month"/>
    <s v="Not Cancelled"/>
    <x v="1"/>
    <x v="1"/>
  </r>
  <r>
    <n v="125932988"/>
    <x v="355"/>
    <x v="0"/>
    <x v="0"/>
    <n v="39"/>
    <s v="month"/>
    <s v="Not Cancelled"/>
    <x v="1"/>
    <x v="1"/>
  </r>
  <r>
    <n v="214924190"/>
    <x v="355"/>
    <x v="0"/>
    <x v="0"/>
    <n v="39"/>
    <s v="month"/>
    <s v="Not Cancelled"/>
    <x v="1"/>
    <x v="1"/>
  </r>
  <r>
    <n v="117300170"/>
    <x v="355"/>
    <x v="0"/>
    <x v="0"/>
    <n v="39"/>
    <s v="month"/>
    <s v="Not Cancelled"/>
    <x v="1"/>
    <x v="1"/>
  </r>
  <r>
    <n v="162913792"/>
    <x v="355"/>
    <x v="0"/>
    <x v="0"/>
    <n v="39"/>
    <s v="month"/>
    <s v="Not Cancelled"/>
    <x v="1"/>
    <x v="1"/>
  </r>
  <r>
    <n v="220551506"/>
    <x v="355"/>
    <x v="0"/>
    <x v="0"/>
    <n v="39"/>
    <s v="month"/>
    <s v="Not Cancelled"/>
    <x v="1"/>
    <x v="1"/>
  </r>
  <r>
    <n v="161187523"/>
    <x v="355"/>
    <x v="0"/>
    <x v="0"/>
    <n v="39"/>
    <s v="month"/>
    <s v="Not Cancelled"/>
    <x v="1"/>
    <x v="1"/>
  </r>
  <r>
    <n v="220562110"/>
    <x v="355"/>
    <x v="262"/>
    <x v="1"/>
    <n v="39"/>
    <s v="month"/>
    <n v="1"/>
    <x v="1"/>
    <x v="1"/>
  </r>
  <r>
    <n v="220589305"/>
    <x v="356"/>
    <x v="0"/>
    <x v="0"/>
    <n v="39"/>
    <s v="month"/>
    <s v="Not Cancelled"/>
    <x v="2"/>
    <x v="2"/>
  </r>
  <r>
    <n v="220496139"/>
    <x v="356"/>
    <x v="0"/>
    <x v="0"/>
    <n v="39"/>
    <s v="month"/>
    <s v="Not Cancelled"/>
    <x v="2"/>
    <x v="2"/>
  </r>
  <r>
    <n v="219211334"/>
    <x v="356"/>
    <x v="0"/>
    <x v="0"/>
    <n v="39"/>
    <s v="month"/>
    <s v="Not Cancelled"/>
    <x v="2"/>
    <x v="2"/>
  </r>
  <r>
    <n v="220582817"/>
    <x v="356"/>
    <x v="0"/>
    <x v="0"/>
    <n v="39"/>
    <s v="month"/>
    <s v="Not Cancelled"/>
    <x v="2"/>
    <x v="2"/>
  </r>
  <r>
    <n v="217513777"/>
    <x v="356"/>
    <x v="331"/>
    <x v="0"/>
    <n v="39"/>
    <s v="month"/>
    <n v="2"/>
    <x v="2"/>
    <x v="2"/>
  </r>
  <r>
    <n v="220576148"/>
    <x v="356"/>
    <x v="294"/>
    <x v="0"/>
    <n v="39"/>
    <s v="month"/>
    <n v="10"/>
    <x v="2"/>
    <x v="2"/>
  </r>
  <r>
    <n v="219294264"/>
    <x v="357"/>
    <x v="0"/>
    <x v="0"/>
    <n v="39"/>
    <s v="month"/>
    <s v="Not Cancelled"/>
    <x v="3"/>
    <x v="3"/>
  </r>
  <r>
    <n v="220617197"/>
    <x v="357"/>
    <x v="0"/>
    <x v="0"/>
    <n v="39"/>
    <s v="month"/>
    <s v="Not Cancelled"/>
    <x v="3"/>
    <x v="3"/>
  </r>
  <r>
    <n v="220227691"/>
    <x v="357"/>
    <x v="0"/>
    <x v="0"/>
    <n v="39"/>
    <s v="month"/>
    <s v="Not Cancelled"/>
    <x v="3"/>
    <x v="3"/>
  </r>
  <r>
    <n v="220672607"/>
    <x v="358"/>
    <x v="0"/>
    <x v="0"/>
    <n v="39"/>
    <s v="month"/>
    <s v="Not Cancelled"/>
    <x v="4"/>
    <x v="4"/>
  </r>
  <r>
    <n v="218608353"/>
    <x v="358"/>
    <x v="0"/>
    <x v="0"/>
    <n v="39"/>
    <s v="month"/>
    <s v="Not Cancelled"/>
    <x v="4"/>
    <x v="4"/>
  </r>
  <r>
    <n v="135128238"/>
    <x v="358"/>
    <x v="0"/>
    <x v="0"/>
    <n v="39"/>
    <s v="month"/>
    <s v="Not Cancelled"/>
    <x v="4"/>
    <x v="4"/>
  </r>
  <r>
    <n v="220285147"/>
    <x v="358"/>
    <x v="0"/>
    <x v="0"/>
    <n v="39"/>
    <s v="month"/>
    <s v="Not Cancelled"/>
    <x v="4"/>
    <x v="4"/>
  </r>
  <r>
    <n v="218645057"/>
    <x v="358"/>
    <x v="0"/>
    <x v="0"/>
    <n v="39"/>
    <s v="month"/>
    <s v="Not Cancelled"/>
    <x v="4"/>
    <x v="4"/>
  </r>
  <r>
    <n v="128199550"/>
    <x v="358"/>
    <x v="335"/>
    <x v="0"/>
    <n v="39"/>
    <s v="month"/>
    <n v="3"/>
    <x v="4"/>
    <x v="4"/>
  </r>
  <r>
    <n v="220747618"/>
    <x v="359"/>
    <x v="0"/>
    <x v="0"/>
    <n v="39"/>
    <s v="month"/>
    <s v="Not Cancelled"/>
    <x v="5"/>
    <x v="5"/>
  </r>
  <r>
    <n v="207386830"/>
    <x v="359"/>
    <x v="0"/>
    <x v="0"/>
    <n v="39"/>
    <s v="month"/>
    <s v="Not Cancelled"/>
    <x v="5"/>
    <x v="5"/>
  </r>
  <r>
    <n v="205109812"/>
    <x v="359"/>
    <x v="0"/>
    <x v="0"/>
    <n v="39"/>
    <s v="month"/>
    <s v="Not Cancelled"/>
    <x v="5"/>
    <x v="5"/>
  </r>
  <r>
    <n v="132318451"/>
    <x v="359"/>
    <x v="0"/>
    <x v="0"/>
    <n v="39"/>
    <s v="month"/>
    <s v="Not Cancelled"/>
    <x v="5"/>
    <x v="5"/>
  </r>
  <r>
    <n v="218596318"/>
    <x v="359"/>
    <x v="0"/>
    <x v="0"/>
    <n v="39"/>
    <s v="month"/>
    <s v="Not Cancelled"/>
    <x v="5"/>
    <x v="5"/>
  </r>
  <r>
    <n v="220699520"/>
    <x v="359"/>
    <x v="0"/>
    <x v="0"/>
    <n v="39"/>
    <s v="month"/>
    <s v="Not Cancelled"/>
    <x v="5"/>
    <x v="5"/>
  </r>
  <r>
    <n v="218307579"/>
    <x v="359"/>
    <x v="0"/>
    <x v="0"/>
    <n v="39"/>
    <s v="month"/>
    <s v="Not Cancelled"/>
    <x v="5"/>
    <x v="5"/>
  </r>
  <r>
    <n v="218514844"/>
    <x v="360"/>
    <x v="0"/>
    <x v="0"/>
    <n v="39"/>
    <s v="month"/>
    <s v="Not Cancelled"/>
    <x v="6"/>
    <x v="6"/>
  </r>
  <r>
    <n v="188622328"/>
    <x v="360"/>
    <x v="0"/>
    <x v="0"/>
    <n v="39"/>
    <s v="month"/>
    <s v="Not Cancelled"/>
    <x v="6"/>
    <x v="6"/>
  </r>
  <r>
    <n v="220790640"/>
    <x v="360"/>
    <x v="0"/>
    <x v="0"/>
    <n v="39"/>
    <s v="month"/>
    <s v="Not Cancelled"/>
    <x v="6"/>
    <x v="6"/>
  </r>
  <r>
    <n v="220675005"/>
    <x v="360"/>
    <x v="0"/>
    <x v="0"/>
    <n v="39"/>
    <s v="month"/>
    <s v="Not Cancelled"/>
    <x v="6"/>
    <x v="6"/>
  </r>
  <r>
    <n v="142757196"/>
    <x v="360"/>
    <x v="0"/>
    <x v="0"/>
    <n v="39"/>
    <s v="month"/>
    <s v="Not Cancelled"/>
    <x v="6"/>
    <x v="6"/>
  </r>
  <r>
    <n v="220411940"/>
    <x v="360"/>
    <x v="0"/>
    <x v="0"/>
    <n v="39"/>
    <s v="month"/>
    <s v="Not Cancelled"/>
    <x v="6"/>
    <x v="6"/>
  </r>
  <r>
    <n v="155613371"/>
    <x v="360"/>
    <x v="0"/>
    <x v="0"/>
    <n v="39"/>
    <s v="month"/>
    <s v="Not Cancelled"/>
    <x v="6"/>
    <x v="6"/>
  </r>
  <r>
    <n v="164548755"/>
    <x v="360"/>
    <x v="0"/>
    <x v="0"/>
    <n v="39"/>
    <s v="month"/>
    <s v="Not Cancelled"/>
    <x v="6"/>
    <x v="6"/>
  </r>
  <r>
    <n v="220546810"/>
    <x v="360"/>
    <x v="0"/>
    <x v="0"/>
    <n v="39"/>
    <s v="month"/>
    <s v="Not Cancelled"/>
    <x v="6"/>
    <x v="6"/>
  </r>
  <r>
    <n v="215202566"/>
    <x v="360"/>
    <x v="211"/>
    <x v="0"/>
    <n v="39"/>
    <s v="month"/>
    <n v="0"/>
    <x v="6"/>
    <x v="6"/>
  </r>
  <r>
    <n v="135092264"/>
    <x v="361"/>
    <x v="0"/>
    <x v="0"/>
    <n v="39"/>
    <s v="month"/>
    <s v="Not Cancelled"/>
    <x v="0"/>
    <x v="0"/>
  </r>
  <r>
    <n v="220854418"/>
    <x v="361"/>
    <x v="0"/>
    <x v="0"/>
    <n v="39"/>
    <s v="month"/>
    <s v="Not Cancelled"/>
    <x v="0"/>
    <x v="0"/>
  </r>
  <r>
    <n v="220851140"/>
    <x v="361"/>
    <x v="0"/>
    <x v="0"/>
    <n v="39"/>
    <s v="month"/>
    <s v="Not Cancelled"/>
    <x v="0"/>
    <x v="0"/>
  </r>
  <r>
    <n v="220843911"/>
    <x v="361"/>
    <x v="0"/>
    <x v="0"/>
    <n v="39"/>
    <s v="month"/>
    <s v="Not Cancelled"/>
    <x v="0"/>
    <x v="0"/>
  </r>
  <r>
    <n v="216137022"/>
    <x v="361"/>
    <x v="0"/>
    <x v="0"/>
    <n v="39"/>
    <s v="month"/>
    <s v="Not Cancelled"/>
    <x v="0"/>
    <x v="0"/>
  </r>
  <r>
    <n v="161151062"/>
    <x v="361"/>
    <x v="0"/>
    <x v="0"/>
    <n v="39"/>
    <s v="month"/>
    <s v="Not Cancelled"/>
    <x v="0"/>
    <x v="0"/>
  </r>
  <r>
    <n v="148085880"/>
    <x v="361"/>
    <x v="0"/>
    <x v="0"/>
    <n v="39"/>
    <s v="month"/>
    <s v="Not Cancelled"/>
    <x v="0"/>
    <x v="0"/>
  </r>
  <r>
    <n v="182061738"/>
    <x v="362"/>
    <x v="0"/>
    <x v="0"/>
    <n v="39"/>
    <s v="month"/>
    <s v="Not Cancelled"/>
    <x v="1"/>
    <x v="1"/>
  </r>
  <r>
    <n v="220860582"/>
    <x v="362"/>
    <x v="0"/>
    <x v="0"/>
    <n v="39"/>
    <s v="month"/>
    <s v="Not Cancelled"/>
    <x v="1"/>
    <x v="1"/>
  </r>
  <r>
    <n v="218315334"/>
    <x v="362"/>
    <x v="0"/>
    <x v="0"/>
    <n v="39"/>
    <s v="month"/>
    <s v="Not Cancelled"/>
    <x v="1"/>
    <x v="1"/>
  </r>
  <r>
    <n v="217246008"/>
    <x v="362"/>
    <x v="0"/>
    <x v="0"/>
    <n v="39"/>
    <s v="month"/>
    <s v="Not Cancelled"/>
    <x v="1"/>
    <x v="1"/>
  </r>
  <r>
    <n v="220835326"/>
    <x v="362"/>
    <x v="0"/>
    <x v="0"/>
    <n v="39"/>
    <s v="month"/>
    <s v="Not Cancelled"/>
    <x v="1"/>
    <x v="1"/>
  </r>
  <r>
    <n v="219470485"/>
    <x v="362"/>
    <x v="0"/>
    <x v="0"/>
    <n v="39"/>
    <s v="month"/>
    <s v="Not Cancelled"/>
    <x v="1"/>
    <x v="1"/>
  </r>
  <r>
    <n v="182153913"/>
    <x v="363"/>
    <x v="0"/>
    <x v="0"/>
    <n v="39"/>
    <s v="month"/>
    <s v="Not Cancelled"/>
    <x v="2"/>
    <x v="2"/>
  </r>
  <r>
    <n v="217223132"/>
    <x v="363"/>
    <x v="0"/>
    <x v="0"/>
    <n v="39"/>
    <s v="month"/>
    <s v="Not Cancelled"/>
    <x v="2"/>
    <x v="2"/>
  </r>
  <r>
    <n v="219643599"/>
    <x v="363"/>
    <x v="0"/>
    <x v="0"/>
    <n v="39"/>
    <s v="month"/>
    <s v="Not Cancelled"/>
    <x v="2"/>
    <x v="2"/>
  </r>
  <r>
    <n v="152851458"/>
    <x v="363"/>
    <x v="0"/>
    <x v="0"/>
    <n v="39"/>
    <s v="month"/>
    <s v="Not Cancelled"/>
    <x v="2"/>
    <x v="2"/>
  </r>
  <r>
    <n v="219657672"/>
    <x v="363"/>
    <x v="0"/>
    <x v="0"/>
    <n v="39"/>
    <s v="month"/>
    <s v="Not Cancelled"/>
    <x v="2"/>
    <x v="2"/>
  </r>
  <r>
    <n v="220973656"/>
    <x v="364"/>
    <x v="0"/>
    <x v="0"/>
    <n v="39"/>
    <s v="month"/>
    <s v="Not Cancelled"/>
    <x v="3"/>
    <x v="3"/>
  </r>
  <r>
    <n v="159717680"/>
    <x v="364"/>
    <x v="0"/>
    <x v="0"/>
    <n v="39"/>
    <s v="month"/>
    <s v="Not Cancelled"/>
    <x v="3"/>
    <x v="3"/>
  </r>
  <r>
    <n v="220420126"/>
    <x v="364"/>
    <x v="0"/>
    <x v="0"/>
    <n v="39"/>
    <s v="month"/>
    <s v="Not Cancelled"/>
    <x v="3"/>
    <x v="3"/>
  </r>
  <r>
    <n v="220965750"/>
    <x v="364"/>
    <x v="0"/>
    <x v="0"/>
    <n v="39"/>
    <s v="month"/>
    <s v="Not Cancelled"/>
    <x v="3"/>
    <x v="3"/>
  </r>
  <r>
    <n v="219065931"/>
    <x v="364"/>
    <x v="0"/>
    <x v="0"/>
    <n v="39"/>
    <s v="month"/>
    <s v="Not Cancelled"/>
    <x v="3"/>
    <x v="3"/>
  </r>
  <r>
    <n v="220707034"/>
    <x v="364"/>
    <x v="0"/>
    <x v="0"/>
    <n v="39"/>
    <s v="month"/>
    <s v="Not Cancelled"/>
    <x v="3"/>
    <x v="3"/>
  </r>
  <r>
    <n v="220875396"/>
    <x v="364"/>
    <x v="0"/>
    <x v="0"/>
    <n v="39"/>
    <s v="month"/>
    <s v="Not Cancelled"/>
    <x v="3"/>
    <x v="3"/>
  </r>
  <r>
    <n v="134054676"/>
    <x v="364"/>
    <x v="294"/>
    <x v="0"/>
    <n v="39"/>
    <s v="month"/>
    <n v="2"/>
    <x v="3"/>
    <x v="3"/>
  </r>
  <r>
    <n v="183702574"/>
    <x v="364"/>
    <x v="302"/>
    <x v="0"/>
    <n v="39"/>
    <s v="month"/>
    <n v="0"/>
    <x v="3"/>
    <x v="3"/>
  </r>
  <r>
    <n v="220997288"/>
    <x v="365"/>
    <x v="0"/>
    <x v="0"/>
    <n v="39"/>
    <s v="month"/>
    <s v="Not Cancelled"/>
    <x v="4"/>
    <x v="4"/>
  </r>
  <r>
    <n v="218617631"/>
    <x v="365"/>
    <x v="0"/>
    <x v="0"/>
    <n v="39"/>
    <s v="month"/>
    <s v="Not Cancelled"/>
    <x v="4"/>
    <x v="4"/>
  </r>
  <r>
    <n v="220952702"/>
    <x v="365"/>
    <x v="0"/>
    <x v="0"/>
    <n v="39"/>
    <s v="month"/>
    <s v="Not Cancelled"/>
    <x v="4"/>
    <x v="4"/>
  </r>
  <r>
    <n v="156460574"/>
    <x v="365"/>
    <x v="0"/>
    <x v="0"/>
    <n v="39"/>
    <s v="month"/>
    <s v="Not Cancelled"/>
    <x v="4"/>
    <x v="4"/>
  </r>
  <r>
    <n v="221012872"/>
    <x v="365"/>
    <x v="0"/>
    <x v="0"/>
    <n v="39"/>
    <s v="month"/>
    <s v="Not Cancelled"/>
    <x v="4"/>
    <x v="4"/>
  </r>
  <r>
    <n v="220845656"/>
    <x v="365"/>
    <x v="0"/>
    <x v="0"/>
    <n v="39"/>
    <s v="month"/>
    <s v="Not Cancelled"/>
    <x v="4"/>
    <x v="4"/>
  </r>
  <r>
    <n v="220989516"/>
    <x v="365"/>
    <x v="0"/>
    <x v="0"/>
    <n v="39"/>
    <s v="month"/>
    <s v="Not Cancelled"/>
    <x v="4"/>
    <x v="4"/>
  </r>
  <r>
    <n v="135317128"/>
    <x v="365"/>
    <x v="0"/>
    <x v="0"/>
    <n v="39"/>
    <s v="month"/>
    <s v="Not Cancelled"/>
    <x v="4"/>
    <x v="4"/>
  </r>
  <r>
    <n v="220984730"/>
    <x v="365"/>
    <x v="0"/>
    <x v="0"/>
    <n v="39"/>
    <s v="month"/>
    <s v="Not Cancelled"/>
    <x v="4"/>
    <x v="4"/>
  </r>
  <r>
    <n v="220984628"/>
    <x v="365"/>
    <x v="0"/>
    <x v="0"/>
    <n v="39"/>
    <s v="month"/>
    <s v="Not Cancelled"/>
    <x v="4"/>
    <x v="4"/>
  </r>
  <r>
    <n v="220989226"/>
    <x v="365"/>
    <x v="0"/>
    <x v="0"/>
    <n v="39"/>
    <s v="month"/>
    <s v="Not Cancelled"/>
    <x v="4"/>
    <x v="4"/>
  </r>
  <r>
    <n v="220988969"/>
    <x v="365"/>
    <x v="0"/>
    <x v="0"/>
    <n v="39"/>
    <s v="month"/>
    <s v="Not Cancelled"/>
    <x v="4"/>
    <x v="4"/>
  </r>
  <r>
    <n v="220988022"/>
    <x v="365"/>
    <x v="0"/>
    <x v="0"/>
    <n v="39"/>
    <s v="month"/>
    <s v="Not Cancelled"/>
    <x v="4"/>
    <x v="4"/>
  </r>
  <r>
    <n v="220984390"/>
    <x v="365"/>
    <x v="0"/>
    <x v="0"/>
    <n v="39"/>
    <s v="month"/>
    <s v="Not Cancelled"/>
    <x v="4"/>
    <x v="4"/>
  </r>
  <r>
    <n v="181480437"/>
    <x v="365"/>
    <x v="0"/>
    <x v="0"/>
    <n v="39"/>
    <s v="month"/>
    <s v="Not Cancelled"/>
    <x v="4"/>
    <x v="4"/>
  </r>
  <r>
    <n v="125219153"/>
    <x v="366"/>
    <x v="0"/>
    <x v="0"/>
    <n v="39"/>
    <s v="month"/>
    <s v="Not Cancelled"/>
    <x v="5"/>
    <x v="5"/>
  </r>
  <r>
    <n v="160833652"/>
    <x v="366"/>
    <x v="0"/>
    <x v="0"/>
    <n v="39"/>
    <s v="month"/>
    <s v="Not Cancelled"/>
    <x v="5"/>
    <x v="5"/>
  </r>
  <r>
    <n v="221073196"/>
    <x v="366"/>
    <x v="0"/>
    <x v="0"/>
    <n v="39"/>
    <s v="month"/>
    <s v="Not Cancelled"/>
    <x v="5"/>
    <x v="5"/>
  </r>
  <r>
    <n v="153733292"/>
    <x v="366"/>
    <x v="0"/>
    <x v="0"/>
    <n v="39"/>
    <s v="month"/>
    <s v="Not Cancelled"/>
    <x v="5"/>
    <x v="5"/>
  </r>
  <r>
    <n v="152692003"/>
    <x v="366"/>
    <x v="0"/>
    <x v="0"/>
    <n v="39"/>
    <s v="month"/>
    <s v="Not Cancelled"/>
    <x v="5"/>
    <x v="5"/>
  </r>
  <r>
    <n v="220528931"/>
    <x v="366"/>
    <x v="0"/>
    <x v="0"/>
    <n v="39"/>
    <s v="month"/>
    <s v="Not Cancelled"/>
    <x v="5"/>
    <x v="5"/>
  </r>
  <r>
    <n v="221052611"/>
    <x v="366"/>
    <x v="0"/>
    <x v="0"/>
    <n v="39"/>
    <s v="month"/>
    <s v="Not Cancelled"/>
    <x v="5"/>
    <x v="5"/>
  </r>
  <r>
    <n v="220665801"/>
    <x v="366"/>
    <x v="0"/>
    <x v="0"/>
    <n v="39"/>
    <s v="month"/>
    <s v="Not Cancelled"/>
    <x v="5"/>
    <x v="5"/>
  </r>
  <r>
    <n v="221028388"/>
    <x v="366"/>
    <x v="0"/>
    <x v="0"/>
    <n v="39"/>
    <s v="month"/>
    <s v="Not Cancelled"/>
    <x v="5"/>
    <x v="5"/>
  </r>
  <r>
    <n v="206284545"/>
    <x v="366"/>
    <x v="0"/>
    <x v="0"/>
    <n v="39"/>
    <s v="month"/>
    <s v="Not Cancelled"/>
    <x v="5"/>
    <x v="5"/>
  </r>
  <r>
    <n v="178531928"/>
    <x v="366"/>
    <x v="0"/>
    <x v="0"/>
    <n v="39"/>
    <s v="month"/>
    <s v="Not Cancelled"/>
    <x v="5"/>
    <x v="5"/>
  </r>
  <r>
    <n v="220994271"/>
    <x v="366"/>
    <x v="0"/>
    <x v="0"/>
    <n v="39"/>
    <s v="month"/>
    <s v="Not Cancelled"/>
    <x v="5"/>
    <x v="5"/>
  </r>
  <r>
    <n v="218720472"/>
    <x v="366"/>
    <x v="0"/>
    <x v="0"/>
    <n v="39"/>
    <s v="month"/>
    <s v="Not Cancelled"/>
    <x v="5"/>
    <x v="5"/>
  </r>
  <r>
    <n v="218900441"/>
    <x v="367"/>
    <x v="0"/>
    <x v="0"/>
    <n v="39"/>
    <s v="month"/>
    <s v="Not Cancelled"/>
    <x v="6"/>
    <x v="6"/>
  </r>
  <r>
    <n v="221123938"/>
    <x v="367"/>
    <x v="0"/>
    <x v="0"/>
    <n v="39"/>
    <s v="month"/>
    <s v="Not Cancelled"/>
    <x v="6"/>
    <x v="6"/>
  </r>
  <r>
    <n v="166750222"/>
    <x v="367"/>
    <x v="0"/>
    <x v="0"/>
    <n v="39"/>
    <s v="month"/>
    <s v="Not Cancelled"/>
    <x v="6"/>
    <x v="6"/>
  </r>
  <r>
    <n v="154783053"/>
    <x v="367"/>
    <x v="0"/>
    <x v="0"/>
    <n v="39"/>
    <s v="month"/>
    <s v="Not Cancelled"/>
    <x v="6"/>
    <x v="6"/>
  </r>
  <r>
    <n v="221100604"/>
    <x v="367"/>
    <x v="0"/>
    <x v="0"/>
    <n v="39"/>
    <s v="month"/>
    <s v="Not Cancelled"/>
    <x v="6"/>
    <x v="6"/>
  </r>
  <r>
    <n v="220703723"/>
    <x v="367"/>
    <x v="0"/>
    <x v="0"/>
    <n v="39"/>
    <s v="month"/>
    <s v="Not Cancelled"/>
    <x v="6"/>
    <x v="6"/>
  </r>
  <r>
    <n v="220815627"/>
    <x v="367"/>
    <x v="0"/>
    <x v="0"/>
    <n v="39"/>
    <s v="month"/>
    <s v="Not Cancelled"/>
    <x v="6"/>
    <x v="6"/>
  </r>
  <r>
    <n v="214764106"/>
    <x v="367"/>
    <x v="0"/>
    <x v="0"/>
    <n v="39"/>
    <s v="month"/>
    <s v="Not Cancelled"/>
    <x v="6"/>
    <x v="6"/>
  </r>
  <r>
    <n v="158763940"/>
    <x v="368"/>
    <x v="0"/>
    <x v="0"/>
    <n v="39"/>
    <s v="month"/>
    <s v="Not Cancelled"/>
    <x v="0"/>
    <x v="0"/>
  </r>
  <r>
    <n v="220065316"/>
    <x v="368"/>
    <x v="0"/>
    <x v="0"/>
    <n v="39"/>
    <s v="month"/>
    <s v="Not Cancelled"/>
    <x v="0"/>
    <x v="0"/>
  </r>
  <r>
    <n v="217662862"/>
    <x v="368"/>
    <x v="0"/>
    <x v="0"/>
    <n v="39"/>
    <s v="month"/>
    <s v="Not Cancelled"/>
    <x v="0"/>
    <x v="0"/>
  </r>
  <r>
    <n v="220328388"/>
    <x v="368"/>
    <x v="0"/>
    <x v="0"/>
    <n v="39"/>
    <s v="month"/>
    <s v="Not Cancelled"/>
    <x v="0"/>
    <x v="0"/>
  </r>
  <r>
    <n v="219521019"/>
    <x v="368"/>
    <x v="0"/>
    <x v="0"/>
    <n v="39"/>
    <s v="month"/>
    <s v="Not Cancelled"/>
    <x v="0"/>
    <x v="0"/>
  </r>
  <r>
    <n v="221145374"/>
    <x v="368"/>
    <x v="0"/>
    <x v="0"/>
    <n v="39"/>
    <s v="month"/>
    <s v="Not Cancelled"/>
    <x v="0"/>
    <x v="0"/>
  </r>
  <r>
    <n v="221130434"/>
    <x v="368"/>
    <x v="0"/>
    <x v="0"/>
    <n v="39"/>
    <s v="month"/>
    <s v="Not Cancelled"/>
    <x v="0"/>
    <x v="0"/>
  </r>
  <r>
    <n v="221189604"/>
    <x v="369"/>
    <x v="0"/>
    <x v="0"/>
    <n v="39"/>
    <s v="month"/>
    <s v="Not Cancelled"/>
    <x v="1"/>
    <x v="1"/>
  </r>
  <r>
    <n v="215174643"/>
    <x v="369"/>
    <x v="0"/>
    <x v="0"/>
    <n v="39"/>
    <s v="month"/>
    <s v="Not Cancelled"/>
    <x v="1"/>
    <x v="1"/>
  </r>
  <r>
    <n v="188354637"/>
    <x v="369"/>
    <x v="0"/>
    <x v="0"/>
    <n v="39"/>
    <s v="month"/>
    <s v="Not Cancelled"/>
    <x v="1"/>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69">
  <r>
    <n v="154536156"/>
    <x v="0"/>
    <x v="0"/>
    <x v="0"/>
    <n v="39"/>
    <s v="month"/>
    <x v="0"/>
    <n v="5"/>
  </r>
  <r>
    <n v="149713408"/>
    <x v="0"/>
    <x v="1"/>
    <x v="1"/>
    <n v="39"/>
    <s v="month"/>
    <x v="1"/>
    <n v="5"/>
  </r>
  <r>
    <n v="153756284"/>
    <x v="0"/>
    <x v="1"/>
    <x v="1"/>
    <n v="39"/>
    <s v="month"/>
    <x v="1"/>
    <n v="5"/>
  </r>
  <r>
    <n v="121253113"/>
    <x v="0"/>
    <x v="2"/>
    <x v="0"/>
    <n v="39"/>
    <s v="month"/>
    <x v="2"/>
    <n v="5"/>
  </r>
  <r>
    <n v="154467210"/>
    <x v="0"/>
    <x v="3"/>
    <x v="0"/>
    <n v="39"/>
    <s v="month"/>
    <x v="3"/>
    <n v="5"/>
  </r>
  <r>
    <n v="154510811"/>
    <x v="0"/>
    <x v="4"/>
    <x v="0"/>
    <n v="39"/>
    <s v="month"/>
    <x v="4"/>
    <n v="5"/>
  </r>
  <r>
    <n v="154494346"/>
    <x v="0"/>
    <x v="5"/>
    <x v="0"/>
    <n v="39"/>
    <s v="month"/>
    <x v="5"/>
    <n v="5"/>
  </r>
  <r>
    <n v="148671505"/>
    <x v="0"/>
    <x v="6"/>
    <x v="0"/>
    <n v="39"/>
    <s v="month"/>
    <x v="6"/>
    <n v="5"/>
  </r>
  <r>
    <n v="154568379"/>
    <x v="0"/>
    <x v="7"/>
    <x v="0"/>
    <n v="39"/>
    <s v="month"/>
    <x v="7"/>
    <n v="5"/>
  </r>
  <r>
    <n v="154428434"/>
    <x v="0"/>
    <x v="8"/>
    <x v="0"/>
    <n v="39"/>
    <s v="month"/>
    <x v="8"/>
    <n v="5"/>
  </r>
  <r>
    <n v="154601651"/>
    <x v="0"/>
    <x v="9"/>
    <x v="0"/>
    <n v="39"/>
    <s v="month"/>
    <x v="9"/>
    <n v="5"/>
  </r>
  <r>
    <n v="122824692"/>
    <x v="0"/>
    <x v="10"/>
    <x v="0"/>
    <n v="39"/>
    <s v="month"/>
    <x v="10"/>
    <n v="5"/>
  </r>
  <r>
    <n v="152925600"/>
    <x v="1"/>
    <x v="0"/>
    <x v="0"/>
    <n v="39"/>
    <s v="month"/>
    <x v="0"/>
    <n v="6"/>
  </r>
  <r>
    <n v="151154171"/>
    <x v="1"/>
    <x v="1"/>
    <x v="0"/>
    <n v="39"/>
    <s v="month"/>
    <x v="11"/>
    <n v="6"/>
  </r>
  <r>
    <n v="154640950"/>
    <x v="1"/>
    <x v="11"/>
    <x v="0"/>
    <n v="39"/>
    <s v="month"/>
    <x v="12"/>
    <n v="6"/>
  </r>
  <r>
    <n v="154617329"/>
    <x v="1"/>
    <x v="12"/>
    <x v="0"/>
    <n v="39"/>
    <s v="month"/>
    <x v="13"/>
    <n v="6"/>
  </r>
  <r>
    <n v="154089211"/>
    <x v="1"/>
    <x v="13"/>
    <x v="0"/>
    <n v="39"/>
    <s v="month"/>
    <x v="14"/>
    <n v="6"/>
  </r>
  <r>
    <n v="154653820"/>
    <x v="1"/>
    <x v="9"/>
    <x v="0"/>
    <n v="39"/>
    <s v="month"/>
    <x v="15"/>
    <n v="6"/>
  </r>
  <r>
    <n v="154131290"/>
    <x v="2"/>
    <x v="0"/>
    <x v="0"/>
    <n v="39"/>
    <s v="month"/>
    <x v="0"/>
    <n v="7"/>
  </r>
  <r>
    <n v="154434009"/>
    <x v="2"/>
    <x v="0"/>
    <x v="0"/>
    <n v="39"/>
    <s v="month"/>
    <x v="0"/>
    <n v="7"/>
  </r>
  <r>
    <n v="136108848"/>
    <x v="2"/>
    <x v="14"/>
    <x v="0"/>
    <n v="39"/>
    <s v="month"/>
    <x v="1"/>
    <n v="7"/>
  </r>
  <r>
    <n v="135185873"/>
    <x v="2"/>
    <x v="15"/>
    <x v="0"/>
    <n v="39"/>
    <s v="month"/>
    <x v="4"/>
    <n v="7"/>
  </r>
  <r>
    <n v="154592664"/>
    <x v="2"/>
    <x v="16"/>
    <x v="0"/>
    <n v="39"/>
    <s v="month"/>
    <x v="16"/>
    <n v="7"/>
  </r>
  <r>
    <n v="119436804"/>
    <x v="2"/>
    <x v="17"/>
    <x v="0"/>
    <n v="39"/>
    <s v="month"/>
    <x v="17"/>
    <n v="7"/>
  </r>
  <r>
    <n v="152929657"/>
    <x v="2"/>
    <x v="6"/>
    <x v="0"/>
    <n v="39"/>
    <s v="month"/>
    <x v="18"/>
    <n v="7"/>
  </r>
  <r>
    <n v="154708974"/>
    <x v="2"/>
    <x v="18"/>
    <x v="0"/>
    <n v="39"/>
    <s v="month"/>
    <x v="19"/>
    <n v="7"/>
  </r>
  <r>
    <n v="154567722"/>
    <x v="2"/>
    <x v="19"/>
    <x v="0"/>
    <n v="39"/>
    <s v="month"/>
    <x v="20"/>
    <n v="7"/>
  </r>
  <r>
    <n v="154719788"/>
    <x v="2"/>
    <x v="20"/>
    <x v="0"/>
    <n v="39"/>
    <s v="month"/>
    <x v="2"/>
    <n v="7"/>
  </r>
  <r>
    <n v="154809306"/>
    <x v="3"/>
    <x v="21"/>
    <x v="0"/>
    <n v="39"/>
    <s v="month"/>
    <x v="1"/>
    <n v="1"/>
  </r>
  <r>
    <n v="140391539"/>
    <x v="3"/>
    <x v="22"/>
    <x v="0"/>
    <n v="39"/>
    <s v="month"/>
    <x v="21"/>
    <n v="1"/>
  </r>
  <r>
    <n v="153194806"/>
    <x v="3"/>
    <x v="23"/>
    <x v="0"/>
    <n v="39"/>
    <s v="month"/>
    <x v="22"/>
    <n v="1"/>
  </r>
  <r>
    <n v="144402204"/>
    <x v="3"/>
    <x v="24"/>
    <x v="0"/>
    <n v="39"/>
    <s v="month"/>
    <x v="23"/>
    <n v="1"/>
  </r>
  <r>
    <n v="154747678"/>
    <x v="3"/>
    <x v="25"/>
    <x v="0"/>
    <n v="39"/>
    <s v="month"/>
    <x v="24"/>
    <n v="1"/>
  </r>
  <r>
    <n v="130939158"/>
    <x v="3"/>
    <x v="26"/>
    <x v="0"/>
    <n v="39"/>
    <s v="month"/>
    <x v="25"/>
    <n v="1"/>
  </r>
  <r>
    <n v="150912359"/>
    <x v="3"/>
    <x v="27"/>
    <x v="0"/>
    <n v="39"/>
    <s v="month"/>
    <x v="26"/>
    <n v="1"/>
  </r>
  <r>
    <n v="154132592"/>
    <x v="3"/>
    <x v="28"/>
    <x v="0"/>
    <n v="39"/>
    <s v="month"/>
    <x v="27"/>
    <n v="1"/>
  </r>
  <r>
    <n v="153368891"/>
    <x v="3"/>
    <x v="29"/>
    <x v="0"/>
    <n v="39"/>
    <s v="month"/>
    <x v="14"/>
    <n v="1"/>
  </r>
  <r>
    <n v="154225450"/>
    <x v="4"/>
    <x v="0"/>
    <x v="0"/>
    <n v="39"/>
    <s v="month"/>
    <x v="0"/>
    <n v="2"/>
  </r>
  <r>
    <n v="154904040"/>
    <x v="4"/>
    <x v="30"/>
    <x v="0"/>
    <n v="39"/>
    <s v="month"/>
    <x v="1"/>
    <n v="2"/>
  </r>
  <r>
    <n v="127604200"/>
    <x v="4"/>
    <x v="31"/>
    <x v="0"/>
    <n v="39"/>
    <s v="month"/>
    <x v="28"/>
    <n v="2"/>
  </r>
  <r>
    <n v="154913576"/>
    <x v="4"/>
    <x v="32"/>
    <x v="0"/>
    <n v="39"/>
    <s v="month"/>
    <x v="29"/>
    <n v="2"/>
  </r>
  <r>
    <n v="154910432"/>
    <x v="4"/>
    <x v="32"/>
    <x v="0"/>
    <n v="39"/>
    <s v="month"/>
    <x v="29"/>
    <n v="2"/>
  </r>
  <r>
    <n v="154911229"/>
    <x v="4"/>
    <x v="33"/>
    <x v="0"/>
    <n v="39"/>
    <s v="month"/>
    <x v="30"/>
    <n v="2"/>
  </r>
  <r>
    <n v="154518837"/>
    <x v="4"/>
    <x v="34"/>
    <x v="0"/>
    <n v="39"/>
    <s v="month"/>
    <x v="31"/>
    <n v="2"/>
  </r>
  <r>
    <n v="154910009"/>
    <x v="4"/>
    <x v="35"/>
    <x v="0"/>
    <n v="39"/>
    <s v="month"/>
    <x v="32"/>
    <n v="2"/>
  </r>
  <r>
    <n v="154911693"/>
    <x v="4"/>
    <x v="35"/>
    <x v="0"/>
    <n v="39"/>
    <s v="month"/>
    <x v="32"/>
    <n v="2"/>
  </r>
  <r>
    <n v="154894177"/>
    <x v="4"/>
    <x v="36"/>
    <x v="0"/>
    <n v="39"/>
    <s v="month"/>
    <x v="12"/>
    <n v="2"/>
  </r>
  <r>
    <n v="154494026"/>
    <x v="4"/>
    <x v="36"/>
    <x v="0"/>
    <n v="39"/>
    <s v="month"/>
    <x v="12"/>
    <n v="2"/>
  </r>
  <r>
    <n v="154245189"/>
    <x v="4"/>
    <x v="5"/>
    <x v="0"/>
    <n v="39"/>
    <s v="month"/>
    <x v="33"/>
    <n v="2"/>
  </r>
  <r>
    <n v="154604182"/>
    <x v="4"/>
    <x v="37"/>
    <x v="0"/>
    <n v="39"/>
    <s v="month"/>
    <x v="34"/>
    <n v="2"/>
  </r>
  <r>
    <n v="154711552"/>
    <x v="4"/>
    <x v="38"/>
    <x v="0"/>
    <n v="39"/>
    <s v="month"/>
    <x v="35"/>
    <n v="2"/>
  </r>
  <r>
    <n v="154827564"/>
    <x v="4"/>
    <x v="13"/>
    <x v="0"/>
    <n v="39"/>
    <s v="month"/>
    <x v="36"/>
    <n v="2"/>
  </r>
  <r>
    <n v="143581543"/>
    <x v="4"/>
    <x v="39"/>
    <x v="0"/>
    <n v="39"/>
    <s v="month"/>
    <x v="14"/>
    <n v="2"/>
  </r>
  <r>
    <n v="154867798"/>
    <x v="4"/>
    <x v="38"/>
    <x v="0"/>
    <n v="39"/>
    <s v="month"/>
    <x v="35"/>
    <n v="2"/>
  </r>
  <r>
    <n v="154863996"/>
    <x v="4"/>
    <x v="40"/>
    <x v="0"/>
    <n v="39"/>
    <s v="month"/>
    <x v="37"/>
    <n v="2"/>
  </r>
  <r>
    <n v="154923423"/>
    <x v="5"/>
    <x v="0"/>
    <x v="0"/>
    <n v="39"/>
    <s v="month"/>
    <x v="0"/>
    <n v="3"/>
  </r>
  <r>
    <n v="134664128"/>
    <x v="5"/>
    <x v="0"/>
    <x v="0"/>
    <n v="39"/>
    <s v="month"/>
    <x v="0"/>
    <n v="3"/>
  </r>
  <r>
    <n v="154828806"/>
    <x v="5"/>
    <x v="41"/>
    <x v="0"/>
    <n v="39"/>
    <s v="month"/>
    <x v="38"/>
    <n v="3"/>
  </r>
  <r>
    <n v="154934030"/>
    <x v="5"/>
    <x v="42"/>
    <x v="0"/>
    <n v="39"/>
    <s v="month"/>
    <x v="39"/>
    <n v="3"/>
  </r>
  <r>
    <n v="153671424"/>
    <x v="5"/>
    <x v="43"/>
    <x v="0"/>
    <n v="39"/>
    <s v="month"/>
    <x v="14"/>
    <n v="3"/>
  </r>
  <r>
    <n v="154693818"/>
    <x v="5"/>
    <x v="43"/>
    <x v="0"/>
    <n v="39"/>
    <s v="month"/>
    <x v="14"/>
    <n v="3"/>
  </r>
  <r>
    <n v="154110938"/>
    <x v="5"/>
    <x v="9"/>
    <x v="0"/>
    <n v="39"/>
    <s v="month"/>
    <x v="40"/>
    <n v="3"/>
  </r>
  <r>
    <n v="154809306"/>
    <x v="5"/>
    <x v="44"/>
    <x v="0"/>
    <n v="39"/>
    <s v="month"/>
    <x v="2"/>
    <n v="3"/>
  </r>
  <r>
    <n v="154537244"/>
    <x v="6"/>
    <x v="0"/>
    <x v="0"/>
    <n v="39"/>
    <s v="month"/>
    <x v="0"/>
    <n v="4"/>
  </r>
  <r>
    <n v="154163218"/>
    <x v="6"/>
    <x v="0"/>
    <x v="0"/>
    <n v="39"/>
    <s v="month"/>
    <x v="0"/>
    <n v="4"/>
  </r>
  <r>
    <n v="129467426"/>
    <x v="6"/>
    <x v="45"/>
    <x v="0"/>
    <n v="39"/>
    <s v="month"/>
    <x v="41"/>
    <n v="4"/>
  </r>
  <r>
    <n v="152498330"/>
    <x v="6"/>
    <x v="46"/>
    <x v="0"/>
    <n v="39"/>
    <s v="month"/>
    <x v="25"/>
    <n v="4"/>
  </r>
  <r>
    <n v="125335731"/>
    <x v="6"/>
    <x v="47"/>
    <x v="0"/>
    <n v="39"/>
    <s v="month"/>
    <x v="42"/>
    <n v="4"/>
  </r>
  <r>
    <n v="155113805"/>
    <x v="7"/>
    <x v="0"/>
    <x v="0"/>
    <n v="39"/>
    <s v="month"/>
    <x v="0"/>
    <n v="5"/>
  </r>
  <r>
    <n v="148864769"/>
    <x v="7"/>
    <x v="48"/>
    <x v="0"/>
    <n v="39"/>
    <s v="month"/>
    <x v="43"/>
    <n v="5"/>
  </r>
  <r>
    <n v="123850281"/>
    <x v="7"/>
    <x v="49"/>
    <x v="0"/>
    <n v="39"/>
    <s v="month"/>
    <x v="14"/>
    <n v="5"/>
  </r>
  <r>
    <n v="155167073"/>
    <x v="7"/>
    <x v="31"/>
    <x v="0"/>
    <n v="39"/>
    <s v="month"/>
    <x v="44"/>
    <n v="5"/>
  </r>
  <r>
    <n v="153684891"/>
    <x v="7"/>
    <x v="40"/>
    <x v="0"/>
    <n v="39"/>
    <s v="month"/>
    <x v="1"/>
    <n v="5"/>
  </r>
  <r>
    <n v="131277340"/>
    <x v="8"/>
    <x v="50"/>
    <x v="0"/>
    <n v="39"/>
    <s v="month"/>
    <x v="45"/>
    <n v="6"/>
  </r>
  <r>
    <n v="152027172"/>
    <x v="8"/>
    <x v="51"/>
    <x v="0"/>
    <n v="39"/>
    <s v="month"/>
    <x v="46"/>
    <n v="6"/>
  </r>
  <r>
    <n v="155212612"/>
    <x v="8"/>
    <x v="52"/>
    <x v="0"/>
    <n v="39"/>
    <s v="month"/>
    <x v="13"/>
    <n v="6"/>
  </r>
  <r>
    <n v="155188498"/>
    <x v="8"/>
    <x v="13"/>
    <x v="0"/>
    <n v="39"/>
    <s v="month"/>
    <x v="35"/>
    <n v="6"/>
  </r>
  <r>
    <n v="155145336"/>
    <x v="8"/>
    <x v="53"/>
    <x v="0"/>
    <n v="39"/>
    <s v="month"/>
    <x v="15"/>
    <n v="6"/>
  </r>
  <r>
    <n v="152506474"/>
    <x v="8"/>
    <x v="54"/>
    <x v="0"/>
    <n v="39"/>
    <s v="month"/>
    <x v="14"/>
    <n v="6"/>
  </r>
  <r>
    <n v="118029150"/>
    <x v="8"/>
    <x v="55"/>
    <x v="0"/>
    <n v="39"/>
    <s v="month"/>
    <x v="47"/>
    <n v="6"/>
  </r>
  <r>
    <n v="155245796"/>
    <x v="9"/>
    <x v="0"/>
    <x v="0"/>
    <n v="39"/>
    <s v="month"/>
    <x v="0"/>
    <n v="7"/>
  </r>
  <r>
    <n v="155326259"/>
    <x v="9"/>
    <x v="56"/>
    <x v="0"/>
    <n v="39"/>
    <s v="month"/>
    <x v="48"/>
    <n v="7"/>
  </r>
  <r>
    <n v="155311918"/>
    <x v="9"/>
    <x v="36"/>
    <x v="0"/>
    <n v="39"/>
    <s v="month"/>
    <x v="49"/>
    <n v="7"/>
  </r>
  <r>
    <n v="154391473"/>
    <x v="9"/>
    <x v="39"/>
    <x v="0"/>
    <n v="39"/>
    <s v="month"/>
    <x v="50"/>
    <n v="7"/>
  </r>
  <r>
    <n v="155283495"/>
    <x v="9"/>
    <x v="57"/>
    <x v="0"/>
    <n v="39"/>
    <s v="month"/>
    <x v="44"/>
    <n v="7"/>
  </r>
  <r>
    <n v="154597373"/>
    <x v="9"/>
    <x v="31"/>
    <x v="0"/>
    <n v="39"/>
    <s v="month"/>
    <x v="20"/>
    <n v="7"/>
  </r>
  <r>
    <n v="155370310"/>
    <x v="10"/>
    <x v="58"/>
    <x v="0"/>
    <n v="39"/>
    <s v="month"/>
    <x v="51"/>
    <n v="1"/>
  </r>
  <r>
    <n v="155289120"/>
    <x v="10"/>
    <x v="59"/>
    <x v="0"/>
    <n v="39"/>
    <s v="month"/>
    <x v="52"/>
    <n v="1"/>
  </r>
  <r>
    <n v="155351408"/>
    <x v="10"/>
    <x v="60"/>
    <x v="0"/>
    <n v="39"/>
    <s v="month"/>
    <x v="53"/>
    <n v="1"/>
  </r>
  <r>
    <n v="155336773"/>
    <x v="10"/>
    <x v="61"/>
    <x v="0"/>
    <n v="39"/>
    <s v="month"/>
    <x v="54"/>
    <n v="1"/>
  </r>
  <r>
    <n v="155017581"/>
    <x v="10"/>
    <x v="27"/>
    <x v="0"/>
    <n v="39"/>
    <s v="month"/>
    <x v="55"/>
    <n v="1"/>
  </r>
  <r>
    <n v="154401329"/>
    <x v="10"/>
    <x v="49"/>
    <x v="0"/>
    <n v="39"/>
    <s v="month"/>
    <x v="36"/>
    <n v="1"/>
  </r>
  <r>
    <n v="155334828"/>
    <x v="10"/>
    <x v="29"/>
    <x v="0"/>
    <n v="39"/>
    <s v="month"/>
    <x v="35"/>
    <n v="1"/>
  </r>
  <r>
    <n v="154815431"/>
    <x v="10"/>
    <x v="62"/>
    <x v="0"/>
    <n v="39"/>
    <s v="month"/>
    <x v="11"/>
    <n v="1"/>
  </r>
  <r>
    <n v="155343938"/>
    <x v="10"/>
    <x v="63"/>
    <x v="0"/>
    <n v="39"/>
    <s v="month"/>
    <x v="47"/>
    <n v="1"/>
  </r>
  <r>
    <n v="152436458"/>
    <x v="11"/>
    <x v="64"/>
    <x v="0"/>
    <n v="39"/>
    <s v="month"/>
    <x v="11"/>
    <n v="2"/>
  </r>
  <r>
    <n v="154689541"/>
    <x v="11"/>
    <x v="65"/>
    <x v="1"/>
    <n v="39"/>
    <s v="month"/>
    <x v="1"/>
    <n v="2"/>
  </r>
  <r>
    <n v="155425695"/>
    <x v="11"/>
    <x v="37"/>
    <x v="0"/>
    <n v="39"/>
    <s v="month"/>
    <x v="14"/>
    <n v="2"/>
  </r>
  <r>
    <n v="152698255"/>
    <x v="11"/>
    <x v="39"/>
    <x v="0"/>
    <n v="39"/>
    <s v="month"/>
    <x v="35"/>
    <n v="2"/>
  </r>
  <r>
    <n v="155406449"/>
    <x v="12"/>
    <x v="66"/>
    <x v="0"/>
    <n v="39"/>
    <s v="month"/>
    <x v="56"/>
    <n v="3"/>
  </r>
  <r>
    <n v="137338480"/>
    <x v="12"/>
    <x v="47"/>
    <x v="0"/>
    <n v="39"/>
    <s v="month"/>
    <x v="1"/>
    <n v="3"/>
  </r>
  <r>
    <n v="155508519"/>
    <x v="12"/>
    <x v="67"/>
    <x v="0"/>
    <n v="39"/>
    <s v="month"/>
    <x v="57"/>
    <n v="3"/>
  </r>
  <r>
    <n v="155463846"/>
    <x v="12"/>
    <x v="53"/>
    <x v="0"/>
    <n v="39"/>
    <s v="month"/>
    <x v="40"/>
    <n v="3"/>
  </r>
  <r>
    <n v="122335220"/>
    <x v="12"/>
    <x v="68"/>
    <x v="0"/>
    <n v="39"/>
    <s v="month"/>
    <x v="37"/>
    <n v="3"/>
  </r>
  <r>
    <n v="155460904"/>
    <x v="12"/>
    <x v="69"/>
    <x v="0"/>
    <n v="39"/>
    <s v="month"/>
    <x v="58"/>
    <n v="3"/>
  </r>
  <r>
    <n v="155534484"/>
    <x v="13"/>
    <x v="10"/>
    <x v="1"/>
    <n v="39"/>
    <s v="month"/>
    <x v="1"/>
    <n v="4"/>
  </r>
  <r>
    <n v="155465332"/>
    <x v="13"/>
    <x v="70"/>
    <x v="0"/>
    <n v="39"/>
    <s v="month"/>
    <x v="45"/>
    <n v="4"/>
  </r>
  <r>
    <n v="155562517"/>
    <x v="13"/>
    <x v="71"/>
    <x v="0"/>
    <n v="39"/>
    <s v="month"/>
    <x v="46"/>
    <n v="4"/>
  </r>
  <r>
    <n v="153577096"/>
    <x v="13"/>
    <x v="72"/>
    <x v="0"/>
    <n v="39"/>
    <s v="month"/>
    <x v="14"/>
    <n v="4"/>
  </r>
  <r>
    <n v="154937101"/>
    <x v="14"/>
    <x v="0"/>
    <x v="0"/>
    <n v="39"/>
    <s v="month"/>
    <x v="0"/>
    <n v="5"/>
  </r>
  <r>
    <n v="144968444"/>
    <x v="14"/>
    <x v="10"/>
    <x v="1"/>
    <n v="39"/>
    <s v="month"/>
    <x v="11"/>
    <n v="5"/>
  </r>
  <r>
    <n v="155270889"/>
    <x v="14"/>
    <x v="70"/>
    <x v="0"/>
    <n v="39"/>
    <s v="month"/>
    <x v="59"/>
    <n v="5"/>
  </r>
  <r>
    <n v="155601465"/>
    <x v="14"/>
    <x v="73"/>
    <x v="0"/>
    <n v="39"/>
    <s v="month"/>
    <x v="60"/>
    <n v="5"/>
  </r>
  <r>
    <n v="154045370"/>
    <x v="14"/>
    <x v="74"/>
    <x v="0"/>
    <n v="39"/>
    <s v="month"/>
    <x v="61"/>
    <n v="5"/>
  </r>
  <r>
    <n v="155612742"/>
    <x v="14"/>
    <x v="75"/>
    <x v="0"/>
    <n v="39"/>
    <s v="month"/>
    <x v="7"/>
    <n v="5"/>
  </r>
  <r>
    <n v="155621162"/>
    <x v="14"/>
    <x v="76"/>
    <x v="0"/>
    <n v="39"/>
    <s v="month"/>
    <x v="8"/>
    <n v="5"/>
  </r>
  <r>
    <n v="154904040"/>
    <x v="14"/>
    <x v="77"/>
    <x v="0"/>
    <n v="39"/>
    <s v="month"/>
    <x v="14"/>
    <n v="5"/>
  </r>
  <r>
    <n v="150810434"/>
    <x v="14"/>
    <x v="39"/>
    <x v="0"/>
    <n v="39"/>
    <s v="month"/>
    <x v="62"/>
    <n v="5"/>
  </r>
  <r>
    <n v="150825802"/>
    <x v="14"/>
    <x v="43"/>
    <x v="0"/>
    <n v="39"/>
    <s v="month"/>
    <x v="44"/>
    <n v="5"/>
  </r>
  <r>
    <n v="151907203"/>
    <x v="14"/>
    <x v="29"/>
    <x v="0"/>
    <n v="39"/>
    <s v="month"/>
    <x v="20"/>
    <n v="5"/>
  </r>
  <r>
    <n v="149595273"/>
    <x v="14"/>
    <x v="19"/>
    <x v="0"/>
    <n v="39"/>
    <s v="month"/>
    <x v="10"/>
    <n v="5"/>
  </r>
  <r>
    <n v="155596960"/>
    <x v="14"/>
    <x v="2"/>
    <x v="0"/>
    <n v="39"/>
    <s v="month"/>
    <x v="63"/>
    <n v="5"/>
  </r>
  <r>
    <n v="155192606"/>
    <x v="15"/>
    <x v="0"/>
    <x v="0"/>
    <n v="39"/>
    <s v="month"/>
    <x v="0"/>
    <n v="6"/>
  </r>
  <r>
    <n v="129111644"/>
    <x v="15"/>
    <x v="78"/>
    <x v="0"/>
    <n v="39"/>
    <s v="month"/>
    <x v="30"/>
    <n v="6"/>
  </r>
  <r>
    <n v="155426674"/>
    <x v="15"/>
    <x v="17"/>
    <x v="0"/>
    <n v="39"/>
    <s v="month"/>
    <x v="64"/>
    <n v="6"/>
  </r>
  <r>
    <n v="154389303"/>
    <x v="15"/>
    <x v="79"/>
    <x v="0"/>
    <n v="39"/>
    <s v="month"/>
    <x v="65"/>
    <n v="6"/>
  </r>
  <r>
    <n v="155671632"/>
    <x v="15"/>
    <x v="80"/>
    <x v="0"/>
    <n v="39"/>
    <s v="month"/>
    <x v="66"/>
    <n v="6"/>
  </r>
  <r>
    <n v="155663101"/>
    <x v="15"/>
    <x v="81"/>
    <x v="0"/>
    <n v="39"/>
    <s v="month"/>
    <x v="23"/>
    <n v="6"/>
  </r>
  <r>
    <n v="152084572"/>
    <x v="16"/>
    <x v="0"/>
    <x v="0"/>
    <n v="39"/>
    <s v="month"/>
    <x v="0"/>
    <n v="7"/>
  </r>
  <r>
    <n v="155783230"/>
    <x v="16"/>
    <x v="82"/>
    <x v="0"/>
    <n v="39"/>
    <s v="month"/>
    <x v="67"/>
    <n v="7"/>
  </r>
  <r>
    <n v="155714315"/>
    <x v="16"/>
    <x v="83"/>
    <x v="0"/>
    <n v="39"/>
    <s v="month"/>
    <x v="68"/>
    <n v="7"/>
  </r>
  <r>
    <n v="155774393"/>
    <x v="16"/>
    <x v="18"/>
    <x v="0"/>
    <n v="39"/>
    <s v="month"/>
    <x v="28"/>
    <n v="7"/>
  </r>
  <r>
    <n v="152901090"/>
    <x v="17"/>
    <x v="84"/>
    <x v="0"/>
    <n v="39"/>
    <s v="month"/>
    <x v="69"/>
    <n v="1"/>
  </r>
  <r>
    <n v="147029752"/>
    <x v="17"/>
    <x v="85"/>
    <x v="0"/>
    <n v="39"/>
    <s v="month"/>
    <x v="70"/>
    <n v="1"/>
  </r>
  <r>
    <n v="155809043"/>
    <x v="17"/>
    <x v="86"/>
    <x v="0"/>
    <n v="39"/>
    <s v="month"/>
    <x v="18"/>
    <n v="1"/>
  </r>
  <r>
    <n v="155180991"/>
    <x v="17"/>
    <x v="87"/>
    <x v="0"/>
    <n v="39"/>
    <s v="month"/>
    <x v="13"/>
    <n v="1"/>
  </r>
  <r>
    <n v="155713732"/>
    <x v="17"/>
    <x v="88"/>
    <x v="0"/>
    <n v="39"/>
    <s v="month"/>
    <x v="71"/>
    <n v="1"/>
  </r>
  <r>
    <n v="155204060"/>
    <x v="17"/>
    <x v="89"/>
    <x v="0"/>
    <n v="39"/>
    <s v="month"/>
    <x v="72"/>
    <n v="1"/>
  </r>
  <r>
    <n v="136817161"/>
    <x v="18"/>
    <x v="89"/>
    <x v="1"/>
    <n v="39"/>
    <s v="month"/>
    <x v="44"/>
    <n v="2"/>
  </r>
  <r>
    <n v="126212861"/>
    <x v="18"/>
    <x v="90"/>
    <x v="0"/>
    <n v="39"/>
    <s v="month"/>
    <x v="11"/>
    <n v="2"/>
  </r>
  <r>
    <n v="155265877"/>
    <x v="18"/>
    <x v="91"/>
    <x v="0"/>
    <n v="39"/>
    <s v="month"/>
    <x v="73"/>
    <n v="2"/>
  </r>
  <r>
    <n v="155916753"/>
    <x v="18"/>
    <x v="26"/>
    <x v="0"/>
    <n v="39"/>
    <s v="month"/>
    <x v="74"/>
    <n v="2"/>
  </r>
  <r>
    <n v="155927984"/>
    <x v="18"/>
    <x v="92"/>
    <x v="0"/>
    <n v="39"/>
    <s v="month"/>
    <x v="75"/>
    <n v="2"/>
  </r>
  <r>
    <n v="155876104"/>
    <x v="18"/>
    <x v="93"/>
    <x v="0"/>
    <n v="39"/>
    <s v="month"/>
    <x v="5"/>
    <n v="2"/>
  </r>
  <r>
    <n v="155733164"/>
    <x v="18"/>
    <x v="90"/>
    <x v="0"/>
    <n v="39"/>
    <s v="month"/>
    <x v="11"/>
    <n v="2"/>
  </r>
  <r>
    <n v="153832728"/>
    <x v="18"/>
    <x v="18"/>
    <x v="0"/>
    <n v="39"/>
    <s v="month"/>
    <x v="72"/>
    <n v="2"/>
  </r>
  <r>
    <n v="155876188"/>
    <x v="18"/>
    <x v="94"/>
    <x v="0"/>
    <n v="39"/>
    <s v="month"/>
    <x v="28"/>
    <n v="2"/>
  </r>
  <r>
    <n v="150687940"/>
    <x v="18"/>
    <x v="18"/>
    <x v="0"/>
    <n v="39"/>
    <s v="month"/>
    <x v="72"/>
    <n v="2"/>
  </r>
  <r>
    <n v="155967446"/>
    <x v="19"/>
    <x v="0"/>
    <x v="0"/>
    <n v="39"/>
    <s v="month"/>
    <x v="0"/>
    <n v="3"/>
  </r>
  <r>
    <n v="155687378"/>
    <x v="19"/>
    <x v="95"/>
    <x v="0"/>
    <n v="39"/>
    <s v="month"/>
    <x v="30"/>
    <n v="3"/>
  </r>
  <r>
    <n v="156020667"/>
    <x v="19"/>
    <x v="96"/>
    <x v="0"/>
    <n v="39"/>
    <s v="month"/>
    <x v="76"/>
    <n v="3"/>
  </r>
  <r>
    <n v="155869412"/>
    <x v="19"/>
    <x v="97"/>
    <x v="0"/>
    <n v="39"/>
    <s v="month"/>
    <x v="77"/>
    <n v="3"/>
  </r>
  <r>
    <n v="156042204"/>
    <x v="19"/>
    <x v="75"/>
    <x v="0"/>
    <n v="39"/>
    <s v="month"/>
    <x v="78"/>
    <n v="3"/>
  </r>
  <r>
    <n v="153568990"/>
    <x v="19"/>
    <x v="88"/>
    <x v="0"/>
    <n v="39"/>
    <s v="month"/>
    <x v="79"/>
    <n v="3"/>
  </r>
  <r>
    <n v="155327111"/>
    <x v="19"/>
    <x v="8"/>
    <x v="0"/>
    <n v="39"/>
    <s v="month"/>
    <x v="80"/>
    <n v="3"/>
  </r>
  <r>
    <n v="155270521"/>
    <x v="19"/>
    <x v="98"/>
    <x v="0"/>
    <n v="39"/>
    <s v="month"/>
    <x v="81"/>
    <n v="3"/>
  </r>
  <r>
    <n v="155991618"/>
    <x v="20"/>
    <x v="99"/>
    <x v="0"/>
    <n v="39"/>
    <s v="month"/>
    <x v="82"/>
    <n v="4"/>
  </r>
  <r>
    <n v="156045144"/>
    <x v="20"/>
    <x v="100"/>
    <x v="0"/>
    <n v="39"/>
    <s v="month"/>
    <x v="83"/>
    <n v="4"/>
  </r>
  <r>
    <n v="155439932"/>
    <x v="20"/>
    <x v="76"/>
    <x v="0"/>
    <n v="39"/>
    <s v="month"/>
    <x v="7"/>
    <n v="4"/>
  </r>
  <r>
    <n v="152674430"/>
    <x v="20"/>
    <x v="53"/>
    <x v="0"/>
    <n v="39"/>
    <s v="month"/>
    <x v="71"/>
    <n v="4"/>
  </r>
  <r>
    <n v="156135106"/>
    <x v="21"/>
    <x v="0"/>
    <x v="0"/>
    <n v="39"/>
    <s v="month"/>
    <x v="0"/>
    <n v="5"/>
  </r>
  <r>
    <n v="156185490"/>
    <x v="21"/>
    <x v="101"/>
    <x v="0"/>
    <n v="39"/>
    <s v="month"/>
    <x v="84"/>
    <n v="5"/>
  </r>
  <r>
    <n v="156180312"/>
    <x v="21"/>
    <x v="102"/>
    <x v="0"/>
    <n v="39"/>
    <s v="month"/>
    <x v="7"/>
    <n v="5"/>
  </r>
  <r>
    <n v="151263484"/>
    <x v="21"/>
    <x v="103"/>
    <x v="0"/>
    <n v="39"/>
    <s v="month"/>
    <x v="14"/>
    <n v="5"/>
  </r>
  <r>
    <n v="156008989"/>
    <x v="21"/>
    <x v="72"/>
    <x v="0"/>
    <n v="39"/>
    <s v="month"/>
    <x v="72"/>
    <n v="5"/>
  </r>
  <r>
    <n v="147687218"/>
    <x v="21"/>
    <x v="103"/>
    <x v="0"/>
    <n v="39"/>
    <s v="month"/>
    <x v="14"/>
    <n v="5"/>
  </r>
  <r>
    <n v="156235650"/>
    <x v="22"/>
    <x v="0"/>
    <x v="0"/>
    <n v="39"/>
    <s v="month"/>
    <x v="0"/>
    <n v="6"/>
  </r>
  <r>
    <n v="131128612"/>
    <x v="22"/>
    <x v="104"/>
    <x v="0"/>
    <n v="39"/>
    <s v="month"/>
    <x v="85"/>
    <n v="6"/>
  </r>
  <r>
    <n v="156198840"/>
    <x v="22"/>
    <x v="105"/>
    <x v="0"/>
    <n v="39"/>
    <s v="month"/>
    <x v="31"/>
    <n v="6"/>
  </r>
  <r>
    <n v="144166296"/>
    <x v="22"/>
    <x v="37"/>
    <x v="0"/>
    <n v="39"/>
    <s v="month"/>
    <x v="20"/>
    <n v="6"/>
  </r>
  <r>
    <n v="136108848"/>
    <x v="22"/>
    <x v="106"/>
    <x v="0"/>
    <n v="39"/>
    <s v="month"/>
    <x v="39"/>
    <n v="6"/>
  </r>
  <r>
    <n v="156225482"/>
    <x v="22"/>
    <x v="107"/>
    <x v="0"/>
    <n v="39"/>
    <s v="month"/>
    <x v="86"/>
    <n v="6"/>
  </r>
  <r>
    <n v="156209360"/>
    <x v="22"/>
    <x v="108"/>
    <x v="0"/>
    <n v="39"/>
    <s v="month"/>
    <x v="14"/>
    <n v="6"/>
  </r>
  <r>
    <n v="153492199"/>
    <x v="23"/>
    <x v="109"/>
    <x v="0"/>
    <n v="39"/>
    <s v="month"/>
    <x v="39"/>
    <n v="7"/>
  </r>
  <r>
    <n v="156127439"/>
    <x v="23"/>
    <x v="28"/>
    <x v="0"/>
    <n v="39"/>
    <s v="month"/>
    <x v="87"/>
    <n v="7"/>
  </r>
  <r>
    <n v="156197748"/>
    <x v="23"/>
    <x v="110"/>
    <x v="0"/>
    <n v="39"/>
    <s v="month"/>
    <x v="50"/>
    <n v="7"/>
  </r>
  <r>
    <n v="156292980"/>
    <x v="24"/>
    <x v="0"/>
    <x v="0"/>
    <n v="39"/>
    <s v="month"/>
    <x v="0"/>
    <n v="1"/>
  </r>
  <r>
    <n v="129284681"/>
    <x v="24"/>
    <x v="28"/>
    <x v="0"/>
    <n v="39"/>
    <s v="month"/>
    <x v="14"/>
    <n v="1"/>
  </r>
  <r>
    <n v="156249750"/>
    <x v="24"/>
    <x v="27"/>
    <x v="0"/>
    <n v="39"/>
    <s v="month"/>
    <x v="87"/>
    <n v="1"/>
  </r>
  <r>
    <n v="155143974"/>
    <x v="24"/>
    <x v="111"/>
    <x v="0"/>
    <n v="39"/>
    <s v="month"/>
    <x v="7"/>
    <n v="1"/>
  </r>
  <r>
    <n v="151354965"/>
    <x v="24"/>
    <x v="103"/>
    <x v="0"/>
    <n v="39"/>
    <s v="month"/>
    <x v="36"/>
    <n v="1"/>
  </r>
  <r>
    <n v="156178486"/>
    <x v="24"/>
    <x v="112"/>
    <x v="0"/>
    <n v="39"/>
    <s v="month"/>
    <x v="72"/>
    <n v="1"/>
  </r>
  <r>
    <n v="132314522"/>
    <x v="25"/>
    <x v="113"/>
    <x v="0"/>
    <n v="39"/>
    <s v="month"/>
    <x v="88"/>
    <n v="2"/>
  </r>
  <r>
    <n v="152505897"/>
    <x v="25"/>
    <x v="114"/>
    <x v="0"/>
    <n v="39"/>
    <s v="month"/>
    <x v="89"/>
    <n v="2"/>
  </r>
  <r>
    <n v="151086770"/>
    <x v="25"/>
    <x v="115"/>
    <x v="0"/>
    <n v="39"/>
    <s v="month"/>
    <x v="68"/>
    <n v="2"/>
  </r>
  <r>
    <n v="148713821"/>
    <x v="25"/>
    <x v="91"/>
    <x v="0"/>
    <n v="39"/>
    <s v="month"/>
    <x v="90"/>
    <n v="2"/>
  </r>
  <r>
    <n v="146422602"/>
    <x v="25"/>
    <x v="52"/>
    <x v="0"/>
    <n v="39"/>
    <s v="month"/>
    <x v="87"/>
    <n v="2"/>
  </r>
  <r>
    <n v="156460574"/>
    <x v="25"/>
    <x v="116"/>
    <x v="0"/>
    <n v="39"/>
    <s v="month"/>
    <x v="55"/>
    <n v="2"/>
  </r>
  <r>
    <n v="156364063"/>
    <x v="25"/>
    <x v="76"/>
    <x v="0"/>
    <n v="39"/>
    <s v="month"/>
    <x v="78"/>
    <n v="2"/>
  </r>
  <r>
    <n v="149139298"/>
    <x v="25"/>
    <x v="110"/>
    <x v="0"/>
    <n v="39"/>
    <s v="month"/>
    <x v="35"/>
    <n v="2"/>
  </r>
  <r>
    <n v="156371514"/>
    <x v="25"/>
    <x v="112"/>
    <x v="0"/>
    <n v="39"/>
    <s v="month"/>
    <x v="44"/>
    <n v="2"/>
  </r>
  <r>
    <n v="156423167"/>
    <x v="26"/>
    <x v="117"/>
    <x v="0"/>
    <n v="39"/>
    <s v="month"/>
    <x v="91"/>
    <n v="3"/>
  </r>
  <r>
    <n v="155199164"/>
    <x v="26"/>
    <x v="34"/>
    <x v="0"/>
    <n v="39"/>
    <s v="month"/>
    <x v="12"/>
    <n v="3"/>
  </r>
  <r>
    <n v="156373191"/>
    <x v="26"/>
    <x v="118"/>
    <x v="0"/>
    <n v="39"/>
    <s v="month"/>
    <x v="77"/>
    <n v="3"/>
  </r>
  <r>
    <n v="156517374"/>
    <x v="26"/>
    <x v="119"/>
    <x v="0"/>
    <n v="39"/>
    <s v="month"/>
    <x v="11"/>
    <n v="3"/>
  </r>
  <r>
    <n v="156032089"/>
    <x v="27"/>
    <x v="0"/>
    <x v="0"/>
    <n v="39"/>
    <s v="month"/>
    <x v="0"/>
    <n v="4"/>
  </r>
  <r>
    <n v="154563706"/>
    <x v="27"/>
    <x v="120"/>
    <x v="0"/>
    <n v="39"/>
    <s v="month"/>
    <x v="92"/>
    <n v="4"/>
  </r>
  <r>
    <n v="124481723"/>
    <x v="27"/>
    <x v="121"/>
    <x v="0"/>
    <n v="39"/>
    <s v="month"/>
    <x v="13"/>
    <n v="4"/>
  </r>
  <r>
    <n v="146861757"/>
    <x v="27"/>
    <x v="80"/>
    <x v="0"/>
    <n v="39"/>
    <s v="month"/>
    <x v="93"/>
    <n v="4"/>
  </r>
  <r>
    <n v="152476124"/>
    <x v="27"/>
    <x v="74"/>
    <x v="0"/>
    <n v="39"/>
    <s v="month"/>
    <x v="94"/>
    <n v="4"/>
  </r>
  <r>
    <n v="156192628"/>
    <x v="27"/>
    <x v="41"/>
    <x v="0"/>
    <n v="39"/>
    <s v="month"/>
    <x v="95"/>
    <n v="4"/>
  </r>
  <r>
    <n v="152109538"/>
    <x v="27"/>
    <x v="37"/>
    <x v="0"/>
    <n v="39"/>
    <s v="month"/>
    <x v="86"/>
    <n v="4"/>
  </r>
  <r>
    <n v="156659071"/>
    <x v="27"/>
    <x v="19"/>
    <x v="0"/>
    <n v="39"/>
    <s v="month"/>
    <x v="1"/>
    <n v="4"/>
  </r>
  <r>
    <n v="156717075"/>
    <x v="28"/>
    <x v="122"/>
    <x v="0"/>
    <n v="39"/>
    <s v="month"/>
    <x v="96"/>
    <n v="5"/>
  </r>
  <r>
    <n v="156715443"/>
    <x v="28"/>
    <x v="123"/>
    <x v="0"/>
    <n v="39"/>
    <s v="month"/>
    <x v="53"/>
    <n v="5"/>
  </r>
  <r>
    <n v="147656952"/>
    <x v="28"/>
    <x v="118"/>
    <x v="0"/>
    <n v="39"/>
    <s v="month"/>
    <x v="97"/>
    <n v="5"/>
  </r>
  <r>
    <n v="152918862"/>
    <x v="28"/>
    <x v="41"/>
    <x v="0"/>
    <n v="39"/>
    <s v="month"/>
    <x v="55"/>
    <n v="5"/>
  </r>
  <r>
    <n v="146866890"/>
    <x v="28"/>
    <x v="112"/>
    <x v="0"/>
    <n v="39"/>
    <s v="month"/>
    <x v="9"/>
    <n v="5"/>
  </r>
  <r>
    <n v="151735444"/>
    <x v="29"/>
    <x v="0"/>
    <x v="0"/>
    <n v="39"/>
    <s v="month"/>
    <x v="0"/>
    <n v="6"/>
  </r>
  <r>
    <n v="155608371"/>
    <x v="29"/>
    <x v="124"/>
    <x v="1"/>
    <n v="39"/>
    <s v="month"/>
    <x v="1"/>
    <n v="6"/>
  </r>
  <r>
    <n v="156809544"/>
    <x v="29"/>
    <x v="125"/>
    <x v="0"/>
    <n v="39"/>
    <s v="month"/>
    <x v="98"/>
    <n v="6"/>
  </r>
  <r>
    <n v="156813288"/>
    <x v="29"/>
    <x v="126"/>
    <x v="0"/>
    <n v="39"/>
    <s v="month"/>
    <x v="99"/>
    <n v="6"/>
  </r>
  <r>
    <n v="156817946"/>
    <x v="29"/>
    <x v="127"/>
    <x v="0"/>
    <n v="39"/>
    <s v="month"/>
    <x v="100"/>
    <n v="6"/>
  </r>
  <r>
    <n v="156194905"/>
    <x v="29"/>
    <x v="128"/>
    <x v="0"/>
    <n v="39"/>
    <s v="month"/>
    <x v="30"/>
    <n v="6"/>
  </r>
  <r>
    <n v="148568942"/>
    <x v="29"/>
    <x v="129"/>
    <x v="0"/>
    <n v="39"/>
    <s v="month"/>
    <x v="12"/>
    <n v="6"/>
  </r>
  <r>
    <n v="151154171"/>
    <x v="29"/>
    <x v="130"/>
    <x v="0"/>
    <n v="39"/>
    <s v="month"/>
    <x v="8"/>
    <n v="6"/>
  </r>
  <r>
    <n v="122921842"/>
    <x v="29"/>
    <x v="131"/>
    <x v="0"/>
    <n v="39"/>
    <s v="month"/>
    <x v="14"/>
    <n v="6"/>
  </r>
  <r>
    <n v="156754286"/>
    <x v="30"/>
    <x v="0"/>
    <x v="0"/>
    <n v="39"/>
    <s v="month"/>
    <x v="0"/>
    <n v="7"/>
  </r>
  <r>
    <n v="144160302"/>
    <x v="30"/>
    <x v="132"/>
    <x v="0"/>
    <n v="39"/>
    <s v="month"/>
    <x v="1"/>
    <n v="7"/>
  </r>
  <r>
    <n v="155045053"/>
    <x v="30"/>
    <x v="133"/>
    <x v="0"/>
    <n v="39"/>
    <s v="month"/>
    <x v="77"/>
    <n v="7"/>
  </r>
  <r>
    <n v="133869989"/>
    <x v="30"/>
    <x v="27"/>
    <x v="0"/>
    <n v="39"/>
    <s v="month"/>
    <x v="50"/>
    <n v="7"/>
  </r>
  <r>
    <n v="156863940"/>
    <x v="30"/>
    <x v="27"/>
    <x v="0"/>
    <n v="39"/>
    <s v="month"/>
    <x v="50"/>
    <n v="7"/>
  </r>
  <r>
    <n v="156884323"/>
    <x v="30"/>
    <x v="7"/>
    <x v="0"/>
    <n v="39"/>
    <s v="month"/>
    <x v="15"/>
    <n v="7"/>
  </r>
  <r>
    <n v="156365410"/>
    <x v="30"/>
    <x v="103"/>
    <x v="0"/>
    <n v="39"/>
    <s v="month"/>
    <x v="44"/>
    <n v="7"/>
  </r>
  <r>
    <n v="153957162"/>
    <x v="31"/>
    <x v="0"/>
    <x v="0"/>
    <n v="39"/>
    <s v="month"/>
    <x v="0"/>
    <n v="1"/>
  </r>
  <r>
    <n v="152436949"/>
    <x v="31"/>
    <x v="53"/>
    <x v="1"/>
    <n v="39"/>
    <s v="month"/>
    <x v="1"/>
    <n v="1"/>
  </r>
  <r>
    <n v="156403612"/>
    <x v="31"/>
    <x v="134"/>
    <x v="0"/>
    <n v="39"/>
    <s v="month"/>
    <x v="101"/>
    <n v="1"/>
  </r>
  <r>
    <n v="154198756"/>
    <x v="31"/>
    <x v="76"/>
    <x v="0"/>
    <n v="39"/>
    <s v="month"/>
    <x v="102"/>
    <n v="1"/>
  </r>
  <r>
    <n v="156917754"/>
    <x v="31"/>
    <x v="48"/>
    <x v="0"/>
    <n v="39"/>
    <s v="month"/>
    <x v="20"/>
    <n v="1"/>
  </r>
  <r>
    <n v="134975906"/>
    <x v="32"/>
    <x v="12"/>
    <x v="0"/>
    <n v="39"/>
    <s v="month"/>
    <x v="15"/>
    <n v="2"/>
  </r>
  <r>
    <n v="156955735"/>
    <x v="32"/>
    <x v="135"/>
    <x v="0"/>
    <n v="39"/>
    <s v="month"/>
    <x v="103"/>
    <n v="2"/>
  </r>
  <r>
    <n v="156982750"/>
    <x v="32"/>
    <x v="136"/>
    <x v="0"/>
    <n v="39"/>
    <s v="month"/>
    <x v="104"/>
    <n v="2"/>
  </r>
  <r>
    <n v="156953312"/>
    <x v="32"/>
    <x v="137"/>
    <x v="0"/>
    <n v="39"/>
    <s v="month"/>
    <x v="105"/>
    <n v="2"/>
  </r>
  <r>
    <n v="124642102"/>
    <x v="32"/>
    <x v="34"/>
    <x v="0"/>
    <n v="39"/>
    <s v="month"/>
    <x v="77"/>
    <n v="2"/>
  </r>
  <r>
    <n v="156940530"/>
    <x v="32"/>
    <x v="138"/>
    <x v="0"/>
    <n v="39"/>
    <s v="month"/>
    <x v="106"/>
    <n v="2"/>
  </r>
  <r>
    <n v="155602780"/>
    <x v="32"/>
    <x v="139"/>
    <x v="0"/>
    <n v="39"/>
    <s v="month"/>
    <x v="107"/>
    <n v="2"/>
  </r>
  <r>
    <n v="149635726"/>
    <x v="32"/>
    <x v="75"/>
    <x v="0"/>
    <n v="39"/>
    <s v="month"/>
    <x v="108"/>
    <n v="2"/>
  </r>
  <r>
    <n v="152660102"/>
    <x v="32"/>
    <x v="74"/>
    <x v="0"/>
    <n v="39"/>
    <s v="month"/>
    <x v="109"/>
    <n v="2"/>
  </r>
  <r>
    <n v="153620734"/>
    <x v="32"/>
    <x v="130"/>
    <x v="0"/>
    <n v="39"/>
    <s v="month"/>
    <x v="110"/>
    <n v="2"/>
  </r>
  <r>
    <n v="156940254"/>
    <x v="32"/>
    <x v="53"/>
    <x v="0"/>
    <n v="39"/>
    <s v="month"/>
    <x v="11"/>
    <n v="2"/>
  </r>
  <r>
    <n v="156940060"/>
    <x v="32"/>
    <x v="140"/>
    <x v="0"/>
    <n v="39"/>
    <s v="month"/>
    <x v="42"/>
    <n v="2"/>
  </r>
  <r>
    <n v="156938938"/>
    <x v="32"/>
    <x v="53"/>
    <x v="0"/>
    <n v="39"/>
    <s v="month"/>
    <x v="11"/>
    <n v="2"/>
  </r>
  <r>
    <n v="156955272"/>
    <x v="33"/>
    <x v="141"/>
    <x v="0"/>
    <n v="39"/>
    <s v="month"/>
    <x v="111"/>
    <n v="3"/>
  </r>
  <r>
    <n v="156941638"/>
    <x v="33"/>
    <x v="142"/>
    <x v="0"/>
    <n v="39"/>
    <s v="month"/>
    <x v="112"/>
    <n v="3"/>
  </r>
  <r>
    <n v="157154624"/>
    <x v="33"/>
    <x v="143"/>
    <x v="0"/>
    <n v="39"/>
    <s v="month"/>
    <x v="113"/>
    <n v="3"/>
  </r>
  <r>
    <n v="151677119"/>
    <x v="33"/>
    <x v="93"/>
    <x v="0"/>
    <n v="39"/>
    <s v="month"/>
    <x v="114"/>
    <n v="3"/>
  </r>
  <r>
    <n v="139465940"/>
    <x v="33"/>
    <x v="144"/>
    <x v="0"/>
    <n v="39"/>
    <s v="month"/>
    <x v="50"/>
    <n v="3"/>
  </r>
  <r>
    <n v="156895692"/>
    <x v="34"/>
    <x v="0"/>
    <x v="0"/>
    <n v="39"/>
    <s v="month"/>
    <x v="0"/>
    <n v="4"/>
  </r>
  <r>
    <n v="153587226"/>
    <x v="34"/>
    <x v="0"/>
    <x v="0"/>
    <n v="39"/>
    <s v="month"/>
    <x v="0"/>
    <n v="4"/>
  </r>
  <r>
    <n v="157295262"/>
    <x v="34"/>
    <x v="145"/>
    <x v="0"/>
    <n v="39"/>
    <s v="month"/>
    <x v="115"/>
    <n v="4"/>
  </r>
  <r>
    <n v="157284386"/>
    <x v="34"/>
    <x v="146"/>
    <x v="0"/>
    <n v="39"/>
    <s v="month"/>
    <x v="98"/>
    <n v="4"/>
  </r>
  <r>
    <n v="148762867"/>
    <x v="34"/>
    <x v="147"/>
    <x v="0"/>
    <n v="39"/>
    <s v="month"/>
    <x v="116"/>
    <n v="4"/>
  </r>
  <r>
    <n v="150433978"/>
    <x v="34"/>
    <x v="144"/>
    <x v="0"/>
    <n v="39"/>
    <s v="month"/>
    <x v="28"/>
    <n v="4"/>
  </r>
  <r>
    <n v="157272487"/>
    <x v="34"/>
    <x v="71"/>
    <x v="0"/>
    <n v="39"/>
    <s v="month"/>
    <x v="117"/>
    <n v="4"/>
  </r>
  <r>
    <n v="153776370"/>
    <x v="35"/>
    <x v="100"/>
    <x v="0"/>
    <n v="39"/>
    <s v="month"/>
    <x v="94"/>
    <n v="5"/>
  </r>
  <r>
    <n v="157371444"/>
    <x v="35"/>
    <x v="86"/>
    <x v="0"/>
    <n v="39"/>
    <s v="month"/>
    <x v="117"/>
    <n v="5"/>
  </r>
  <r>
    <n v="157095464"/>
    <x v="35"/>
    <x v="148"/>
    <x v="0"/>
    <n v="39"/>
    <s v="month"/>
    <x v="82"/>
    <n v="5"/>
  </r>
  <r>
    <n v="153554190"/>
    <x v="36"/>
    <x v="0"/>
    <x v="0"/>
    <n v="39"/>
    <s v="month"/>
    <x v="0"/>
    <n v="6"/>
  </r>
  <r>
    <n v="157411994"/>
    <x v="36"/>
    <x v="0"/>
    <x v="0"/>
    <n v="39"/>
    <s v="month"/>
    <x v="0"/>
    <n v="6"/>
  </r>
  <r>
    <n v="157374056"/>
    <x v="36"/>
    <x v="149"/>
    <x v="0"/>
    <n v="39"/>
    <s v="month"/>
    <x v="28"/>
    <n v="6"/>
  </r>
  <r>
    <n v="157397941"/>
    <x v="36"/>
    <x v="52"/>
    <x v="0"/>
    <n v="39"/>
    <s v="month"/>
    <x v="62"/>
    <n v="6"/>
  </r>
  <r>
    <n v="157234944"/>
    <x v="36"/>
    <x v="112"/>
    <x v="0"/>
    <n v="39"/>
    <s v="month"/>
    <x v="118"/>
    <n v="6"/>
  </r>
  <r>
    <n v="157490039"/>
    <x v="37"/>
    <x v="142"/>
    <x v="0"/>
    <n v="39"/>
    <s v="month"/>
    <x v="119"/>
    <n v="7"/>
  </r>
  <r>
    <n v="157484010"/>
    <x v="37"/>
    <x v="142"/>
    <x v="0"/>
    <n v="39"/>
    <s v="month"/>
    <x v="119"/>
    <n v="7"/>
  </r>
  <r>
    <n v="125038257"/>
    <x v="37"/>
    <x v="116"/>
    <x v="0"/>
    <n v="39"/>
    <s v="month"/>
    <x v="57"/>
    <n v="7"/>
  </r>
  <r>
    <n v="157400730"/>
    <x v="37"/>
    <x v="110"/>
    <x v="0"/>
    <n v="39"/>
    <s v="month"/>
    <x v="23"/>
    <n v="7"/>
  </r>
  <r>
    <n v="157450645"/>
    <x v="37"/>
    <x v="18"/>
    <x v="0"/>
    <n v="39"/>
    <s v="month"/>
    <x v="79"/>
    <n v="7"/>
  </r>
  <r>
    <n v="156943008"/>
    <x v="38"/>
    <x v="140"/>
    <x v="0"/>
    <n v="39"/>
    <s v="month"/>
    <x v="1"/>
    <n v="1"/>
  </r>
  <r>
    <n v="127328047"/>
    <x v="38"/>
    <x v="104"/>
    <x v="0"/>
    <n v="39"/>
    <s v="month"/>
    <x v="106"/>
    <n v="1"/>
  </r>
  <r>
    <n v="157506842"/>
    <x v="38"/>
    <x v="102"/>
    <x v="0"/>
    <n v="39"/>
    <s v="month"/>
    <x v="14"/>
    <n v="1"/>
  </r>
  <r>
    <n v="150924853"/>
    <x v="38"/>
    <x v="6"/>
    <x v="0"/>
    <n v="39"/>
    <s v="month"/>
    <x v="19"/>
    <n v="1"/>
  </r>
  <r>
    <n v="156996568"/>
    <x v="39"/>
    <x v="0"/>
    <x v="0"/>
    <n v="39"/>
    <s v="month"/>
    <x v="0"/>
    <n v="2"/>
  </r>
  <r>
    <n v="157627904"/>
    <x v="39"/>
    <x v="150"/>
    <x v="0"/>
    <n v="39"/>
    <s v="month"/>
    <x v="49"/>
    <n v="2"/>
  </r>
  <r>
    <n v="157058101"/>
    <x v="39"/>
    <x v="151"/>
    <x v="0"/>
    <n v="39"/>
    <s v="month"/>
    <x v="35"/>
    <n v="2"/>
  </r>
  <r>
    <n v="157394598"/>
    <x v="40"/>
    <x v="39"/>
    <x v="1"/>
    <n v="39"/>
    <s v="month"/>
    <x v="1"/>
    <n v="3"/>
  </r>
  <r>
    <n v="157765918"/>
    <x v="40"/>
    <x v="39"/>
    <x v="1"/>
    <n v="39"/>
    <s v="month"/>
    <x v="1"/>
    <n v="3"/>
  </r>
  <r>
    <n v="157746458"/>
    <x v="40"/>
    <x v="152"/>
    <x v="0"/>
    <n v="39"/>
    <s v="month"/>
    <x v="120"/>
    <n v="3"/>
  </r>
  <r>
    <n v="157590918"/>
    <x v="40"/>
    <x v="153"/>
    <x v="0"/>
    <n v="39"/>
    <s v="month"/>
    <x v="121"/>
    <n v="3"/>
  </r>
  <r>
    <n v="157290992"/>
    <x v="40"/>
    <x v="138"/>
    <x v="0"/>
    <n v="39"/>
    <s v="month"/>
    <x v="53"/>
    <n v="3"/>
  </r>
  <r>
    <n v="156895701"/>
    <x v="40"/>
    <x v="154"/>
    <x v="0"/>
    <n v="39"/>
    <s v="month"/>
    <x v="39"/>
    <n v="3"/>
  </r>
  <r>
    <n v="155926313"/>
    <x v="40"/>
    <x v="74"/>
    <x v="0"/>
    <n v="39"/>
    <s v="month"/>
    <x v="122"/>
    <n v="3"/>
  </r>
  <r>
    <n v="156110000"/>
    <x v="40"/>
    <x v="155"/>
    <x v="0"/>
    <n v="39"/>
    <s v="month"/>
    <x v="108"/>
    <n v="3"/>
  </r>
  <r>
    <n v="157851493"/>
    <x v="41"/>
    <x v="156"/>
    <x v="0"/>
    <n v="39"/>
    <s v="month"/>
    <x v="123"/>
    <n v="4"/>
  </r>
  <r>
    <n v="157792408"/>
    <x v="41"/>
    <x v="157"/>
    <x v="0"/>
    <n v="39"/>
    <s v="month"/>
    <x v="124"/>
    <n v="4"/>
  </r>
  <r>
    <n v="157868778"/>
    <x v="41"/>
    <x v="149"/>
    <x v="0"/>
    <n v="39"/>
    <s v="month"/>
    <x v="20"/>
    <n v="4"/>
  </r>
  <r>
    <n v="157833252"/>
    <x v="41"/>
    <x v="67"/>
    <x v="0"/>
    <n v="39"/>
    <s v="month"/>
    <x v="125"/>
    <n v="4"/>
  </r>
  <r>
    <n v="149662340"/>
    <x v="42"/>
    <x v="0"/>
    <x v="0"/>
    <n v="39"/>
    <s v="month"/>
    <x v="0"/>
    <n v="5"/>
  </r>
  <r>
    <n v="126918448"/>
    <x v="42"/>
    <x v="0"/>
    <x v="0"/>
    <n v="39"/>
    <s v="month"/>
    <x v="0"/>
    <n v="5"/>
  </r>
  <r>
    <n v="136897370"/>
    <x v="42"/>
    <x v="158"/>
    <x v="0"/>
    <n v="39"/>
    <s v="month"/>
    <x v="126"/>
    <n v="5"/>
  </r>
  <r>
    <n v="157921307"/>
    <x v="42"/>
    <x v="159"/>
    <x v="0"/>
    <n v="39"/>
    <s v="month"/>
    <x v="127"/>
    <n v="5"/>
  </r>
  <r>
    <n v="157905868"/>
    <x v="42"/>
    <x v="136"/>
    <x v="0"/>
    <n v="39"/>
    <s v="month"/>
    <x v="101"/>
    <n v="5"/>
  </r>
  <r>
    <n v="152377785"/>
    <x v="42"/>
    <x v="150"/>
    <x v="0"/>
    <n v="39"/>
    <s v="month"/>
    <x v="97"/>
    <n v="5"/>
  </r>
  <r>
    <n v="157567612"/>
    <x v="42"/>
    <x v="52"/>
    <x v="0"/>
    <n v="39"/>
    <s v="month"/>
    <x v="86"/>
    <n v="5"/>
  </r>
  <r>
    <n v="157993772"/>
    <x v="43"/>
    <x v="49"/>
    <x v="1"/>
    <n v="39"/>
    <s v="month"/>
    <x v="11"/>
    <n v="7"/>
  </r>
  <r>
    <n v="148769034"/>
    <x v="43"/>
    <x v="32"/>
    <x v="0"/>
    <n v="39"/>
    <s v="month"/>
    <x v="128"/>
    <n v="7"/>
  </r>
  <r>
    <n v="158050283"/>
    <x v="43"/>
    <x v="160"/>
    <x v="0"/>
    <n v="39"/>
    <s v="month"/>
    <x v="129"/>
    <n v="7"/>
  </r>
  <r>
    <n v="157436507"/>
    <x v="44"/>
    <x v="0"/>
    <x v="0"/>
    <n v="39"/>
    <s v="month"/>
    <x v="0"/>
    <n v="1"/>
  </r>
  <r>
    <n v="123808301"/>
    <x v="44"/>
    <x v="12"/>
    <x v="0"/>
    <n v="39"/>
    <s v="month"/>
    <x v="125"/>
    <n v="1"/>
  </r>
  <r>
    <n v="158033452"/>
    <x v="44"/>
    <x v="161"/>
    <x v="0"/>
    <n v="39"/>
    <s v="month"/>
    <x v="90"/>
    <n v="1"/>
  </r>
  <r>
    <n v="156796659"/>
    <x v="44"/>
    <x v="162"/>
    <x v="0"/>
    <n v="39"/>
    <s v="month"/>
    <x v="73"/>
    <n v="1"/>
  </r>
  <r>
    <n v="158093021"/>
    <x v="44"/>
    <x v="163"/>
    <x v="0"/>
    <n v="39"/>
    <s v="month"/>
    <x v="130"/>
    <n v="1"/>
  </r>
  <r>
    <n v="157900412"/>
    <x v="44"/>
    <x v="151"/>
    <x v="0"/>
    <n v="39"/>
    <s v="month"/>
    <x v="15"/>
    <n v="1"/>
  </r>
  <r>
    <n v="152892719"/>
    <x v="44"/>
    <x v="54"/>
    <x v="0"/>
    <n v="39"/>
    <s v="month"/>
    <x v="11"/>
    <n v="1"/>
  </r>
  <r>
    <n v="158009130"/>
    <x v="45"/>
    <x v="0"/>
    <x v="0"/>
    <n v="39"/>
    <s v="month"/>
    <x v="0"/>
    <n v="2"/>
  </r>
  <r>
    <n v="157904656"/>
    <x v="45"/>
    <x v="164"/>
    <x v="0"/>
    <n v="39"/>
    <s v="month"/>
    <x v="26"/>
    <n v="2"/>
  </r>
  <r>
    <n v="157838980"/>
    <x v="45"/>
    <x v="165"/>
    <x v="0"/>
    <n v="39"/>
    <s v="month"/>
    <x v="131"/>
    <n v="2"/>
  </r>
  <r>
    <n v="123402996"/>
    <x v="45"/>
    <x v="166"/>
    <x v="0"/>
    <n v="39"/>
    <s v="month"/>
    <x v="132"/>
    <n v="2"/>
  </r>
  <r>
    <n v="158112356"/>
    <x v="45"/>
    <x v="167"/>
    <x v="0"/>
    <n v="39"/>
    <s v="month"/>
    <x v="61"/>
    <n v="2"/>
  </r>
  <r>
    <n v="152410420"/>
    <x v="45"/>
    <x v="111"/>
    <x v="0"/>
    <n v="39"/>
    <s v="month"/>
    <x v="50"/>
    <n v="2"/>
  </r>
  <r>
    <n v="158164441"/>
    <x v="45"/>
    <x v="116"/>
    <x v="0"/>
    <n v="39"/>
    <s v="month"/>
    <x v="28"/>
    <n v="2"/>
  </r>
  <r>
    <n v="153956466"/>
    <x v="45"/>
    <x v="116"/>
    <x v="0"/>
    <n v="39"/>
    <s v="month"/>
    <x v="28"/>
    <n v="2"/>
  </r>
  <r>
    <n v="158100990"/>
    <x v="45"/>
    <x v="76"/>
    <x v="0"/>
    <n v="39"/>
    <s v="month"/>
    <x v="44"/>
    <n v="2"/>
  </r>
  <r>
    <n v="158096894"/>
    <x v="45"/>
    <x v="76"/>
    <x v="0"/>
    <n v="39"/>
    <s v="month"/>
    <x v="44"/>
    <n v="2"/>
  </r>
  <r>
    <n v="158066376"/>
    <x v="45"/>
    <x v="75"/>
    <x v="0"/>
    <n v="39"/>
    <s v="month"/>
    <x v="2"/>
    <n v="2"/>
  </r>
  <r>
    <n v="158220808"/>
    <x v="46"/>
    <x v="0"/>
    <x v="1"/>
    <n v="39"/>
    <s v="month"/>
    <x v="0"/>
    <n v="3"/>
  </r>
  <r>
    <n v="131779624"/>
    <x v="46"/>
    <x v="168"/>
    <x v="0"/>
    <n v="39"/>
    <s v="month"/>
    <x v="87"/>
    <n v="3"/>
  </r>
  <r>
    <n v="158267390"/>
    <x v="46"/>
    <x v="169"/>
    <x v="0"/>
    <n v="39"/>
    <s v="month"/>
    <x v="39"/>
    <n v="3"/>
  </r>
  <r>
    <n v="152354478"/>
    <x v="46"/>
    <x v="170"/>
    <x v="0"/>
    <n v="39"/>
    <s v="month"/>
    <x v="133"/>
    <n v="3"/>
  </r>
  <r>
    <n v="146376235"/>
    <x v="46"/>
    <x v="71"/>
    <x v="0"/>
    <n v="39"/>
    <s v="month"/>
    <x v="43"/>
    <n v="3"/>
  </r>
  <r>
    <n v="153953296"/>
    <x v="46"/>
    <x v="27"/>
    <x v="0"/>
    <n v="39"/>
    <s v="month"/>
    <x v="134"/>
    <n v="3"/>
  </r>
  <r>
    <n v="154659594"/>
    <x v="46"/>
    <x v="76"/>
    <x v="0"/>
    <n v="39"/>
    <s v="month"/>
    <x v="62"/>
    <n v="3"/>
  </r>
  <r>
    <n v="157998778"/>
    <x v="46"/>
    <x v="168"/>
    <x v="0"/>
    <n v="39"/>
    <s v="month"/>
    <x v="87"/>
    <n v="3"/>
  </r>
  <r>
    <n v="150668840"/>
    <x v="46"/>
    <x v="28"/>
    <x v="0"/>
    <n v="39"/>
    <s v="month"/>
    <x v="10"/>
    <n v="3"/>
  </r>
  <r>
    <n v="158184958"/>
    <x v="46"/>
    <x v="27"/>
    <x v="0"/>
    <n v="39"/>
    <s v="month"/>
    <x v="134"/>
    <n v="3"/>
  </r>
  <r>
    <n v="158362440"/>
    <x v="47"/>
    <x v="171"/>
    <x v="0"/>
    <n v="39"/>
    <s v="month"/>
    <x v="135"/>
    <n v="4"/>
  </r>
  <r>
    <n v="158477370"/>
    <x v="47"/>
    <x v="56"/>
    <x v="0"/>
    <n v="39"/>
    <s v="month"/>
    <x v="136"/>
    <n v="4"/>
  </r>
  <r>
    <n v="158047538"/>
    <x v="47"/>
    <x v="172"/>
    <x v="0"/>
    <n v="39"/>
    <s v="month"/>
    <x v="137"/>
    <n v="4"/>
  </r>
  <r>
    <n v="157910445"/>
    <x v="47"/>
    <x v="25"/>
    <x v="0"/>
    <n v="39"/>
    <s v="month"/>
    <x v="138"/>
    <n v="4"/>
  </r>
  <r>
    <n v="154091460"/>
    <x v="47"/>
    <x v="173"/>
    <x v="0"/>
    <n v="39"/>
    <s v="month"/>
    <x v="139"/>
    <n v="4"/>
  </r>
  <r>
    <n v="158532103"/>
    <x v="48"/>
    <x v="174"/>
    <x v="0"/>
    <n v="39"/>
    <s v="month"/>
    <x v="140"/>
    <n v="5"/>
  </r>
  <r>
    <n v="158591698"/>
    <x v="48"/>
    <x v="137"/>
    <x v="0"/>
    <n v="39"/>
    <s v="month"/>
    <x v="141"/>
    <n v="5"/>
  </r>
  <r>
    <n v="158533909"/>
    <x v="48"/>
    <x v="175"/>
    <x v="0"/>
    <n v="39"/>
    <s v="month"/>
    <x v="106"/>
    <n v="5"/>
  </r>
  <r>
    <n v="156372496"/>
    <x v="48"/>
    <x v="164"/>
    <x v="0"/>
    <n v="39"/>
    <s v="month"/>
    <x v="109"/>
    <n v="5"/>
  </r>
  <r>
    <n v="158620475"/>
    <x v="48"/>
    <x v="176"/>
    <x v="0"/>
    <n v="39"/>
    <s v="month"/>
    <x v="142"/>
    <n v="5"/>
  </r>
  <r>
    <n v="158539824"/>
    <x v="48"/>
    <x v="177"/>
    <x v="0"/>
    <n v="39"/>
    <s v="month"/>
    <x v="143"/>
    <n v="5"/>
  </r>
  <r>
    <n v="158499042"/>
    <x v="49"/>
    <x v="0"/>
    <x v="0"/>
    <n v="39"/>
    <s v="month"/>
    <x v="0"/>
    <n v="6"/>
  </r>
  <r>
    <n v="158755464"/>
    <x v="49"/>
    <x v="74"/>
    <x v="0"/>
    <n v="39"/>
    <s v="month"/>
    <x v="87"/>
    <n v="6"/>
  </r>
  <r>
    <n v="149112756"/>
    <x v="49"/>
    <x v="178"/>
    <x v="0"/>
    <n v="39"/>
    <s v="month"/>
    <x v="17"/>
    <n v="6"/>
  </r>
  <r>
    <n v="149065622"/>
    <x v="49"/>
    <x v="118"/>
    <x v="0"/>
    <n v="39"/>
    <s v="month"/>
    <x v="39"/>
    <n v="6"/>
  </r>
  <r>
    <n v="158656065"/>
    <x v="49"/>
    <x v="167"/>
    <x v="0"/>
    <n v="39"/>
    <s v="month"/>
    <x v="144"/>
    <n v="6"/>
  </r>
  <r>
    <n v="158756090"/>
    <x v="49"/>
    <x v="27"/>
    <x v="0"/>
    <n v="39"/>
    <s v="month"/>
    <x v="71"/>
    <n v="6"/>
  </r>
  <r>
    <n v="158447710"/>
    <x v="49"/>
    <x v="111"/>
    <x v="0"/>
    <n v="39"/>
    <s v="month"/>
    <x v="44"/>
    <n v="6"/>
  </r>
  <r>
    <n v="157568391"/>
    <x v="49"/>
    <x v="85"/>
    <x v="0"/>
    <n v="39"/>
    <s v="month"/>
    <x v="28"/>
    <n v="6"/>
  </r>
  <r>
    <n v="157505106"/>
    <x v="50"/>
    <x v="0"/>
    <x v="0"/>
    <n v="39"/>
    <s v="month"/>
    <x v="0"/>
    <n v="7"/>
  </r>
  <r>
    <n v="158761363"/>
    <x v="50"/>
    <x v="179"/>
    <x v="0"/>
    <n v="39"/>
    <s v="month"/>
    <x v="145"/>
    <n v="7"/>
  </r>
  <r>
    <n v="144858980"/>
    <x v="50"/>
    <x v="80"/>
    <x v="0"/>
    <n v="39"/>
    <s v="month"/>
    <x v="94"/>
    <n v="7"/>
  </r>
  <r>
    <n v="151000288"/>
    <x v="50"/>
    <x v="80"/>
    <x v="0"/>
    <n v="39"/>
    <s v="month"/>
    <x v="94"/>
    <n v="7"/>
  </r>
  <r>
    <n v="136276852"/>
    <x v="50"/>
    <x v="121"/>
    <x v="0"/>
    <n v="39"/>
    <s v="month"/>
    <x v="28"/>
    <n v="7"/>
  </r>
  <r>
    <n v="158767852"/>
    <x v="50"/>
    <x v="130"/>
    <x v="0"/>
    <n v="39"/>
    <s v="month"/>
    <x v="87"/>
    <n v="7"/>
  </r>
  <r>
    <n v="158849640"/>
    <x v="51"/>
    <x v="0"/>
    <x v="0"/>
    <n v="39"/>
    <s v="month"/>
    <x v="0"/>
    <n v="1"/>
  </r>
  <r>
    <n v="151491892"/>
    <x v="51"/>
    <x v="112"/>
    <x v="0"/>
    <n v="39"/>
    <s v="month"/>
    <x v="1"/>
    <n v="1"/>
  </r>
  <r>
    <n v="157474087"/>
    <x v="51"/>
    <x v="167"/>
    <x v="0"/>
    <n v="39"/>
    <s v="month"/>
    <x v="39"/>
    <n v="1"/>
  </r>
  <r>
    <n v="157997679"/>
    <x v="51"/>
    <x v="180"/>
    <x v="0"/>
    <n v="39"/>
    <s v="month"/>
    <x v="146"/>
    <n v="1"/>
  </r>
  <r>
    <n v="158566772"/>
    <x v="51"/>
    <x v="56"/>
    <x v="0"/>
    <n v="39"/>
    <s v="month"/>
    <x v="147"/>
    <n v="1"/>
  </r>
  <r>
    <n v="157788656"/>
    <x v="51"/>
    <x v="181"/>
    <x v="0"/>
    <n v="39"/>
    <s v="month"/>
    <x v="27"/>
    <n v="1"/>
  </r>
  <r>
    <n v="158832658"/>
    <x v="51"/>
    <x v="27"/>
    <x v="0"/>
    <n v="39"/>
    <s v="month"/>
    <x v="79"/>
    <n v="1"/>
  </r>
  <r>
    <n v="130837976"/>
    <x v="51"/>
    <x v="6"/>
    <x v="0"/>
    <n v="39"/>
    <s v="month"/>
    <x v="28"/>
    <n v="1"/>
  </r>
  <r>
    <n v="159095030"/>
    <x v="52"/>
    <x v="165"/>
    <x v="0"/>
    <n v="39"/>
    <s v="month"/>
    <x v="85"/>
    <n v="2"/>
  </r>
  <r>
    <n v="159028041"/>
    <x v="52"/>
    <x v="109"/>
    <x v="0"/>
    <n v="39"/>
    <s v="month"/>
    <x v="87"/>
    <n v="2"/>
  </r>
  <r>
    <n v="159018168"/>
    <x v="52"/>
    <x v="109"/>
    <x v="0"/>
    <n v="39"/>
    <s v="month"/>
    <x v="87"/>
    <n v="2"/>
  </r>
  <r>
    <n v="157981870"/>
    <x v="52"/>
    <x v="149"/>
    <x v="0"/>
    <n v="39"/>
    <s v="month"/>
    <x v="10"/>
    <n v="2"/>
  </r>
  <r>
    <n v="153061698"/>
    <x v="52"/>
    <x v="182"/>
    <x v="0"/>
    <n v="39"/>
    <s v="month"/>
    <x v="28"/>
    <n v="2"/>
  </r>
  <r>
    <n v="159204523"/>
    <x v="53"/>
    <x v="0"/>
    <x v="0"/>
    <n v="39"/>
    <s v="month"/>
    <x v="0"/>
    <n v="3"/>
  </r>
  <r>
    <n v="159236268"/>
    <x v="53"/>
    <x v="0"/>
    <x v="1"/>
    <n v="39"/>
    <s v="month"/>
    <x v="0"/>
    <n v="3"/>
  </r>
  <r>
    <n v="159256553"/>
    <x v="53"/>
    <x v="138"/>
    <x v="0"/>
    <n v="39"/>
    <s v="month"/>
    <x v="148"/>
    <n v="3"/>
  </r>
  <r>
    <n v="159211568"/>
    <x v="53"/>
    <x v="183"/>
    <x v="0"/>
    <n v="39"/>
    <s v="month"/>
    <x v="88"/>
    <n v="3"/>
  </r>
  <r>
    <n v="154778395"/>
    <x v="53"/>
    <x v="74"/>
    <x v="0"/>
    <n v="39"/>
    <s v="month"/>
    <x v="36"/>
    <n v="3"/>
  </r>
  <r>
    <n v="157961180"/>
    <x v="53"/>
    <x v="182"/>
    <x v="0"/>
    <n v="39"/>
    <s v="month"/>
    <x v="35"/>
    <n v="3"/>
  </r>
  <r>
    <n v="159281338"/>
    <x v="54"/>
    <x v="0"/>
    <x v="0"/>
    <n v="39"/>
    <s v="month"/>
    <x v="0"/>
    <n v="4"/>
  </r>
  <r>
    <n v="159364232"/>
    <x v="54"/>
    <x v="0"/>
    <x v="0"/>
    <n v="39"/>
    <s v="month"/>
    <x v="0"/>
    <n v="4"/>
  </r>
  <r>
    <n v="159276280"/>
    <x v="54"/>
    <x v="0"/>
    <x v="0"/>
    <n v="39"/>
    <s v="month"/>
    <x v="0"/>
    <n v="4"/>
  </r>
  <r>
    <n v="159326830"/>
    <x v="54"/>
    <x v="12"/>
    <x v="0"/>
    <n v="39"/>
    <s v="month"/>
    <x v="1"/>
    <n v="4"/>
  </r>
  <r>
    <n v="158144924"/>
    <x v="54"/>
    <x v="184"/>
    <x v="0"/>
    <n v="39"/>
    <s v="month"/>
    <x v="31"/>
    <n v="4"/>
  </r>
  <r>
    <n v="159239867"/>
    <x v="54"/>
    <x v="164"/>
    <x v="0"/>
    <n v="39"/>
    <s v="month"/>
    <x v="43"/>
    <n v="4"/>
  </r>
  <r>
    <n v="159108970"/>
    <x v="54"/>
    <x v="181"/>
    <x v="0"/>
    <n v="39"/>
    <s v="month"/>
    <x v="13"/>
    <n v="4"/>
  </r>
  <r>
    <n v="158644133"/>
    <x v="54"/>
    <x v="5"/>
    <x v="0"/>
    <n v="39"/>
    <s v="month"/>
    <x v="28"/>
    <n v="4"/>
  </r>
  <r>
    <n v="153830193"/>
    <x v="54"/>
    <x v="12"/>
    <x v="0"/>
    <n v="39"/>
    <s v="month"/>
    <x v="1"/>
    <n v="4"/>
  </r>
  <r>
    <n v="159664292"/>
    <x v="55"/>
    <x v="0"/>
    <x v="0"/>
    <n v="39"/>
    <s v="month"/>
    <x v="0"/>
    <n v="5"/>
  </r>
  <r>
    <n v="152937944"/>
    <x v="55"/>
    <x v="48"/>
    <x v="1"/>
    <n v="39"/>
    <s v="month"/>
    <x v="1"/>
    <n v="5"/>
  </r>
  <r>
    <n v="159446393"/>
    <x v="55"/>
    <x v="185"/>
    <x v="0"/>
    <n v="39"/>
    <s v="month"/>
    <x v="123"/>
    <n v="5"/>
  </r>
  <r>
    <n v="156837717"/>
    <x v="55"/>
    <x v="186"/>
    <x v="0"/>
    <n v="39"/>
    <s v="month"/>
    <x v="149"/>
    <n v="5"/>
  </r>
  <r>
    <n v="149000400"/>
    <x v="55"/>
    <x v="179"/>
    <x v="0"/>
    <n v="39"/>
    <s v="month"/>
    <x v="131"/>
    <n v="5"/>
  </r>
  <r>
    <n v="157923615"/>
    <x v="55"/>
    <x v="34"/>
    <x v="0"/>
    <n v="39"/>
    <s v="month"/>
    <x v="39"/>
    <n v="5"/>
  </r>
  <r>
    <n v="159699736"/>
    <x v="55"/>
    <x v="168"/>
    <x v="0"/>
    <n v="39"/>
    <s v="month"/>
    <x v="72"/>
    <n v="5"/>
  </r>
  <r>
    <n v="150816815"/>
    <x v="55"/>
    <x v="155"/>
    <x v="0"/>
    <n v="39"/>
    <s v="month"/>
    <x v="40"/>
    <n v="5"/>
  </r>
  <r>
    <n v="159634168"/>
    <x v="55"/>
    <x v="187"/>
    <x v="0"/>
    <n v="39"/>
    <s v="month"/>
    <x v="100"/>
    <n v="5"/>
  </r>
  <r>
    <n v="158114418"/>
    <x v="56"/>
    <x v="0"/>
    <x v="0"/>
    <n v="39"/>
    <s v="month"/>
    <x v="0"/>
    <n v="6"/>
  </r>
  <r>
    <n v="159706104"/>
    <x v="56"/>
    <x v="0"/>
    <x v="0"/>
    <n v="39"/>
    <s v="month"/>
    <x v="0"/>
    <n v="6"/>
  </r>
  <r>
    <n v="150704581"/>
    <x v="56"/>
    <x v="15"/>
    <x v="0"/>
    <n v="39"/>
    <s v="month"/>
    <x v="150"/>
    <n v="6"/>
  </r>
  <r>
    <n v="159733207"/>
    <x v="56"/>
    <x v="188"/>
    <x v="0"/>
    <n v="39"/>
    <s v="month"/>
    <x v="131"/>
    <n v="6"/>
  </r>
  <r>
    <n v="159775056"/>
    <x v="56"/>
    <x v="189"/>
    <x v="0"/>
    <n v="39"/>
    <s v="month"/>
    <x v="151"/>
    <n v="6"/>
  </r>
  <r>
    <n v="144328609"/>
    <x v="56"/>
    <x v="169"/>
    <x v="0"/>
    <n v="39"/>
    <s v="month"/>
    <x v="27"/>
    <n v="6"/>
  </r>
  <r>
    <n v="153172687"/>
    <x v="56"/>
    <x v="190"/>
    <x v="0"/>
    <n v="39"/>
    <s v="month"/>
    <x v="152"/>
    <n v="6"/>
  </r>
  <r>
    <n v="159861170"/>
    <x v="57"/>
    <x v="0"/>
    <x v="0"/>
    <n v="39"/>
    <s v="month"/>
    <x v="0"/>
    <n v="7"/>
  </r>
  <r>
    <n v="133474642"/>
    <x v="57"/>
    <x v="181"/>
    <x v="0"/>
    <n v="39"/>
    <s v="month"/>
    <x v="55"/>
    <n v="7"/>
  </r>
  <r>
    <n v="159817608"/>
    <x v="57"/>
    <x v="78"/>
    <x v="0"/>
    <n v="39"/>
    <s v="month"/>
    <x v="153"/>
    <n v="7"/>
  </r>
  <r>
    <n v="159867686"/>
    <x v="57"/>
    <x v="79"/>
    <x v="0"/>
    <n v="39"/>
    <s v="month"/>
    <x v="39"/>
    <n v="7"/>
  </r>
  <r>
    <n v="158484064"/>
    <x v="57"/>
    <x v="79"/>
    <x v="0"/>
    <n v="39"/>
    <s v="month"/>
    <x v="39"/>
    <n v="7"/>
  </r>
  <r>
    <n v="159829834"/>
    <x v="58"/>
    <x v="0"/>
    <x v="0"/>
    <n v="39"/>
    <s v="month"/>
    <x v="0"/>
    <n v="1"/>
  </r>
  <r>
    <n v="159875790"/>
    <x v="58"/>
    <x v="191"/>
    <x v="0"/>
    <n v="39"/>
    <s v="month"/>
    <x v="154"/>
    <n v="1"/>
  </r>
  <r>
    <n v="155520280"/>
    <x v="58"/>
    <x v="71"/>
    <x v="0"/>
    <n v="39"/>
    <s v="month"/>
    <x v="87"/>
    <n v="1"/>
  </r>
  <r>
    <n v="159783942"/>
    <x v="58"/>
    <x v="118"/>
    <x v="0"/>
    <n v="39"/>
    <s v="month"/>
    <x v="26"/>
    <n v="1"/>
  </r>
  <r>
    <n v="149696432"/>
    <x v="58"/>
    <x v="5"/>
    <x v="0"/>
    <n v="39"/>
    <s v="month"/>
    <x v="62"/>
    <n v="1"/>
  </r>
  <r>
    <n v="159979372"/>
    <x v="59"/>
    <x v="0"/>
    <x v="0"/>
    <n v="39"/>
    <s v="month"/>
    <x v="0"/>
    <n v="2"/>
  </r>
  <r>
    <n v="153814649"/>
    <x v="59"/>
    <x v="0"/>
    <x v="0"/>
    <n v="39"/>
    <s v="month"/>
    <x v="0"/>
    <n v="2"/>
  </r>
  <r>
    <n v="159931469"/>
    <x v="59"/>
    <x v="0"/>
    <x v="0"/>
    <n v="39"/>
    <s v="month"/>
    <x v="0"/>
    <n v="2"/>
  </r>
  <r>
    <n v="138061210"/>
    <x v="59"/>
    <x v="8"/>
    <x v="0"/>
    <n v="39"/>
    <s v="month"/>
    <x v="11"/>
    <n v="2"/>
  </r>
  <r>
    <n v="141403460"/>
    <x v="59"/>
    <x v="104"/>
    <x v="0"/>
    <n v="39"/>
    <s v="month"/>
    <x v="148"/>
    <n v="2"/>
  </r>
  <r>
    <n v="159991922"/>
    <x v="59"/>
    <x v="92"/>
    <x v="0"/>
    <n v="39"/>
    <s v="month"/>
    <x v="155"/>
    <n v="2"/>
  </r>
  <r>
    <n v="159241648"/>
    <x v="59"/>
    <x v="93"/>
    <x v="0"/>
    <n v="39"/>
    <s v="month"/>
    <x v="34"/>
    <n v="2"/>
  </r>
  <r>
    <n v="150703411"/>
    <x v="59"/>
    <x v="109"/>
    <x v="0"/>
    <n v="39"/>
    <s v="month"/>
    <x v="28"/>
    <n v="2"/>
  </r>
  <r>
    <n v="159773641"/>
    <x v="59"/>
    <x v="102"/>
    <x v="0"/>
    <n v="39"/>
    <s v="month"/>
    <x v="134"/>
    <n v="2"/>
  </r>
  <r>
    <n v="128002797"/>
    <x v="59"/>
    <x v="106"/>
    <x v="0"/>
    <n v="39"/>
    <s v="month"/>
    <x v="35"/>
    <n v="2"/>
  </r>
  <r>
    <n v="155807489"/>
    <x v="60"/>
    <x v="27"/>
    <x v="1"/>
    <n v="39"/>
    <s v="month"/>
    <x v="1"/>
    <n v="3"/>
  </r>
  <r>
    <n v="143077712"/>
    <x v="60"/>
    <x v="27"/>
    <x v="1"/>
    <n v="39"/>
    <s v="month"/>
    <x v="1"/>
    <n v="3"/>
  </r>
  <r>
    <n v="159745646"/>
    <x v="60"/>
    <x v="122"/>
    <x v="0"/>
    <n v="39"/>
    <s v="month"/>
    <x v="48"/>
    <n v="3"/>
  </r>
  <r>
    <n v="139004918"/>
    <x v="60"/>
    <x v="109"/>
    <x v="0"/>
    <n v="39"/>
    <s v="month"/>
    <x v="35"/>
    <n v="3"/>
  </r>
  <r>
    <n v="153255183"/>
    <x v="60"/>
    <x v="165"/>
    <x v="0"/>
    <n v="39"/>
    <s v="month"/>
    <x v="133"/>
    <n v="3"/>
  </r>
  <r>
    <n v="157708746"/>
    <x v="60"/>
    <x v="192"/>
    <x v="0"/>
    <n v="39"/>
    <s v="month"/>
    <x v="53"/>
    <n v="3"/>
  </r>
  <r>
    <n v="155652993"/>
    <x v="60"/>
    <x v="193"/>
    <x v="0"/>
    <n v="39"/>
    <s v="month"/>
    <x v="39"/>
    <n v="3"/>
  </r>
  <r>
    <n v="159977918"/>
    <x v="60"/>
    <x v="194"/>
    <x v="0"/>
    <n v="39"/>
    <s v="month"/>
    <x v="46"/>
    <n v="3"/>
  </r>
  <r>
    <n v="160108159"/>
    <x v="60"/>
    <x v="113"/>
    <x v="0"/>
    <n v="39"/>
    <s v="month"/>
    <x v="156"/>
    <n v="3"/>
  </r>
  <r>
    <n v="160051910"/>
    <x v="60"/>
    <x v="151"/>
    <x v="0"/>
    <n v="39"/>
    <s v="month"/>
    <x v="63"/>
    <n v="3"/>
  </r>
  <r>
    <n v="146169043"/>
    <x v="60"/>
    <x v="195"/>
    <x v="0"/>
    <n v="39"/>
    <s v="month"/>
    <x v="157"/>
    <n v="3"/>
  </r>
  <r>
    <n v="159927090"/>
    <x v="61"/>
    <x v="0"/>
    <x v="0"/>
    <n v="39"/>
    <s v="month"/>
    <x v="0"/>
    <n v="4"/>
  </r>
  <r>
    <n v="149188028"/>
    <x v="61"/>
    <x v="0"/>
    <x v="0"/>
    <n v="39"/>
    <s v="month"/>
    <x v="0"/>
    <n v="4"/>
  </r>
  <r>
    <n v="138535334"/>
    <x v="61"/>
    <x v="164"/>
    <x v="0"/>
    <n v="39"/>
    <s v="month"/>
    <x v="102"/>
    <n v="4"/>
  </r>
  <r>
    <n v="159901871"/>
    <x v="61"/>
    <x v="11"/>
    <x v="0"/>
    <n v="39"/>
    <s v="month"/>
    <x v="14"/>
    <n v="4"/>
  </r>
  <r>
    <n v="159620660"/>
    <x v="61"/>
    <x v="36"/>
    <x v="0"/>
    <n v="39"/>
    <s v="month"/>
    <x v="57"/>
    <n v="4"/>
  </r>
  <r>
    <n v="160199525"/>
    <x v="61"/>
    <x v="6"/>
    <x v="0"/>
    <n v="39"/>
    <s v="month"/>
    <x v="86"/>
    <n v="4"/>
  </r>
  <r>
    <n v="160183686"/>
    <x v="62"/>
    <x v="196"/>
    <x v="1"/>
    <n v="39"/>
    <s v="month"/>
    <x v="1"/>
    <n v="5"/>
  </r>
  <r>
    <n v="152504354"/>
    <x v="62"/>
    <x v="197"/>
    <x v="0"/>
    <n v="39"/>
    <s v="month"/>
    <x v="31"/>
    <n v="5"/>
  </r>
  <r>
    <n v="143164854"/>
    <x v="62"/>
    <x v="198"/>
    <x v="0"/>
    <n v="39"/>
    <s v="month"/>
    <x v="133"/>
    <n v="5"/>
  </r>
  <r>
    <n v="160366020"/>
    <x v="62"/>
    <x v="199"/>
    <x v="0"/>
    <n v="39"/>
    <s v="month"/>
    <x v="35"/>
    <n v="5"/>
  </r>
  <r>
    <n v="160298168"/>
    <x v="62"/>
    <x v="51"/>
    <x v="0"/>
    <n v="39"/>
    <s v="month"/>
    <x v="72"/>
    <n v="5"/>
  </r>
  <r>
    <n v="160243008"/>
    <x v="62"/>
    <x v="123"/>
    <x v="0"/>
    <n v="39"/>
    <s v="month"/>
    <x v="109"/>
    <n v="5"/>
  </r>
  <r>
    <n v="150878120"/>
    <x v="62"/>
    <x v="200"/>
    <x v="0"/>
    <n v="39"/>
    <s v="month"/>
    <x v="14"/>
    <n v="5"/>
  </r>
  <r>
    <n v="160208723"/>
    <x v="63"/>
    <x v="0"/>
    <x v="0"/>
    <n v="39"/>
    <s v="month"/>
    <x v="0"/>
    <n v="6"/>
  </r>
  <r>
    <n v="153539322"/>
    <x v="63"/>
    <x v="201"/>
    <x v="0"/>
    <n v="39"/>
    <s v="month"/>
    <x v="137"/>
    <n v="6"/>
  </r>
  <r>
    <n v="160164472"/>
    <x v="63"/>
    <x v="202"/>
    <x v="0"/>
    <n v="39"/>
    <s v="month"/>
    <x v="158"/>
    <n v="6"/>
  </r>
  <r>
    <n v="160193644"/>
    <x v="63"/>
    <x v="150"/>
    <x v="0"/>
    <n v="39"/>
    <s v="month"/>
    <x v="39"/>
    <n v="6"/>
  </r>
  <r>
    <n v="156294098"/>
    <x v="63"/>
    <x v="199"/>
    <x v="0"/>
    <n v="39"/>
    <s v="month"/>
    <x v="72"/>
    <n v="6"/>
  </r>
  <r>
    <n v="146625866"/>
    <x v="63"/>
    <x v="203"/>
    <x v="0"/>
    <n v="39"/>
    <s v="month"/>
    <x v="134"/>
    <n v="6"/>
  </r>
  <r>
    <n v="157663870"/>
    <x v="64"/>
    <x v="131"/>
    <x v="0"/>
    <n v="39"/>
    <s v="month"/>
    <x v="1"/>
    <n v="7"/>
  </r>
  <r>
    <n v="159679042"/>
    <x v="64"/>
    <x v="131"/>
    <x v="1"/>
    <n v="39"/>
    <s v="month"/>
    <x v="1"/>
    <n v="7"/>
  </r>
  <r>
    <n v="160558904"/>
    <x v="64"/>
    <x v="194"/>
    <x v="0"/>
    <n v="39"/>
    <s v="month"/>
    <x v="159"/>
    <n v="7"/>
  </r>
  <r>
    <n v="127836197"/>
    <x v="64"/>
    <x v="144"/>
    <x v="0"/>
    <n v="39"/>
    <s v="month"/>
    <x v="11"/>
    <n v="7"/>
  </r>
  <r>
    <n v="155334332"/>
    <x v="64"/>
    <x v="113"/>
    <x v="0"/>
    <n v="39"/>
    <s v="month"/>
    <x v="72"/>
    <n v="7"/>
  </r>
  <r>
    <n v="160523170"/>
    <x v="64"/>
    <x v="36"/>
    <x v="0"/>
    <n v="39"/>
    <s v="month"/>
    <x v="14"/>
    <n v="7"/>
  </r>
  <r>
    <n v="156907890"/>
    <x v="64"/>
    <x v="144"/>
    <x v="0"/>
    <n v="39"/>
    <s v="month"/>
    <x v="11"/>
    <n v="7"/>
  </r>
  <r>
    <n v="160608516"/>
    <x v="64"/>
    <x v="204"/>
    <x v="0"/>
    <n v="39"/>
    <s v="month"/>
    <x v="160"/>
    <n v="7"/>
  </r>
  <r>
    <n v="113181220"/>
    <x v="64"/>
    <x v="205"/>
    <x v="0"/>
    <n v="39"/>
    <s v="month"/>
    <x v="41"/>
    <n v="7"/>
  </r>
  <r>
    <n v="159790393"/>
    <x v="65"/>
    <x v="206"/>
    <x v="0"/>
    <n v="39"/>
    <s v="month"/>
    <x v="106"/>
    <n v="1"/>
  </r>
  <r>
    <n v="147813476"/>
    <x v="65"/>
    <x v="175"/>
    <x v="0"/>
    <n v="39"/>
    <s v="month"/>
    <x v="33"/>
    <n v="1"/>
  </r>
  <r>
    <n v="156078158"/>
    <x v="65"/>
    <x v="84"/>
    <x v="0"/>
    <n v="39"/>
    <s v="month"/>
    <x v="159"/>
    <n v="1"/>
  </r>
  <r>
    <n v="154879898"/>
    <x v="65"/>
    <x v="116"/>
    <x v="0"/>
    <n v="39"/>
    <s v="month"/>
    <x v="125"/>
    <n v="1"/>
  </r>
  <r>
    <n v="136157937"/>
    <x v="65"/>
    <x v="207"/>
    <x v="0"/>
    <n v="39"/>
    <s v="month"/>
    <x v="14"/>
    <n v="1"/>
  </r>
  <r>
    <n v="160176868"/>
    <x v="65"/>
    <x v="109"/>
    <x v="0"/>
    <n v="39"/>
    <s v="month"/>
    <x v="9"/>
    <n v="1"/>
  </r>
  <r>
    <n v="160622888"/>
    <x v="65"/>
    <x v="131"/>
    <x v="0"/>
    <n v="39"/>
    <s v="month"/>
    <x v="11"/>
    <n v="1"/>
  </r>
  <r>
    <n v="158736659"/>
    <x v="66"/>
    <x v="0"/>
    <x v="0"/>
    <n v="39"/>
    <s v="month"/>
    <x v="0"/>
    <n v="2"/>
  </r>
  <r>
    <n v="160813660"/>
    <x v="66"/>
    <x v="0"/>
    <x v="0"/>
    <n v="39"/>
    <s v="month"/>
    <x v="0"/>
    <n v="2"/>
  </r>
  <r>
    <n v="158524240"/>
    <x v="66"/>
    <x v="0"/>
    <x v="0"/>
    <n v="39"/>
    <s v="month"/>
    <x v="0"/>
    <n v="2"/>
  </r>
  <r>
    <n v="160702738"/>
    <x v="66"/>
    <x v="0"/>
    <x v="0"/>
    <n v="39"/>
    <s v="month"/>
    <x v="0"/>
    <n v="2"/>
  </r>
  <r>
    <n v="138919619"/>
    <x v="66"/>
    <x v="100"/>
    <x v="0"/>
    <n v="39"/>
    <s v="month"/>
    <x v="72"/>
    <n v="2"/>
  </r>
  <r>
    <n v="121571816"/>
    <x v="66"/>
    <x v="208"/>
    <x v="0"/>
    <n v="39"/>
    <s v="month"/>
    <x v="161"/>
    <n v="2"/>
  </r>
  <r>
    <n v="160623955"/>
    <x v="66"/>
    <x v="209"/>
    <x v="0"/>
    <n v="39"/>
    <s v="month"/>
    <x v="162"/>
    <n v="2"/>
  </r>
  <r>
    <n v="160010850"/>
    <x v="66"/>
    <x v="162"/>
    <x v="0"/>
    <n v="39"/>
    <s v="month"/>
    <x v="131"/>
    <n v="2"/>
  </r>
  <r>
    <n v="160823268"/>
    <x v="66"/>
    <x v="136"/>
    <x v="0"/>
    <n v="39"/>
    <s v="month"/>
    <x v="53"/>
    <n v="2"/>
  </r>
  <r>
    <n v="158992873"/>
    <x v="66"/>
    <x v="210"/>
    <x v="0"/>
    <n v="39"/>
    <s v="month"/>
    <x v="106"/>
    <n v="2"/>
  </r>
  <r>
    <n v="159878556"/>
    <x v="66"/>
    <x v="71"/>
    <x v="0"/>
    <n v="39"/>
    <s v="month"/>
    <x v="35"/>
    <n v="2"/>
  </r>
  <r>
    <n v="160833652"/>
    <x v="66"/>
    <x v="93"/>
    <x v="0"/>
    <n v="39"/>
    <s v="month"/>
    <x v="14"/>
    <n v="2"/>
  </r>
  <r>
    <n v="157663870"/>
    <x v="66"/>
    <x v="86"/>
    <x v="0"/>
    <n v="39"/>
    <s v="month"/>
    <x v="28"/>
    <n v="2"/>
  </r>
  <r>
    <n v="160615413"/>
    <x v="66"/>
    <x v="169"/>
    <x v="0"/>
    <n v="39"/>
    <s v="month"/>
    <x v="122"/>
    <n v="2"/>
  </r>
  <r>
    <n v="156207052"/>
    <x v="66"/>
    <x v="113"/>
    <x v="0"/>
    <n v="39"/>
    <s v="month"/>
    <x v="62"/>
    <n v="2"/>
  </r>
  <r>
    <n v="160103792"/>
    <x v="66"/>
    <x v="149"/>
    <x v="0"/>
    <n v="39"/>
    <s v="month"/>
    <x v="11"/>
    <n v="2"/>
  </r>
  <r>
    <n v="160969302"/>
    <x v="67"/>
    <x v="211"/>
    <x v="0"/>
    <n v="39"/>
    <s v="month"/>
    <x v="163"/>
    <n v="4"/>
  </r>
  <r>
    <n v="149648746"/>
    <x v="67"/>
    <x v="212"/>
    <x v="0"/>
    <n v="39"/>
    <s v="month"/>
    <x v="140"/>
    <n v="4"/>
  </r>
  <r>
    <n v="155643390"/>
    <x v="67"/>
    <x v="189"/>
    <x v="0"/>
    <n v="39"/>
    <s v="month"/>
    <x v="164"/>
    <n v="4"/>
  </r>
  <r>
    <n v="119294384"/>
    <x v="67"/>
    <x v="161"/>
    <x v="0"/>
    <n v="39"/>
    <s v="month"/>
    <x v="91"/>
    <n v="4"/>
  </r>
  <r>
    <n v="160171541"/>
    <x v="67"/>
    <x v="34"/>
    <x v="0"/>
    <n v="39"/>
    <s v="month"/>
    <x v="13"/>
    <n v="4"/>
  </r>
  <r>
    <n v="150569213"/>
    <x v="67"/>
    <x v="213"/>
    <x v="0"/>
    <n v="39"/>
    <s v="month"/>
    <x v="14"/>
    <n v="4"/>
  </r>
  <r>
    <n v="156710028"/>
    <x v="68"/>
    <x v="191"/>
    <x v="0"/>
    <n v="39"/>
    <s v="month"/>
    <x v="165"/>
    <n v="5"/>
  </r>
  <r>
    <n v="157670310"/>
    <x v="68"/>
    <x v="214"/>
    <x v="0"/>
    <n v="39"/>
    <s v="month"/>
    <x v="6"/>
    <n v="5"/>
  </r>
  <r>
    <n v="157091067"/>
    <x v="68"/>
    <x v="153"/>
    <x v="0"/>
    <n v="39"/>
    <s v="month"/>
    <x v="166"/>
    <n v="5"/>
  </r>
  <r>
    <n v="159639128"/>
    <x v="68"/>
    <x v="215"/>
    <x v="0"/>
    <n v="39"/>
    <s v="month"/>
    <x v="11"/>
    <n v="5"/>
  </r>
  <r>
    <n v="149728468"/>
    <x v="69"/>
    <x v="87"/>
    <x v="0"/>
    <n v="39"/>
    <s v="month"/>
    <x v="1"/>
    <n v="6"/>
  </r>
  <r>
    <n v="160714172"/>
    <x v="69"/>
    <x v="216"/>
    <x v="0"/>
    <n v="39"/>
    <s v="month"/>
    <x v="43"/>
    <n v="6"/>
  </r>
  <r>
    <n v="161464205"/>
    <x v="69"/>
    <x v="213"/>
    <x v="0"/>
    <n v="39"/>
    <s v="month"/>
    <x v="167"/>
    <n v="6"/>
  </r>
  <r>
    <n v="141084753"/>
    <x v="70"/>
    <x v="185"/>
    <x v="0"/>
    <n v="39"/>
    <s v="month"/>
    <x v="119"/>
    <n v="7"/>
  </r>
  <r>
    <n v="161768948"/>
    <x v="70"/>
    <x v="22"/>
    <x v="0"/>
    <n v="39"/>
    <s v="month"/>
    <x v="73"/>
    <n v="7"/>
  </r>
  <r>
    <n v="161692109"/>
    <x v="70"/>
    <x v="26"/>
    <x v="0"/>
    <n v="39"/>
    <s v="month"/>
    <x v="106"/>
    <n v="7"/>
  </r>
  <r>
    <n v="161424706"/>
    <x v="70"/>
    <x v="11"/>
    <x v="0"/>
    <n v="39"/>
    <s v="month"/>
    <x v="62"/>
    <n v="7"/>
  </r>
  <r>
    <n v="153186137"/>
    <x v="70"/>
    <x v="87"/>
    <x v="0"/>
    <n v="39"/>
    <s v="month"/>
    <x v="11"/>
    <n v="7"/>
  </r>
  <r>
    <n v="158906669"/>
    <x v="71"/>
    <x v="153"/>
    <x v="0"/>
    <n v="39"/>
    <s v="month"/>
    <x v="53"/>
    <n v="1"/>
  </r>
  <r>
    <n v="154085972"/>
    <x v="71"/>
    <x v="217"/>
    <x v="0"/>
    <n v="39"/>
    <s v="month"/>
    <x v="2"/>
    <n v="1"/>
  </r>
  <r>
    <n v="162409676"/>
    <x v="72"/>
    <x v="0"/>
    <x v="0"/>
    <n v="39"/>
    <s v="month"/>
    <x v="0"/>
    <n v="2"/>
  </r>
  <r>
    <n v="157438261"/>
    <x v="72"/>
    <x v="0"/>
    <x v="0"/>
    <n v="39"/>
    <s v="month"/>
    <x v="0"/>
    <n v="2"/>
  </r>
  <r>
    <n v="132579012"/>
    <x v="72"/>
    <x v="218"/>
    <x v="0"/>
    <n v="39"/>
    <s v="month"/>
    <x v="31"/>
    <n v="2"/>
  </r>
  <r>
    <n v="129140042"/>
    <x v="72"/>
    <x v="219"/>
    <x v="0"/>
    <n v="39"/>
    <s v="month"/>
    <x v="168"/>
    <n v="2"/>
  </r>
  <r>
    <n v="147100996"/>
    <x v="72"/>
    <x v="25"/>
    <x v="0"/>
    <n v="39"/>
    <s v="month"/>
    <x v="169"/>
    <n v="2"/>
  </r>
  <r>
    <n v="158437198"/>
    <x v="72"/>
    <x v="208"/>
    <x v="0"/>
    <n v="39"/>
    <s v="month"/>
    <x v="170"/>
    <n v="2"/>
  </r>
  <r>
    <n v="162343403"/>
    <x v="72"/>
    <x v="220"/>
    <x v="0"/>
    <n v="39"/>
    <s v="month"/>
    <x v="131"/>
    <n v="2"/>
  </r>
  <r>
    <n v="162218672"/>
    <x v="72"/>
    <x v="162"/>
    <x v="0"/>
    <n v="39"/>
    <s v="month"/>
    <x v="85"/>
    <n v="2"/>
  </r>
  <r>
    <n v="120738319"/>
    <x v="72"/>
    <x v="145"/>
    <x v="0"/>
    <n v="39"/>
    <s v="month"/>
    <x v="171"/>
    <n v="2"/>
  </r>
  <r>
    <n v="162147786"/>
    <x v="72"/>
    <x v="122"/>
    <x v="0"/>
    <n v="39"/>
    <s v="month"/>
    <x v="172"/>
    <n v="2"/>
  </r>
  <r>
    <n v="153165084"/>
    <x v="72"/>
    <x v="35"/>
    <x v="0"/>
    <n v="39"/>
    <s v="month"/>
    <x v="5"/>
    <n v="2"/>
  </r>
  <r>
    <n v="161815335"/>
    <x v="72"/>
    <x v="26"/>
    <x v="0"/>
    <n v="39"/>
    <s v="month"/>
    <x v="66"/>
    <n v="2"/>
  </r>
  <r>
    <n v="162294529"/>
    <x v="72"/>
    <x v="201"/>
    <x v="0"/>
    <n v="39"/>
    <s v="month"/>
    <x v="93"/>
    <n v="2"/>
  </r>
  <r>
    <n v="162176080"/>
    <x v="72"/>
    <x v="221"/>
    <x v="0"/>
    <n v="39"/>
    <s v="month"/>
    <x v="6"/>
    <n v="2"/>
  </r>
  <r>
    <n v="162412232"/>
    <x v="72"/>
    <x v="97"/>
    <x v="0"/>
    <n v="39"/>
    <s v="month"/>
    <x v="14"/>
    <n v="2"/>
  </r>
  <r>
    <n v="158575772"/>
    <x v="72"/>
    <x v="213"/>
    <x v="0"/>
    <n v="39"/>
    <s v="month"/>
    <x v="50"/>
    <n v="2"/>
  </r>
  <r>
    <n v="162247173"/>
    <x v="72"/>
    <x v="60"/>
    <x v="0"/>
    <n v="39"/>
    <s v="month"/>
    <x v="62"/>
    <n v="2"/>
  </r>
  <r>
    <n v="153630282"/>
    <x v="72"/>
    <x v="86"/>
    <x v="0"/>
    <n v="39"/>
    <s v="month"/>
    <x v="15"/>
    <n v="2"/>
  </r>
  <r>
    <n v="156699431"/>
    <x v="72"/>
    <x v="6"/>
    <x v="0"/>
    <n v="39"/>
    <s v="month"/>
    <x v="173"/>
    <n v="2"/>
  </r>
  <r>
    <n v="148018000"/>
    <x v="72"/>
    <x v="222"/>
    <x v="0"/>
    <n v="39"/>
    <s v="month"/>
    <x v="41"/>
    <n v="2"/>
  </r>
  <r>
    <n v="161623906"/>
    <x v="73"/>
    <x v="0"/>
    <x v="0"/>
    <n v="39"/>
    <s v="month"/>
    <x v="0"/>
    <n v="3"/>
  </r>
  <r>
    <n v="145664226"/>
    <x v="73"/>
    <x v="0"/>
    <x v="0"/>
    <n v="39"/>
    <s v="month"/>
    <x v="0"/>
    <n v="3"/>
  </r>
  <r>
    <n v="162529715"/>
    <x v="73"/>
    <x v="223"/>
    <x v="0"/>
    <n v="39"/>
    <s v="month"/>
    <x v="145"/>
    <n v="3"/>
  </r>
  <r>
    <n v="162581284"/>
    <x v="73"/>
    <x v="60"/>
    <x v="0"/>
    <n v="39"/>
    <s v="month"/>
    <x v="20"/>
    <n v="3"/>
  </r>
  <r>
    <n v="152655443"/>
    <x v="73"/>
    <x v="194"/>
    <x v="0"/>
    <n v="39"/>
    <s v="month"/>
    <x v="144"/>
    <n v="3"/>
  </r>
  <r>
    <n v="162443327"/>
    <x v="73"/>
    <x v="224"/>
    <x v="0"/>
    <n v="39"/>
    <s v="month"/>
    <x v="27"/>
    <n v="3"/>
  </r>
  <r>
    <n v="148348600"/>
    <x v="73"/>
    <x v="207"/>
    <x v="0"/>
    <n v="39"/>
    <s v="month"/>
    <x v="44"/>
    <n v="3"/>
  </r>
  <r>
    <n v="162992590"/>
    <x v="74"/>
    <x v="0"/>
    <x v="0"/>
    <n v="39"/>
    <s v="month"/>
    <x v="0"/>
    <n v="4"/>
  </r>
  <r>
    <n v="156633222"/>
    <x v="74"/>
    <x v="155"/>
    <x v="1"/>
    <n v="39"/>
    <s v="month"/>
    <x v="11"/>
    <n v="4"/>
  </r>
  <r>
    <n v="133595094"/>
    <x v="74"/>
    <x v="197"/>
    <x v="0"/>
    <n v="39"/>
    <s v="month"/>
    <x v="133"/>
    <n v="4"/>
  </r>
  <r>
    <n v="147770763"/>
    <x v="74"/>
    <x v="197"/>
    <x v="0"/>
    <n v="39"/>
    <s v="month"/>
    <x v="133"/>
    <n v="4"/>
  </r>
  <r>
    <n v="155370139"/>
    <x v="74"/>
    <x v="78"/>
    <x v="0"/>
    <n v="39"/>
    <s v="month"/>
    <x v="145"/>
    <n v="4"/>
  </r>
  <r>
    <n v="151890876"/>
    <x v="74"/>
    <x v="184"/>
    <x v="0"/>
    <n v="39"/>
    <s v="month"/>
    <x v="106"/>
    <n v="4"/>
  </r>
  <r>
    <n v="162920304"/>
    <x v="74"/>
    <x v="25"/>
    <x v="0"/>
    <n v="39"/>
    <s v="month"/>
    <x v="8"/>
    <n v="4"/>
  </r>
  <r>
    <n v="148838269"/>
    <x v="74"/>
    <x v="155"/>
    <x v="0"/>
    <n v="39"/>
    <s v="month"/>
    <x v="11"/>
    <n v="4"/>
  </r>
  <r>
    <n v="162913792"/>
    <x v="74"/>
    <x v="225"/>
    <x v="0"/>
    <n v="39"/>
    <s v="month"/>
    <x v="82"/>
    <n v="4"/>
  </r>
  <r>
    <n v="152316740"/>
    <x v="75"/>
    <x v="0"/>
    <x v="0"/>
    <n v="39"/>
    <s v="month"/>
    <x v="0"/>
    <n v="5"/>
  </r>
  <r>
    <n v="135480868"/>
    <x v="75"/>
    <x v="134"/>
    <x v="0"/>
    <n v="39"/>
    <s v="month"/>
    <x v="144"/>
    <n v="5"/>
  </r>
  <r>
    <n v="136315690"/>
    <x v="75"/>
    <x v="202"/>
    <x v="0"/>
    <n v="39"/>
    <s v="month"/>
    <x v="106"/>
    <n v="5"/>
  </r>
  <r>
    <n v="163224262"/>
    <x v="75"/>
    <x v="153"/>
    <x v="0"/>
    <n v="39"/>
    <s v="month"/>
    <x v="168"/>
    <n v="5"/>
  </r>
  <r>
    <n v="163330072"/>
    <x v="75"/>
    <x v="194"/>
    <x v="0"/>
    <n v="39"/>
    <s v="month"/>
    <x v="39"/>
    <n v="5"/>
  </r>
  <r>
    <n v="134646164"/>
    <x v="75"/>
    <x v="61"/>
    <x v="0"/>
    <n v="39"/>
    <s v="month"/>
    <x v="14"/>
    <n v="5"/>
  </r>
  <r>
    <n v="163282336"/>
    <x v="75"/>
    <x v="195"/>
    <x v="0"/>
    <n v="39"/>
    <s v="month"/>
    <x v="174"/>
    <n v="5"/>
  </r>
  <r>
    <n v="162490128"/>
    <x v="76"/>
    <x v="0"/>
    <x v="0"/>
    <n v="39"/>
    <s v="month"/>
    <x v="0"/>
    <n v="6"/>
  </r>
  <r>
    <n v="147122277"/>
    <x v="76"/>
    <x v="203"/>
    <x v="1"/>
    <n v="39"/>
    <s v="month"/>
    <x v="1"/>
    <n v="6"/>
  </r>
  <r>
    <n v="163623375"/>
    <x v="76"/>
    <x v="203"/>
    <x v="1"/>
    <n v="39"/>
    <s v="month"/>
    <x v="1"/>
    <n v="6"/>
  </r>
  <r>
    <n v="132918654"/>
    <x v="76"/>
    <x v="117"/>
    <x v="0"/>
    <n v="39"/>
    <s v="month"/>
    <x v="94"/>
    <n v="6"/>
  </r>
  <r>
    <n v="160601062"/>
    <x v="76"/>
    <x v="226"/>
    <x v="0"/>
    <n v="39"/>
    <s v="month"/>
    <x v="55"/>
    <n v="6"/>
  </r>
  <r>
    <n v="144573808"/>
    <x v="76"/>
    <x v="117"/>
    <x v="0"/>
    <n v="39"/>
    <s v="month"/>
    <x v="94"/>
    <n v="6"/>
  </r>
  <r>
    <n v="114435366"/>
    <x v="76"/>
    <x v="111"/>
    <x v="0"/>
    <n v="39"/>
    <s v="month"/>
    <x v="11"/>
    <n v="6"/>
  </r>
  <r>
    <n v="163399934"/>
    <x v="76"/>
    <x v="111"/>
    <x v="0"/>
    <n v="39"/>
    <s v="month"/>
    <x v="11"/>
    <n v="6"/>
  </r>
  <r>
    <n v="133599090"/>
    <x v="77"/>
    <x v="227"/>
    <x v="0"/>
    <n v="39"/>
    <s v="month"/>
    <x v="158"/>
    <n v="7"/>
  </r>
  <r>
    <n v="154767246"/>
    <x v="77"/>
    <x v="181"/>
    <x v="0"/>
    <n v="39"/>
    <s v="month"/>
    <x v="28"/>
    <n v="7"/>
  </r>
  <r>
    <n v="164085988"/>
    <x v="77"/>
    <x v="181"/>
    <x v="0"/>
    <n v="39"/>
    <s v="month"/>
    <x v="28"/>
    <n v="7"/>
  </r>
  <r>
    <n v="164255751"/>
    <x v="78"/>
    <x v="190"/>
    <x v="0"/>
    <n v="39"/>
    <s v="month"/>
    <x v="58"/>
    <n v="1"/>
  </r>
  <r>
    <n v="150663530"/>
    <x v="78"/>
    <x v="228"/>
    <x v="0"/>
    <n v="39"/>
    <s v="month"/>
    <x v="119"/>
    <n v="1"/>
  </r>
  <r>
    <n v="155333508"/>
    <x v="78"/>
    <x v="229"/>
    <x v="0"/>
    <n v="39"/>
    <s v="month"/>
    <x v="8"/>
    <n v="1"/>
  </r>
  <r>
    <n v="163178244"/>
    <x v="79"/>
    <x v="0"/>
    <x v="1"/>
    <n v="39"/>
    <s v="month"/>
    <x v="0"/>
    <n v="2"/>
  </r>
  <r>
    <n v="130245484"/>
    <x v="79"/>
    <x v="230"/>
    <x v="0"/>
    <n v="39"/>
    <s v="month"/>
    <x v="53"/>
    <n v="2"/>
  </r>
  <r>
    <n v="164578320"/>
    <x v="79"/>
    <x v="97"/>
    <x v="0"/>
    <n v="39"/>
    <s v="month"/>
    <x v="35"/>
    <n v="2"/>
  </r>
  <r>
    <n v="164542692"/>
    <x v="79"/>
    <x v="118"/>
    <x v="0"/>
    <n v="39"/>
    <s v="month"/>
    <x v="14"/>
    <n v="2"/>
  </r>
  <r>
    <n v="164087136"/>
    <x v="80"/>
    <x v="0"/>
    <x v="0"/>
    <n v="39"/>
    <s v="month"/>
    <x v="0"/>
    <n v="3"/>
  </r>
  <r>
    <n v="155414052"/>
    <x v="80"/>
    <x v="6"/>
    <x v="1"/>
    <n v="39"/>
    <s v="month"/>
    <x v="1"/>
    <n v="3"/>
  </r>
  <r>
    <n v="152253972"/>
    <x v="80"/>
    <x v="231"/>
    <x v="0"/>
    <n v="39"/>
    <s v="month"/>
    <x v="145"/>
    <n v="3"/>
  </r>
  <r>
    <n v="152754329"/>
    <x v="80"/>
    <x v="115"/>
    <x v="0"/>
    <n v="39"/>
    <s v="month"/>
    <x v="169"/>
    <n v="3"/>
  </r>
  <r>
    <n v="159724071"/>
    <x v="81"/>
    <x v="229"/>
    <x v="0"/>
    <n v="39"/>
    <s v="month"/>
    <x v="110"/>
    <n v="4"/>
  </r>
  <r>
    <n v="165164673"/>
    <x v="81"/>
    <x v="5"/>
    <x v="0"/>
    <n v="39"/>
    <s v="month"/>
    <x v="175"/>
    <n v="4"/>
  </r>
  <r>
    <n v="165529460"/>
    <x v="82"/>
    <x v="141"/>
    <x v="0"/>
    <n v="39"/>
    <s v="month"/>
    <x v="141"/>
    <n v="5"/>
  </r>
  <r>
    <n v="163362190"/>
    <x v="83"/>
    <x v="0"/>
    <x v="0"/>
    <n v="39"/>
    <s v="month"/>
    <x v="0"/>
    <n v="6"/>
  </r>
  <r>
    <n v="155810350"/>
    <x v="83"/>
    <x v="80"/>
    <x v="0"/>
    <n v="39"/>
    <s v="month"/>
    <x v="62"/>
    <n v="6"/>
  </r>
  <r>
    <n v="161793136"/>
    <x v="83"/>
    <x v="232"/>
    <x v="0"/>
    <n v="39"/>
    <s v="month"/>
    <x v="176"/>
    <n v="6"/>
  </r>
  <r>
    <n v="159255776"/>
    <x v="83"/>
    <x v="233"/>
    <x v="0"/>
    <n v="39"/>
    <s v="month"/>
    <x v="101"/>
    <n v="6"/>
  </r>
  <r>
    <n v="165807144"/>
    <x v="83"/>
    <x v="214"/>
    <x v="0"/>
    <n v="39"/>
    <s v="month"/>
    <x v="39"/>
    <n v="6"/>
  </r>
  <r>
    <n v="165788743"/>
    <x v="83"/>
    <x v="198"/>
    <x v="0"/>
    <n v="39"/>
    <s v="month"/>
    <x v="93"/>
    <n v="6"/>
  </r>
  <r>
    <n v="162513776"/>
    <x v="83"/>
    <x v="143"/>
    <x v="0"/>
    <n v="39"/>
    <s v="month"/>
    <x v="177"/>
    <n v="6"/>
  </r>
  <r>
    <n v="161841028"/>
    <x v="83"/>
    <x v="84"/>
    <x v="0"/>
    <n v="39"/>
    <s v="month"/>
    <x v="94"/>
    <n v="6"/>
  </r>
  <r>
    <n v="160597612"/>
    <x v="83"/>
    <x v="60"/>
    <x v="0"/>
    <n v="39"/>
    <s v="month"/>
    <x v="178"/>
    <n v="6"/>
  </r>
  <r>
    <n v="165937140"/>
    <x v="84"/>
    <x v="234"/>
    <x v="1"/>
    <n v="39"/>
    <s v="month"/>
    <x v="1"/>
    <n v="7"/>
  </r>
  <r>
    <n v="165613975"/>
    <x v="84"/>
    <x v="235"/>
    <x v="0"/>
    <n v="39"/>
    <s v="month"/>
    <x v="112"/>
    <n v="7"/>
  </r>
  <r>
    <n v="164662173"/>
    <x v="84"/>
    <x v="134"/>
    <x v="0"/>
    <n v="39"/>
    <s v="month"/>
    <x v="94"/>
    <n v="7"/>
  </r>
  <r>
    <n v="162411394"/>
    <x v="84"/>
    <x v="166"/>
    <x v="0"/>
    <n v="39"/>
    <s v="month"/>
    <x v="179"/>
    <n v="7"/>
  </r>
  <r>
    <n v="121439836"/>
    <x v="85"/>
    <x v="0"/>
    <x v="0"/>
    <n v="39"/>
    <s v="month"/>
    <x v="0"/>
    <n v="1"/>
  </r>
  <r>
    <n v="157353623"/>
    <x v="85"/>
    <x v="234"/>
    <x v="1"/>
    <n v="39"/>
    <s v="month"/>
    <x v="11"/>
    <n v="1"/>
  </r>
  <r>
    <n v="165953219"/>
    <x v="85"/>
    <x v="34"/>
    <x v="0"/>
    <n v="39"/>
    <s v="month"/>
    <x v="14"/>
    <n v="1"/>
  </r>
  <r>
    <n v="154710805"/>
    <x v="86"/>
    <x v="0"/>
    <x v="0"/>
    <n v="39"/>
    <s v="month"/>
    <x v="0"/>
    <n v="2"/>
  </r>
  <r>
    <n v="164084318"/>
    <x v="86"/>
    <x v="0"/>
    <x v="0"/>
    <n v="39"/>
    <s v="month"/>
    <x v="0"/>
    <n v="2"/>
  </r>
  <r>
    <n v="160043327"/>
    <x v="86"/>
    <x v="130"/>
    <x v="1"/>
    <n v="39"/>
    <s v="month"/>
    <x v="1"/>
    <n v="2"/>
  </r>
  <r>
    <n v="131166579"/>
    <x v="86"/>
    <x v="166"/>
    <x v="0"/>
    <n v="39"/>
    <s v="month"/>
    <x v="14"/>
    <n v="2"/>
  </r>
  <r>
    <n v="166109726"/>
    <x v="86"/>
    <x v="224"/>
    <x v="0"/>
    <n v="39"/>
    <s v="month"/>
    <x v="19"/>
    <n v="2"/>
  </r>
  <r>
    <n v="155446081"/>
    <x v="86"/>
    <x v="133"/>
    <x v="0"/>
    <n v="39"/>
    <s v="month"/>
    <x v="36"/>
    <n v="2"/>
  </r>
  <r>
    <n v="166342075"/>
    <x v="86"/>
    <x v="118"/>
    <x v="0"/>
    <n v="39"/>
    <s v="month"/>
    <x v="35"/>
    <n v="2"/>
  </r>
  <r>
    <n v="154063985"/>
    <x v="86"/>
    <x v="236"/>
    <x v="0"/>
    <n v="39"/>
    <s v="month"/>
    <x v="4"/>
    <n v="2"/>
  </r>
  <r>
    <n v="164141888"/>
    <x v="87"/>
    <x v="0"/>
    <x v="0"/>
    <n v="39"/>
    <s v="month"/>
    <x v="0"/>
    <n v="3"/>
  </r>
  <r>
    <n v="165244044"/>
    <x v="87"/>
    <x v="237"/>
    <x v="0"/>
    <n v="39"/>
    <s v="month"/>
    <x v="180"/>
    <n v="3"/>
  </r>
  <r>
    <n v="136149379"/>
    <x v="87"/>
    <x v="146"/>
    <x v="0"/>
    <n v="39"/>
    <s v="month"/>
    <x v="121"/>
    <n v="3"/>
  </r>
  <r>
    <n v="158227426"/>
    <x v="87"/>
    <x v="50"/>
    <x v="0"/>
    <n v="39"/>
    <s v="month"/>
    <x v="77"/>
    <n v="3"/>
  </r>
  <r>
    <n v="166366125"/>
    <x v="87"/>
    <x v="162"/>
    <x v="0"/>
    <n v="39"/>
    <s v="month"/>
    <x v="181"/>
    <n v="3"/>
  </r>
  <r>
    <n v="166753946"/>
    <x v="87"/>
    <x v="221"/>
    <x v="0"/>
    <n v="39"/>
    <s v="month"/>
    <x v="39"/>
    <n v="3"/>
  </r>
  <r>
    <n v="157883110"/>
    <x v="87"/>
    <x v="115"/>
    <x v="0"/>
    <n v="39"/>
    <s v="month"/>
    <x v="13"/>
    <n v="3"/>
  </r>
  <r>
    <n v="138475621"/>
    <x v="87"/>
    <x v="164"/>
    <x v="0"/>
    <n v="39"/>
    <s v="month"/>
    <x v="178"/>
    <n v="3"/>
  </r>
  <r>
    <n v="166529240"/>
    <x v="88"/>
    <x v="0"/>
    <x v="0"/>
    <n v="39"/>
    <s v="month"/>
    <x v="0"/>
    <n v="4"/>
  </r>
  <r>
    <n v="125828506"/>
    <x v="88"/>
    <x v="210"/>
    <x v="0"/>
    <n v="39"/>
    <s v="month"/>
    <x v="83"/>
    <n v="4"/>
  </r>
  <r>
    <n v="148869381"/>
    <x v="88"/>
    <x v="192"/>
    <x v="0"/>
    <n v="39"/>
    <s v="month"/>
    <x v="169"/>
    <n v="4"/>
  </r>
  <r>
    <n v="134825962"/>
    <x v="88"/>
    <x v="133"/>
    <x v="0"/>
    <n v="39"/>
    <s v="month"/>
    <x v="50"/>
    <n v="4"/>
  </r>
  <r>
    <n v="151163143"/>
    <x v="88"/>
    <x v="129"/>
    <x v="0"/>
    <n v="39"/>
    <s v="month"/>
    <x v="14"/>
    <n v="4"/>
  </r>
  <r>
    <n v="156111982"/>
    <x v="88"/>
    <x v="238"/>
    <x v="0"/>
    <n v="39"/>
    <s v="month"/>
    <x v="182"/>
    <n v="4"/>
  </r>
  <r>
    <n v="166546201"/>
    <x v="88"/>
    <x v="60"/>
    <x v="0"/>
    <n v="39"/>
    <s v="month"/>
    <x v="125"/>
    <n v="4"/>
  </r>
  <r>
    <n v="162126074"/>
    <x v="89"/>
    <x v="0"/>
    <x v="0"/>
    <n v="39"/>
    <s v="month"/>
    <x v="0"/>
    <n v="5"/>
  </r>
  <r>
    <n v="162640429"/>
    <x v="89"/>
    <x v="0"/>
    <x v="0"/>
    <n v="39"/>
    <s v="month"/>
    <x v="0"/>
    <n v="5"/>
  </r>
  <r>
    <n v="164413682"/>
    <x v="89"/>
    <x v="0"/>
    <x v="0"/>
    <n v="39"/>
    <s v="month"/>
    <x v="0"/>
    <n v="5"/>
  </r>
  <r>
    <n v="162850052"/>
    <x v="89"/>
    <x v="0"/>
    <x v="0"/>
    <n v="39"/>
    <s v="month"/>
    <x v="0"/>
    <n v="5"/>
  </r>
  <r>
    <n v="162177746"/>
    <x v="89"/>
    <x v="123"/>
    <x v="0"/>
    <n v="39"/>
    <s v="month"/>
    <x v="44"/>
    <n v="5"/>
  </r>
  <r>
    <n v="135587508"/>
    <x v="89"/>
    <x v="219"/>
    <x v="0"/>
    <n v="39"/>
    <s v="month"/>
    <x v="144"/>
    <n v="5"/>
  </r>
  <r>
    <n v="161428649"/>
    <x v="89"/>
    <x v="239"/>
    <x v="0"/>
    <n v="39"/>
    <s v="month"/>
    <x v="154"/>
    <n v="5"/>
  </r>
  <r>
    <n v="166977144"/>
    <x v="89"/>
    <x v="239"/>
    <x v="0"/>
    <n v="39"/>
    <s v="month"/>
    <x v="154"/>
    <n v="5"/>
  </r>
  <r>
    <n v="161640666"/>
    <x v="89"/>
    <x v="50"/>
    <x v="0"/>
    <n v="39"/>
    <s v="month"/>
    <x v="97"/>
    <n v="5"/>
  </r>
  <r>
    <n v="165932696"/>
    <x v="89"/>
    <x v="50"/>
    <x v="0"/>
    <n v="39"/>
    <s v="month"/>
    <x v="97"/>
    <n v="5"/>
  </r>
  <r>
    <n v="165204032"/>
    <x v="89"/>
    <x v="210"/>
    <x v="0"/>
    <n v="39"/>
    <s v="month"/>
    <x v="38"/>
    <n v="5"/>
  </r>
  <r>
    <n v="162469903"/>
    <x v="89"/>
    <x v="35"/>
    <x v="0"/>
    <n v="39"/>
    <s v="month"/>
    <x v="88"/>
    <n v="5"/>
  </r>
  <r>
    <n v="166515564"/>
    <x v="89"/>
    <x v="229"/>
    <x v="0"/>
    <n v="39"/>
    <s v="month"/>
    <x v="78"/>
    <n v="5"/>
  </r>
  <r>
    <n v="139323228"/>
    <x v="89"/>
    <x v="194"/>
    <x v="0"/>
    <n v="39"/>
    <s v="month"/>
    <x v="7"/>
    <n v="5"/>
  </r>
  <r>
    <n v="162569750"/>
    <x v="89"/>
    <x v="113"/>
    <x v="0"/>
    <n v="39"/>
    <s v="month"/>
    <x v="175"/>
    <n v="5"/>
  </r>
  <r>
    <n v="165959602"/>
    <x v="89"/>
    <x v="238"/>
    <x v="0"/>
    <n v="39"/>
    <s v="month"/>
    <x v="2"/>
    <n v="5"/>
  </r>
  <r>
    <n v="160968524"/>
    <x v="89"/>
    <x v="240"/>
    <x v="0"/>
    <n v="39"/>
    <s v="month"/>
    <x v="76"/>
    <n v="5"/>
  </r>
  <r>
    <n v="163258260"/>
    <x v="90"/>
    <x v="0"/>
    <x v="0"/>
    <n v="39"/>
    <s v="month"/>
    <x v="0"/>
    <n v="6"/>
  </r>
  <r>
    <n v="167051046"/>
    <x v="90"/>
    <x v="0"/>
    <x v="0"/>
    <n v="39"/>
    <s v="month"/>
    <x v="0"/>
    <n v="6"/>
  </r>
  <r>
    <n v="161182367"/>
    <x v="90"/>
    <x v="199"/>
    <x v="0"/>
    <n v="39"/>
    <s v="month"/>
    <x v="1"/>
    <n v="6"/>
  </r>
  <r>
    <n v="167292985"/>
    <x v="90"/>
    <x v="199"/>
    <x v="1"/>
    <n v="39"/>
    <s v="month"/>
    <x v="1"/>
    <n v="6"/>
  </r>
  <r>
    <n v="166183014"/>
    <x v="90"/>
    <x v="199"/>
    <x v="1"/>
    <n v="39"/>
    <s v="month"/>
    <x v="1"/>
    <n v="6"/>
  </r>
  <r>
    <n v="165143920"/>
    <x v="90"/>
    <x v="212"/>
    <x v="0"/>
    <n v="39"/>
    <s v="month"/>
    <x v="183"/>
    <n v="6"/>
  </r>
  <r>
    <n v="165958089"/>
    <x v="90"/>
    <x v="219"/>
    <x v="0"/>
    <n v="39"/>
    <s v="month"/>
    <x v="88"/>
    <n v="6"/>
  </r>
  <r>
    <n v="165431576"/>
    <x v="90"/>
    <x v="214"/>
    <x v="0"/>
    <n v="39"/>
    <s v="month"/>
    <x v="94"/>
    <n v="6"/>
  </r>
  <r>
    <n v="163708513"/>
    <x v="90"/>
    <x v="167"/>
    <x v="0"/>
    <n v="39"/>
    <s v="month"/>
    <x v="44"/>
    <n v="6"/>
  </r>
  <r>
    <n v="164521419"/>
    <x v="90"/>
    <x v="123"/>
    <x v="0"/>
    <n v="39"/>
    <s v="month"/>
    <x v="62"/>
    <n v="6"/>
  </r>
  <r>
    <n v="166257164"/>
    <x v="90"/>
    <x v="97"/>
    <x v="0"/>
    <n v="39"/>
    <s v="month"/>
    <x v="184"/>
    <n v="6"/>
  </r>
  <r>
    <n v="121348156"/>
    <x v="90"/>
    <x v="100"/>
    <x v="0"/>
    <n v="39"/>
    <s v="month"/>
    <x v="37"/>
    <n v="6"/>
  </r>
  <r>
    <n v="167280894"/>
    <x v="90"/>
    <x v="241"/>
    <x v="0"/>
    <n v="39"/>
    <s v="month"/>
    <x v="185"/>
    <n v="6"/>
  </r>
  <r>
    <n v="160980795"/>
    <x v="91"/>
    <x v="0"/>
    <x v="0"/>
    <n v="39"/>
    <s v="month"/>
    <x v="0"/>
    <n v="7"/>
  </r>
  <r>
    <n v="167544686"/>
    <x v="91"/>
    <x v="0"/>
    <x v="0"/>
    <n v="39"/>
    <s v="month"/>
    <x v="0"/>
    <n v="7"/>
  </r>
  <r>
    <n v="161968719"/>
    <x v="91"/>
    <x v="0"/>
    <x v="0"/>
    <n v="39"/>
    <s v="month"/>
    <x v="0"/>
    <n v="7"/>
  </r>
  <r>
    <n v="159070152"/>
    <x v="91"/>
    <x v="0"/>
    <x v="0"/>
    <n v="39"/>
    <s v="month"/>
    <x v="0"/>
    <n v="7"/>
  </r>
  <r>
    <n v="167445788"/>
    <x v="91"/>
    <x v="113"/>
    <x v="1"/>
    <n v="39"/>
    <s v="month"/>
    <x v="1"/>
    <n v="7"/>
  </r>
  <r>
    <n v="167441263"/>
    <x v="91"/>
    <x v="157"/>
    <x v="0"/>
    <n v="39"/>
    <s v="month"/>
    <x v="29"/>
    <n v="7"/>
  </r>
  <r>
    <n v="167586100"/>
    <x v="91"/>
    <x v="161"/>
    <x v="0"/>
    <n v="39"/>
    <s v="month"/>
    <x v="75"/>
    <n v="7"/>
  </r>
  <r>
    <n v="139789436"/>
    <x v="91"/>
    <x v="242"/>
    <x v="0"/>
    <n v="39"/>
    <s v="month"/>
    <x v="110"/>
    <n v="7"/>
  </r>
  <r>
    <n v="116319450"/>
    <x v="92"/>
    <x v="185"/>
    <x v="0"/>
    <n v="39"/>
    <s v="month"/>
    <x v="186"/>
    <n v="1"/>
  </r>
  <r>
    <n v="162939264"/>
    <x v="92"/>
    <x v="243"/>
    <x v="0"/>
    <n v="39"/>
    <s v="month"/>
    <x v="172"/>
    <n v="1"/>
  </r>
  <r>
    <n v="167711417"/>
    <x v="92"/>
    <x v="120"/>
    <x v="0"/>
    <n v="39"/>
    <s v="month"/>
    <x v="65"/>
    <n v="1"/>
  </r>
  <r>
    <n v="157381517"/>
    <x v="93"/>
    <x v="0"/>
    <x v="0"/>
    <n v="39"/>
    <s v="month"/>
    <x v="0"/>
    <n v="2"/>
  </r>
  <r>
    <n v="162912102"/>
    <x v="93"/>
    <x v="100"/>
    <x v="0"/>
    <n v="39"/>
    <s v="month"/>
    <x v="1"/>
    <n v="2"/>
  </r>
  <r>
    <n v="167833210"/>
    <x v="93"/>
    <x v="244"/>
    <x v="0"/>
    <n v="39"/>
    <s v="month"/>
    <x v="16"/>
    <n v="2"/>
  </r>
  <r>
    <n v="165676999"/>
    <x v="93"/>
    <x v="221"/>
    <x v="0"/>
    <n v="39"/>
    <s v="month"/>
    <x v="169"/>
    <n v="2"/>
  </r>
  <r>
    <n v="167253106"/>
    <x v="93"/>
    <x v="136"/>
    <x v="0"/>
    <n v="39"/>
    <s v="month"/>
    <x v="117"/>
    <n v="2"/>
  </r>
  <r>
    <n v="168022972"/>
    <x v="93"/>
    <x v="245"/>
    <x v="0"/>
    <n v="39"/>
    <s v="month"/>
    <x v="179"/>
    <n v="2"/>
  </r>
  <r>
    <n v="167315920"/>
    <x v="93"/>
    <x v="79"/>
    <x v="0"/>
    <n v="39"/>
    <s v="month"/>
    <x v="28"/>
    <n v="2"/>
  </r>
  <r>
    <n v="167928962"/>
    <x v="93"/>
    <x v="123"/>
    <x v="0"/>
    <n v="39"/>
    <s v="month"/>
    <x v="15"/>
    <n v="2"/>
  </r>
  <r>
    <n v="166211741"/>
    <x v="94"/>
    <x v="246"/>
    <x v="0"/>
    <n v="39"/>
    <s v="month"/>
    <x v="104"/>
    <n v="3"/>
  </r>
  <r>
    <n v="161450418"/>
    <x v="94"/>
    <x v="243"/>
    <x v="0"/>
    <n v="39"/>
    <s v="month"/>
    <x v="128"/>
    <n v="3"/>
  </r>
  <r>
    <n v="144961802"/>
    <x v="94"/>
    <x v="161"/>
    <x v="0"/>
    <n v="39"/>
    <s v="month"/>
    <x v="5"/>
    <n v="3"/>
  </r>
  <r>
    <n v="168137404"/>
    <x v="94"/>
    <x v="214"/>
    <x v="0"/>
    <n v="39"/>
    <s v="month"/>
    <x v="110"/>
    <n v="3"/>
  </r>
  <r>
    <n v="153441732"/>
    <x v="94"/>
    <x v="206"/>
    <x v="0"/>
    <n v="39"/>
    <s v="month"/>
    <x v="88"/>
    <n v="3"/>
  </r>
  <r>
    <n v="167649041"/>
    <x v="94"/>
    <x v="192"/>
    <x v="0"/>
    <n v="39"/>
    <s v="month"/>
    <x v="109"/>
    <n v="3"/>
  </r>
  <r>
    <n v="168089746"/>
    <x v="94"/>
    <x v="245"/>
    <x v="0"/>
    <n v="39"/>
    <s v="month"/>
    <x v="87"/>
    <n v="3"/>
  </r>
  <r>
    <n v="158177274"/>
    <x v="94"/>
    <x v="134"/>
    <x v="0"/>
    <n v="39"/>
    <s v="month"/>
    <x v="187"/>
    <n v="3"/>
  </r>
  <r>
    <n v="168061628"/>
    <x v="94"/>
    <x v="245"/>
    <x v="0"/>
    <n v="39"/>
    <s v="month"/>
    <x v="87"/>
    <n v="3"/>
  </r>
  <r>
    <n v="168436401"/>
    <x v="95"/>
    <x v="0"/>
    <x v="0"/>
    <n v="39"/>
    <s v="month"/>
    <x v="0"/>
    <n v="4"/>
  </r>
  <r>
    <n v="126770376"/>
    <x v="95"/>
    <x v="183"/>
    <x v="0"/>
    <n v="39"/>
    <s v="month"/>
    <x v="20"/>
    <n v="4"/>
  </r>
  <r>
    <n v="153468957"/>
    <x v="95"/>
    <x v="210"/>
    <x v="0"/>
    <n v="39"/>
    <s v="month"/>
    <x v="88"/>
    <n v="4"/>
  </r>
  <r>
    <n v="168336474"/>
    <x v="95"/>
    <x v="188"/>
    <x v="0"/>
    <n v="39"/>
    <s v="month"/>
    <x v="33"/>
    <n v="4"/>
  </r>
  <r>
    <n v="166929423"/>
    <x v="95"/>
    <x v="118"/>
    <x v="0"/>
    <n v="39"/>
    <s v="month"/>
    <x v="86"/>
    <n v="4"/>
  </r>
  <r>
    <n v="163990458"/>
    <x v="95"/>
    <x v="80"/>
    <x v="0"/>
    <n v="39"/>
    <s v="month"/>
    <x v="134"/>
    <n v="4"/>
  </r>
  <r>
    <n v="166411463"/>
    <x v="96"/>
    <x v="0"/>
    <x v="0"/>
    <n v="39"/>
    <s v="month"/>
    <x v="0"/>
    <n v="5"/>
  </r>
  <r>
    <n v="168433088"/>
    <x v="96"/>
    <x v="0"/>
    <x v="0"/>
    <n v="39"/>
    <s v="month"/>
    <x v="0"/>
    <n v="5"/>
  </r>
  <r>
    <n v="155426075"/>
    <x v="96"/>
    <x v="0"/>
    <x v="0"/>
    <n v="39"/>
    <s v="month"/>
    <x v="0"/>
    <n v="5"/>
  </r>
  <r>
    <n v="168555694"/>
    <x v="96"/>
    <x v="11"/>
    <x v="1"/>
    <n v="39"/>
    <s v="month"/>
    <x v="1"/>
    <n v="5"/>
  </r>
  <r>
    <n v="162912102"/>
    <x v="96"/>
    <x v="237"/>
    <x v="0"/>
    <n v="39"/>
    <s v="month"/>
    <x v="119"/>
    <n v="5"/>
  </r>
  <r>
    <n v="168471192"/>
    <x v="96"/>
    <x v="247"/>
    <x v="0"/>
    <n v="39"/>
    <s v="month"/>
    <x v="110"/>
    <n v="5"/>
  </r>
  <r>
    <n v="168825734"/>
    <x v="96"/>
    <x v="25"/>
    <x v="0"/>
    <n v="39"/>
    <s v="month"/>
    <x v="87"/>
    <n v="5"/>
  </r>
  <r>
    <n v="163852568"/>
    <x v="96"/>
    <x v="36"/>
    <x v="0"/>
    <n v="39"/>
    <s v="month"/>
    <x v="37"/>
    <n v="5"/>
  </r>
  <r>
    <n v="168460834"/>
    <x v="96"/>
    <x v="163"/>
    <x v="0"/>
    <n v="39"/>
    <s v="month"/>
    <x v="184"/>
    <n v="5"/>
  </r>
  <r>
    <n v="169085351"/>
    <x v="97"/>
    <x v="209"/>
    <x v="0"/>
    <n v="39"/>
    <s v="month"/>
    <x v="188"/>
    <n v="6"/>
  </r>
  <r>
    <n v="168456070"/>
    <x v="97"/>
    <x v="248"/>
    <x v="0"/>
    <n v="39"/>
    <s v="month"/>
    <x v="189"/>
    <n v="6"/>
  </r>
  <r>
    <n v="168900021"/>
    <x v="97"/>
    <x v="136"/>
    <x v="0"/>
    <n v="39"/>
    <s v="month"/>
    <x v="26"/>
    <n v="6"/>
  </r>
  <r>
    <n v="169113748"/>
    <x v="97"/>
    <x v="245"/>
    <x v="0"/>
    <n v="39"/>
    <s v="month"/>
    <x v="167"/>
    <n v="6"/>
  </r>
  <r>
    <n v="162193491"/>
    <x v="97"/>
    <x v="139"/>
    <x v="0"/>
    <n v="39"/>
    <s v="month"/>
    <x v="190"/>
    <n v="6"/>
  </r>
  <r>
    <n v="167761722"/>
    <x v="97"/>
    <x v="249"/>
    <x v="0"/>
    <n v="39"/>
    <s v="month"/>
    <x v="17"/>
    <n v="6"/>
  </r>
  <r>
    <n v="169244937"/>
    <x v="98"/>
    <x v="250"/>
    <x v="0"/>
    <n v="39"/>
    <s v="month"/>
    <x v="46"/>
    <n v="7"/>
  </r>
  <r>
    <n v="167923504"/>
    <x v="98"/>
    <x v="35"/>
    <x v="0"/>
    <n v="39"/>
    <s v="month"/>
    <x v="8"/>
    <n v="7"/>
  </r>
  <r>
    <n v="167459469"/>
    <x v="98"/>
    <x v="83"/>
    <x v="0"/>
    <n v="39"/>
    <s v="month"/>
    <x v="167"/>
    <n v="7"/>
  </r>
  <r>
    <n v="123169152"/>
    <x v="98"/>
    <x v="34"/>
    <x v="0"/>
    <n v="39"/>
    <s v="month"/>
    <x v="15"/>
    <n v="7"/>
  </r>
  <r>
    <n v="153157541"/>
    <x v="99"/>
    <x v="0"/>
    <x v="0"/>
    <n v="39"/>
    <s v="month"/>
    <x v="0"/>
    <n v="1"/>
  </r>
  <r>
    <n v="169133180"/>
    <x v="99"/>
    <x v="0"/>
    <x v="0"/>
    <n v="39"/>
    <s v="month"/>
    <x v="0"/>
    <n v="1"/>
  </r>
  <r>
    <n v="129447970"/>
    <x v="99"/>
    <x v="36"/>
    <x v="0"/>
    <n v="39"/>
    <s v="month"/>
    <x v="1"/>
    <n v="1"/>
  </r>
  <r>
    <n v="169388365"/>
    <x v="99"/>
    <x v="180"/>
    <x v="0"/>
    <n v="39"/>
    <s v="month"/>
    <x v="29"/>
    <n v="1"/>
  </r>
  <r>
    <n v="130872019"/>
    <x v="99"/>
    <x v="246"/>
    <x v="0"/>
    <n v="39"/>
    <s v="month"/>
    <x v="147"/>
    <n v="1"/>
  </r>
  <r>
    <n v="167674086"/>
    <x v="99"/>
    <x v="251"/>
    <x v="0"/>
    <n v="39"/>
    <s v="month"/>
    <x v="191"/>
    <n v="1"/>
  </r>
  <r>
    <n v="169590994"/>
    <x v="99"/>
    <x v="179"/>
    <x v="0"/>
    <n v="39"/>
    <s v="month"/>
    <x v="148"/>
    <n v="1"/>
  </r>
  <r>
    <n v="166199181"/>
    <x v="99"/>
    <x v="117"/>
    <x v="0"/>
    <n v="39"/>
    <s v="month"/>
    <x v="87"/>
    <n v="1"/>
  </r>
  <r>
    <n v="169895510"/>
    <x v="100"/>
    <x v="0"/>
    <x v="0"/>
    <n v="39"/>
    <s v="month"/>
    <x v="0"/>
    <n v="2"/>
  </r>
  <r>
    <n v="169837410"/>
    <x v="100"/>
    <x v="0"/>
    <x v="0"/>
    <n v="39"/>
    <s v="month"/>
    <x v="0"/>
    <n v="2"/>
  </r>
  <r>
    <n v="169854397"/>
    <x v="100"/>
    <x v="0"/>
    <x v="1"/>
    <n v="39"/>
    <s v="month"/>
    <x v="0"/>
    <n v="2"/>
  </r>
  <r>
    <n v="145987169"/>
    <x v="100"/>
    <x v="175"/>
    <x v="0"/>
    <n v="39"/>
    <s v="month"/>
    <x v="192"/>
    <n v="2"/>
  </r>
  <r>
    <n v="169915574"/>
    <x v="100"/>
    <x v="32"/>
    <x v="0"/>
    <n v="39"/>
    <s v="month"/>
    <x v="53"/>
    <n v="2"/>
  </r>
  <r>
    <n v="164632485"/>
    <x v="100"/>
    <x v="191"/>
    <x v="0"/>
    <n v="39"/>
    <s v="month"/>
    <x v="93"/>
    <n v="2"/>
  </r>
  <r>
    <n v="169830063"/>
    <x v="100"/>
    <x v="143"/>
    <x v="0"/>
    <n v="39"/>
    <s v="month"/>
    <x v="78"/>
    <n v="2"/>
  </r>
  <r>
    <n v="162624984"/>
    <x v="100"/>
    <x v="115"/>
    <x v="0"/>
    <n v="39"/>
    <s v="month"/>
    <x v="190"/>
    <n v="2"/>
  </r>
  <r>
    <n v="169020452"/>
    <x v="100"/>
    <x v="252"/>
    <x v="0"/>
    <n v="39"/>
    <s v="month"/>
    <x v="162"/>
    <n v="2"/>
  </r>
  <r>
    <n v="170037760"/>
    <x v="101"/>
    <x v="0"/>
    <x v="0"/>
    <n v="39"/>
    <s v="month"/>
    <x v="0"/>
    <n v="3"/>
  </r>
  <r>
    <n v="116060198"/>
    <x v="101"/>
    <x v="253"/>
    <x v="0"/>
    <n v="39"/>
    <s v="month"/>
    <x v="66"/>
    <n v="3"/>
  </r>
  <r>
    <n v="129798657"/>
    <x v="101"/>
    <x v="32"/>
    <x v="0"/>
    <n v="39"/>
    <s v="month"/>
    <x v="97"/>
    <n v="3"/>
  </r>
  <r>
    <n v="170426615"/>
    <x v="101"/>
    <x v="206"/>
    <x v="0"/>
    <n v="39"/>
    <s v="month"/>
    <x v="169"/>
    <n v="3"/>
  </r>
  <r>
    <n v="161574018"/>
    <x v="101"/>
    <x v="56"/>
    <x v="0"/>
    <n v="39"/>
    <s v="month"/>
    <x v="144"/>
    <n v="3"/>
  </r>
  <r>
    <n v="160272364"/>
    <x v="102"/>
    <x v="0"/>
    <x v="0"/>
    <n v="39"/>
    <s v="month"/>
    <x v="0"/>
    <n v="4"/>
  </r>
  <r>
    <n v="144938943"/>
    <x v="102"/>
    <x v="0"/>
    <x v="1"/>
    <n v="39"/>
    <s v="month"/>
    <x v="0"/>
    <n v="4"/>
  </r>
  <r>
    <n v="170004555"/>
    <x v="102"/>
    <x v="254"/>
    <x v="0"/>
    <n v="39"/>
    <s v="month"/>
    <x v="26"/>
    <n v="4"/>
  </r>
  <r>
    <n v="167673987"/>
    <x v="102"/>
    <x v="56"/>
    <x v="0"/>
    <n v="39"/>
    <s v="month"/>
    <x v="88"/>
    <n v="4"/>
  </r>
  <r>
    <n v="154448870"/>
    <x v="102"/>
    <x v="183"/>
    <x v="0"/>
    <n v="39"/>
    <s v="month"/>
    <x v="184"/>
    <n v="4"/>
  </r>
  <r>
    <n v="153508650"/>
    <x v="102"/>
    <x v="192"/>
    <x v="0"/>
    <n v="39"/>
    <s v="month"/>
    <x v="122"/>
    <n v="4"/>
  </r>
  <r>
    <n v="156521981"/>
    <x v="102"/>
    <x v="83"/>
    <x v="0"/>
    <n v="39"/>
    <s v="month"/>
    <x v="28"/>
    <n v="4"/>
  </r>
  <r>
    <n v="170897520"/>
    <x v="102"/>
    <x v="255"/>
    <x v="0"/>
    <n v="39"/>
    <s v="month"/>
    <x v="193"/>
    <n v="4"/>
  </r>
  <r>
    <n v="167076396"/>
    <x v="102"/>
    <x v="236"/>
    <x v="0"/>
    <n v="39"/>
    <s v="month"/>
    <x v="194"/>
    <n v="4"/>
  </r>
  <r>
    <n v="170968987"/>
    <x v="103"/>
    <x v="0"/>
    <x v="0"/>
    <n v="39"/>
    <s v="month"/>
    <x v="0"/>
    <n v="5"/>
  </r>
  <r>
    <n v="170154956"/>
    <x v="103"/>
    <x v="256"/>
    <x v="0"/>
    <n v="39"/>
    <s v="month"/>
    <x v="121"/>
    <n v="5"/>
  </r>
  <r>
    <n v="170976924"/>
    <x v="103"/>
    <x v="159"/>
    <x v="0"/>
    <n v="39"/>
    <s v="month"/>
    <x v="195"/>
    <n v="5"/>
  </r>
  <r>
    <n v="171090027"/>
    <x v="103"/>
    <x v="218"/>
    <x v="0"/>
    <n v="39"/>
    <s v="month"/>
    <x v="75"/>
    <n v="5"/>
  </r>
  <r>
    <n v="167135160"/>
    <x v="103"/>
    <x v="117"/>
    <x v="0"/>
    <n v="39"/>
    <s v="month"/>
    <x v="36"/>
    <n v="5"/>
  </r>
  <r>
    <n v="171339244"/>
    <x v="103"/>
    <x v="164"/>
    <x v="0"/>
    <n v="39"/>
    <s v="month"/>
    <x v="11"/>
    <n v="5"/>
  </r>
  <r>
    <n v="169285280"/>
    <x v="104"/>
    <x v="92"/>
    <x v="1"/>
    <n v="39"/>
    <s v="month"/>
    <x v="1"/>
    <n v="6"/>
  </r>
  <r>
    <n v="137315832"/>
    <x v="104"/>
    <x v="78"/>
    <x v="0"/>
    <n v="39"/>
    <s v="month"/>
    <x v="66"/>
    <n v="6"/>
  </r>
  <r>
    <n v="171286538"/>
    <x v="104"/>
    <x v="257"/>
    <x v="0"/>
    <n v="39"/>
    <s v="month"/>
    <x v="113"/>
    <n v="6"/>
  </r>
  <r>
    <n v="154531106"/>
    <x v="104"/>
    <x v="122"/>
    <x v="0"/>
    <n v="39"/>
    <s v="month"/>
    <x v="68"/>
    <n v="6"/>
  </r>
  <r>
    <n v="169998988"/>
    <x v="104"/>
    <x v="258"/>
    <x v="0"/>
    <n v="39"/>
    <s v="month"/>
    <x v="196"/>
    <n v="6"/>
  </r>
  <r>
    <n v="171860036"/>
    <x v="104"/>
    <x v="259"/>
    <x v="0"/>
    <n v="39"/>
    <s v="month"/>
    <x v="77"/>
    <n v="6"/>
  </r>
  <r>
    <n v="169906376"/>
    <x v="104"/>
    <x v="206"/>
    <x v="0"/>
    <n v="39"/>
    <s v="month"/>
    <x v="26"/>
    <n v="6"/>
  </r>
  <r>
    <n v="171681744"/>
    <x v="104"/>
    <x v="46"/>
    <x v="0"/>
    <n v="39"/>
    <s v="month"/>
    <x v="39"/>
    <n v="6"/>
  </r>
  <r>
    <n v="171375108"/>
    <x v="104"/>
    <x v="104"/>
    <x v="0"/>
    <n v="39"/>
    <s v="month"/>
    <x v="28"/>
    <n v="6"/>
  </r>
  <r>
    <n v="166358674"/>
    <x v="104"/>
    <x v="115"/>
    <x v="0"/>
    <n v="39"/>
    <s v="month"/>
    <x v="87"/>
    <n v="6"/>
  </r>
  <r>
    <n v="168696864"/>
    <x v="105"/>
    <x v="154"/>
    <x v="0"/>
    <n v="39"/>
    <s v="month"/>
    <x v="1"/>
    <n v="7"/>
  </r>
  <r>
    <n v="149303812"/>
    <x v="105"/>
    <x v="230"/>
    <x v="0"/>
    <n v="39"/>
    <s v="month"/>
    <x v="197"/>
    <n v="7"/>
  </r>
  <r>
    <n v="145969392"/>
    <x v="105"/>
    <x v="214"/>
    <x v="0"/>
    <n v="39"/>
    <s v="month"/>
    <x v="192"/>
    <n v="7"/>
  </r>
  <r>
    <n v="169399624"/>
    <x v="105"/>
    <x v="91"/>
    <x v="0"/>
    <n v="39"/>
    <s v="month"/>
    <x v="13"/>
    <n v="7"/>
  </r>
  <r>
    <n v="162423643"/>
    <x v="105"/>
    <x v="92"/>
    <x v="0"/>
    <n v="39"/>
    <s v="month"/>
    <x v="11"/>
    <n v="7"/>
  </r>
  <r>
    <n v="171131528"/>
    <x v="106"/>
    <x v="0"/>
    <x v="0"/>
    <n v="39"/>
    <s v="month"/>
    <x v="0"/>
    <n v="1"/>
  </r>
  <r>
    <n v="172370430"/>
    <x v="106"/>
    <x v="260"/>
    <x v="1"/>
    <n v="39"/>
    <s v="month"/>
    <x v="1"/>
    <n v="1"/>
  </r>
  <r>
    <n v="122646091"/>
    <x v="106"/>
    <x v="233"/>
    <x v="0"/>
    <n v="39"/>
    <s v="month"/>
    <x v="49"/>
    <n v="1"/>
  </r>
  <r>
    <n v="171688728"/>
    <x v="106"/>
    <x v="245"/>
    <x v="0"/>
    <n v="39"/>
    <s v="month"/>
    <x v="20"/>
    <n v="1"/>
  </r>
  <r>
    <n v="173037778"/>
    <x v="106"/>
    <x v="175"/>
    <x v="0"/>
    <n v="39"/>
    <s v="month"/>
    <x v="57"/>
    <n v="1"/>
  </r>
  <r>
    <n v="139247241"/>
    <x v="106"/>
    <x v="261"/>
    <x v="0"/>
    <n v="39"/>
    <s v="month"/>
    <x v="40"/>
    <n v="1"/>
  </r>
  <r>
    <n v="138235674"/>
    <x v="107"/>
    <x v="0"/>
    <x v="0"/>
    <n v="39"/>
    <s v="month"/>
    <x v="0"/>
    <n v="2"/>
  </r>
  <r>
    <n v="173832314"/>
    <x v="107"/>
    <x v="179"/>
    <x v="0"/>
    <n v="39"/>
    <s v="month"/>
    <x v="88"/>
    <n v="2"/>
  </r>
  <r>
    <n v="170752898"/>
    <x v="107"/>
    <x v="184"/>
    <x v="0"/>
    <n v="39"/>
    <s v="month"/>
    <x v="177"/>
    <n v="2"/>
  </r>
  <r>
    <n v="172517999"/>
    <x v="107"/>
    <x v="134"/>
    <x v="0"/>
    <n v="39"/>
    <s v="month"/>
    <x v="87"/>
    <n v="2"/>
  </r>
  <r>
    <n v="150779000"/>
    <x v="107"/>
    <x v="183"/>
    <x v="0"/>
    <n v="39"/>
    <s v="month"/>
    <x v="10"/>
    <n v="2"/>
  </r>
  <r>
    <n v="171304646"/>
    <x v="107"/>
    <x v="262"/>
    <x v="0"/>
    <n v="39"/>
    <s v="month"/>
    <x v="198"/>
    <n v="2"/>
  </r>
  <r>
    <n v="168696864"/>
    <x v="108"/>
    <x v="0"/>
    <x v="0"/>
    <n v="39"/>
    <s v="month"/>
    <x v="0"/>
    <n v="3"/>
  </r>
  <r>
    <n v="174268714"/>
    <x v="108"/>
    <x v="0"/>
    <x v="0"/>
    <n v="39"/>
    <s v="month"/>
    <x v="0"/>
    <n v="3"/>
  </r>
  <r>
    <n v="147022677"/>
    <x v="108"/>
    <x v="0"/>
    <x v="0"/>
    <n v="39"/>
    <s v="month"/>
    <x v="0"/>
    <n v="3"/>
  </r>
  <r>
    <n v="156864062"/>
    <x v="108"/>
    <x v="97"/>
    <x v="1"/>
    <n v="39"/>
    <s v="month"/>
    <x v="1"/>
    <n v="3"/>
  </r>
  <r>
    <n v="123065349"/>
    <x v="108"/>
    <x v="95"/>
    <x v="0"/>
    <n v="39"/>
    <s v="month"/>
    <x v="66"/>
    <n v="3"/>
  </r>
  <r>
    <n v="174258180"/>
    <x v="108"/>
    <x v="263"/>
    <x v="0"/>
    <n v="39"/>
    <s v="month"/>
    <x v="199"/>
    <n v="3"/>
  </r>
  <r>
    <n v="174269667"/>
    <x v="108"/>
    <x v="197"/>
    <x v="0"/>
    <n v="39"/>
    <s v="month"/>
    <x v="200"/>
    <n v="3"/>
  </r>
  <r>
    <n v="171889946"/>
    <x v="108"/>
    <x v="91"/>
    <x v="0"/>
    <n v="39"/>
    <s v="month"/>
    <x v="55"/>
    <n v="3"/>
  </r>
  <r>
    <n v="171613468"/>
    <x v="108"/>
    <x v="46"/>
    <x v="0"/>
    <n v="39"/>
    <s v="month"/>
    <x v="70"/>
    <n v="3"/>
  </r>
  <r>
    <n v="122922737"/>
    <x v="109"/>
    <x v="0"/>
    <x v="0"/>
    <n v="39"/>
    <s v="month"/>
    <x v="0"/>
    <n v="4"/>
  </r>
  <r>
    <n v="174646924"/>
    <x v="109"/>
    <x v="125"/>
    <x v="0"/>
    <n v="39"/>
    <s v="month"/>
    <x v="66"/>
    <n v="4"/>
  </r>
  <r>
    <n v="174264280"/>
    <x v="109"/>
    <x v="125"/>
    <x v="0"/>
    <n v="39"/>
    <s v="month"/>
    <x v="66"/>
    <n v="4"/>
  </r>
  <r>
    <n v="174609120"/>
    <x v="109"/>
    <x v="259"/>
    <x v="0"/>
    <n v="39"/>
    <s v="month"/>
    <x v="168"/>
    <n v="4"/>
  </r>
  <r>
    <n v="174158995"/>
    <x v="109"/>
    <x v="264"/>
    <x v="0"/>
    <n v="39"/>
    <s v="month"/>
    <x v="177"/>
    <n v="4"/>
  </r>
  <r>
    <n v="174484311"/>
    <x v="109"/>
    <x v="264"/>
    <x v="0"/>
    <n v="39"/>
    <s v="month"/>
    <x v="177"/>
    <n v="4"/>
  </r>
  <r>
    <n v="169556175"/>
    <x v="109"/>
    <x v="172"/>
    <x v="0"/>
    <n v="39"/>
    <s v="month"/>
    <x v="50"/>
    <n v="4"/>
  </r>
  <r>
    <n v="153122282"/>
    <x v="109"/>
    <x v="97"/>
    <x v="0"/>
    <n v="39"/>
    <s v="month"/>
    <x v="11"/>
    <n v="4"/>
  </r>
  <r>
    <n v="174576654"/>
    <x v="109"/>
    <x v="160"/>
    <x v="0"/>
    <n v="39"/>
    <s v="month"/>
    <x v="201"/>
    <n v="4"/>
  </r>
  <r>
    <n v="154711077"/>
    <x v="110"/>
    <x v="0"/>
    <x v="0"/>
    <n v="39"/>
    <s v="month"/>
    <x v="0"/>
    <n v="5"/>
  </r>
  <r>
    <n v="163619032"/>
    <x v="110"/>
    <x v="0"/>
    <x v="0"/>
    <n v="39"/>
    <s v="month"/>
    <x v="0"/>
    <n v="5"/>
  </r>
  <r>
    <n v="171001864"/>
    <x v="110"/>
    <x v="0"/>
    <x v="0"/>
    <n v="39"/>
    <s v="month"/>
    <x v="0"/>
    <n v="5"/>
  </r>
  <r>
    <n v="151890014"/>
    <x v="110"/>
    <x v="0"/>
    <x v="0"/>
    <n v="39"/>
    <s v="month"/>
    <x v="0"/>
    <n v="5"/>
  </r>
  <r>
    <n v="158575772"/>
    <x v="110"/>
    <x v="238"/>
    <x v="0"/>
    <n v="39"/>
    <s v="month"/>
    <x v="1"/>
    <n v="5"/>
  </r>
  <r>
    <n v="164462665"/>
    <x v="110"/>
    <x v="238"/>
    <x v="1"/>
    <n v="39"/>
    <s v="month"/>
    <x v="1"/>
    <n v="5"/>
  </r>
  <r>
    <n v="121830768"/>
    <x v="110"/>
    <x v="194"/>
    <x v="0"/>
    <n v="39"/>
    <s v="month"/>
    <x v="156"/>
    <n v="5"/>
  </r>
  <r>
    <n v="174605216"/>
    <x v="110"/>
    <x v="82"/>
    <x v="0"/>
    <n v="39"/>
    <s v="month"/>
    <x v="191"/>
    <n v="5"/>
  </r>
  <r>
    <n v="174655316"/>
    <x v="110"/>
    <x v="142"/>
    <x v="0"/>
    <n v="39"/>
    <s v="month"/>
    <x v="6"/>
    <n v="5"/>
  </r>
  <r>
    <n v="174622570"/>
    <x v="110"/>
    <x v="133"/>
    <x v="0"/>
    <n v="39"/>
    <s v="month"/>
    <x v="79"/>
    <n v="5"/>
  </r>
  <r>
    <n v="174720005"/>
    <x v="110"/>
    <x v="238"/>
    <x v="0"/>
    <n v="39"/>
    <s v="month"/>
    <x v="1"/>
    <n v="5"/>
  </r>
  <r>
    <n v="174696512"/>
    <x v="111"/>
    <x v="0"/>
    <x v="0"/>
    <n v="39"/>
    <s v="month"/>
    <x v="0"/>
    <n v="6"/>
  </r>
  <r>
    <n v="175314293"/>
    <x v="111"/>
    <x v="0"/>
    <x v="0"/>
    <n v="39"/>
    <s v="month"/>
    <x v="0"/>
    <n v="6"/>
  </r>
  <r>
    <n v="175451863"/>
    <x v="111"/>
    <x v="253"/>
    <x v="0"/>
    <n v="39"/>
    <s v="month"/>
    <x v="168"/>
    <n v="6"/>
  </r>
  <r>
    <n v="174752844"/>
    <x v="111"/>
    <x v="143"/>
    <x v="0"/>
    <n v="39"/>
    <s v="month"/>
    <x v="87"/>
    <n v="6"/>
  </r>
  <r>
    <n v="175431141"/>
    <x v="112"/>
    <x v="0"/>
    <x v="0"/>
    <n v="39"/>
    <s v="month"/>
    <x v="0"/>
    <n v="7"/>
  </r>
  <r>
    <n v="132228678"/>
    <x v="112"/>
    <x v="61"/>
    <x v="0"/>
    <n v="39"/>
    <s v="month"/>
    <x v="11"/>
    <n v="7"/>
  </r>
  <r>
    <n v="161151062"/>
    <x v="112"/>
    <x v="185"/>
    <x v="0"/>
    <n v="39"/>
    <s v="month"/>
    <x v="101"/>
    <n v="7"/>
  </r>
  <r>
    <n v="167653319"/>
    <x v="112"/>
    <x v="32"/>
    <x v="0"/>
    <n v="39"/>
    <s v="month"/>
    <x v="132"/>
    <n v="7"/>
  </r>
  <r>
    <n v="171659515"/>
    <x v="112"/>
    <x v="115"/>
    <x v="0"/>
    <n v="39"/>
    <s v="month"/>
    <x v="35"/>
    <n v="7"/>
  </r>
  <r>
    <n v="175720159"/>
    <x v="112"/>
    <x v="226"/>
    <x v="0"/>
    <n v="39"/>
    <s v="month"/>
    <x v="178"/>
    <n v="7"/>
  </r>
  <r>
    <n v="170593141"/>
    <x v="112"/>
    <x v="193"/>
    <x v="0"/>
    <n v="39"/>
    <s v="month"/>
    <x v="134"/>
    <n v="7"/>
  </r>
  <r>
    <n v="173981170"/>
    <x v="112"/>
    <x v="169"/>
    <x v="0"/>
    <n v="39"/>
    <s v="month"/>
    <x v="1"/>
    <n v="7"/>
  </r>
  <r>
    <n v="175166391"/>
    <x v="113"/>
    <x v="0"/>
    <x v="0"/>
    <n v="39"/>
    <s v="month"/>
    <x v="0"/>
    <n v="1"/>
  </r>
  <r>
    <n v="161175048"/>
    <x v="113"/>
    <x v="46"/>
    <x v="0"/>
    <n v="39"/>
    <s v="month"/>
    <x v="26"/>
    <n v="1"/>
  </r>
  <r>
    <n v="164254865"/>
    <x v="113"/>
    <x v="194"/>
    <x v="0"/>
    <n v="39"/>
    <s v="month"/>
    <x v="35"/>
    <n v="1"/>
  </r>
  <r>
    <n v="143248615"/>
    <x v="114"/>
    <x v="0"/>
    <x v="0"/>
    <n v="39"/>
    <s v="month"/>
    <x v="0"/>
    <n v="2"/>
  </r>
  <r>
    <n v="176032070"/>
    <x v="114"/>
    <x v="83"/>
    <x v="0"/>
    <n v="39"/>
    <s v="month"/>
    <x v="184"/>
    <n v="2"/>
  </r>
  <r>
    <n v="174132333"/>
    <x v="115"/>
    <x v="0"/>
    <x v="0"/>
    <n v="39"/>
    <s v="month"/>
    <x v="0"/>
    <n v="3"/>
  </r>
  <r>
    <n v="177051147"/>
    <x v="115"/>
    <x v="118"/>
    <x v="0"/>
    <n v="39"/>
    <s v="month"/>
    <x v="1"/>
    <n v="3"/>
  </r>
  <r>
    <n v="176571319"/>
    <x v="115"/>
    <x v="16"/>
    <x v="0"/>
    <n v="39"/>
    <s v="month"/>
    <x v="137"/>
    <n v="3"/>
  </r>
  <r>
    <n v="166932902"/>
    <x v="115"/>
    <x v="70"/>
    <x v="0"/>
    <n v="39"/>
    <s v="month"/>
    <x v="88"/>
    <n v="3"/>
  </r>
  <r>
    <n v="175851244"/>
    <x v="115"/>
    <x v="247"/>
    <x v="0"/>
    <n v="39"/>
    <s v="month"/>
    <x v="87"/>
    <n v="3"/>
  </r>
  <r>
    <n v="155613371"/>
    <x v="115"/>
    <x v="247"/>
    <x v="0"/>
    <n v="39"/>
    <s v="month"/>
    <x v="87"/>
    <n v="3"/>
  </r>
  <r>
    <n v="167678290"/>
    <x v="115"/>
    <x v="175"/>
    <x v="0"/>
    <n v="39"/>
    <s v="month"/>
    <x v="28"/>
    <n v="3"/>
  </r>
  <r>
    <n v="176995917"/>
    <x v="115"/>
    <x v="3"/>
    <x v="0"/>
    <n v="39"/>
    <s v="month"/>
    <x v="202"/>
    <n v="3"/>
  </r>
  <r>
    <n v="161187523"/>
    <x v="115"/>
    <x v="265"/>
    <x v="0"/>
    <n v="39"/>
    <s v="month"/>
    <x v="203"/>
    <n v="3"/>
  </r>
  <r>
    <n v="175884318"/>
    <x v="116"/>
    <x v="83"/>
    <x v="0"/>
    <n v="39"/>
    <s v="month"/>
    <x v="118"/>
    <n v="4"/>
  </r>
  <r>
    <n v="173911972"/>
    <x v="116"/>
    <x v="266"/>
    <x v="0"/>
    <n v="39"/>
    <s v="month"/>
    <x v="165"/>
    <n v="4"/>
  </r>
  <r>
    <n v="177696301"/>
    <x v="116"/>
    <x v="267"/>
    <x v="0"/>
    <n v="39"/>
    <s v="month"/>
    <x v="204"/>
    <n v="4"/>
  </r>
  <r>
    <n v="165744582"/>
    <x v="116"/>
    <x v="153"/>
    <x v="0"/>
    <n v="39"/>
    <s v="month"/>
    <x v="192"/>
    <n v="4"/>
  </r>
  <r>
    <n v="177323966"/>
    <x v="116"/>
    <x v="118"/>
    <x v="0"/>
    <n v="39"/>
    <s v="month"/>
    <x v="11"/>
    <n v="4"/>
  </r>
  <r>
    <n v="178355844"/>
    <x v="117"/>
    <x v="0"/>
    <x v="0"/>
    <n v="39"/>
    <s v="month"/>
    <x v="0"/>
    <n v="5"/>
  </r>
  <r>
    <n v="176989743"/>
    <x v="117"/>
    <x v="0"/>
    <x v="0"/>
    <n v="39"/>
    <s v="month"/>
    <x v="0"/>
    <n v="5"/>
  </r>
  <r>
    <n v="177971827"/>
    <x v="117"/>
    <x v="0"/>
    <x v="0"/>
    <n v="39"/>
    <s v="month"/>
    <x v="0"/>
    <n v="5"/>
  </r>
  <r>
    <n v="131147038"/>
    <x v="117"/>
    <x v="206"/>
    <x v="0"/>
    <n v="39"/>
    <s v="month"/>
    <x v="192"/>
    <n v="5"/>
  </r>
  <r>
    <n v="152142457"/>
    <x v="117"/>
    <x v="153"/>
    <x v="0"/>
    <n v="39"/>
    <s v="month"/>
    <x v="19"/>
    <n v="5"/>
  </r>
  <r>
    <n v="174293226"/>
    <x v="117"/>
    <x v="268"/>
    <x v="0"/>
    <n v="39"/>
    <s v="month"/>
    <x v="205"/>
    <n v="5"/>
  </r>
  <r>
    <n v="177051147"/>
    <x v="117"/>
    <x v="95"/>
    <x v="0"/>
    <n v="39"/>
    <s v="month"/>
    <x v="138"/>
    <n v="5"/>
  </r>
  <r>
    <n v="177963240"/>
    <x v="117"/>
    <x v="175"/>
    <x v="0"/>
    <n v="39"/>
    <s v="month"/>
    <x v="72"/>
    <n v="5"/>
  </r>
  <r>
    <n v="176639972"/>
    <x v="117"/>
    <x v="269"/>
    <x v="0"/>
    <n v="39"/>
    <s v="month"/>
    <x v="35"/>
    <n v="5"/>
  </r>
  <r>
    <n v="175818000"/>
    <x v="118"/>
    <x v="270"/>
    <x v="0"/>
    <n v="39"/>
    <s v="month"/>
    <x v="206"/>
    <n v="6"/>
  </r>
  <r>
    <n v="117856836"/>
    <x v="118"/>
    <x v="170"/>
    <x v="0"/>
    <n v="39"/>
    <s v="month"/>
    <x v="36"/>
    <n v="6"/>
  </r>
  <r>
    <n v="177266058"/>
    <x v="118"/>
    <x v="128"/>
    <x v="0"/>
    <n v="39"/>
    <s v="month"/>
    <x v="66"/>
    <n v="6"/>
  </r>
  <r>
    <n v="174203866"/>
    <x v="118"/>
    <x v="271"/>
    <x v="0"/>
    <n v="39"/>
    <s v="month"/>
    <x v="8"/>
    <n v="6"/>
  </r>
  <r>
    <n v="174991614"/>
    <x v="118"/>
    <x v="143"/>
    <x v="0"/>
    <n v="39"/>
    <s v="month"/>
    <x v="28"/>
    <n v="6"/>
  </r>
  <r>
    <n v="175354348"/>
    <x v="118"/>
    <x v="105"/>
    <x v="0"/>
    <n v="39"/>
    <s v="month"/>
    <x v="2"/>
    <n v="6"/>
  </r>
  <r>
    <n v="176573512"/>
    <x v="118"/>
    <x v="244"/>
    <x v="0"/>
    <n v="39"/>
    <s v="month"/>
    <x v="207"/>
    <n v="6"/>
  </r>
  <r>
    <n v="178379352"/>
    <x v="119"/>
    <x v="183"/>
    <x v="0"/>
    <n v="39"/>
    <s v="month"/>
    <x v="208"/>
    <n v="7"/>
  </r>
  <r>
    <n v="152980676"/>
    <x v="119"/>
    <x v="105"/>
    <x v="0"/>
    <n v="39"/>
    <s v="month"/>
    <x v="86"/>
    <n v="7"/>
  </r>
  <r>
    <n v="179551652"/>
    <x v="119"/>
    <x v="235"/>
    <x v="0"/>
    <n v="39"/>
    <s v="month"/>
    <x v="145"/>
    <n v="7"/>
  </r>
  <r>
    <n v="175899028"/>
    <x v="119"/>
    <x v="272"/>
    <x v="0"/>
    <n v="39"/>
    <s v="month"/>
    <x v="6"/>
    <n v="7"/>
  </r>
  <r>
    <n v="148427368"/>
    <x v="119"/>
    <x v="201"/>
    <x v="0"/>
    <n v="39"/>
    <s v="month"/>
    <x v="87"/>
    <n v="7"/>
  </r>
  <r>
    <n v="149335749"/>
    <x v="119"/>
    <x v="143"/>
    <x v="0"/>
    <n v="39"/>
    <s v="month"/>
    <x v="35"/>
    <n v="7"/>
  </r>
  <r>
    <n v="179395204"/>
    <x v="119"/>
    <x v="104"/>
    <x v="0"/>
    <n v="39"/>
    <s v="month"/>
    <x v="178"/>
    <n v="7"/>
  </r>
  <r>
    <n v="150870576"/>
    <x v="120"/>
    <x v="273"/>
    <x v="0"/>
    <n v="39"/>
    <s v="month"/>
    <x v="105"/>
    <n v="1"/>
  </r>
  <r>
    <n v="176200716"/>
    <x v="120"/>
    <x v="266"/>
    <x v="0"/>
    <n v="39"/>
    <s v="month"/>
    <x v="91"/>
    <n v="1"/>
  </r>
  <r>
    <n v="178097351"/>
    <x v="120"/>
    <x v="35"/>
    <x v="0"/>
    <n v="39"/>
    <s v="month"/>
    <x v="87"/>
    <n v="1"/>
  </r>
  <r>
    <n v="177238262"/>
    <x v="121"/>
    <x v="0"/>
    <x v="0"/>
    <n v="39"/>
    <s v="month"/>
    <x v="0"/>
    <n v="2"/>
  </r>
  <r>
    <n v="173131478"/>
    <x v="121"/>
    <x v="0"/>
    <x v="0"/>
    <n v="39"/>
    <s v="month"/>
    <x v="0"/>
    <n v="2"/>
  </r>
  <r>
    <n v="180123121"/>
    <x v="121"/>
    <x v="183"/>
    <x v="1"/>
    <n v="39"/>
    <s v="month"/>
    <x v="11"/>
    <n v="2"/>
  </r>
  <r>
    <n v="139136640"/>
    <x v="121"/>
    <x v="162"/>
    <x v="0"/>
    <n v="39"/>
    <s v="month"/>
    <x v="177"/>
    <n v="2"/>
  </r>
  <r>
    <n v="172951272"/>
    <x v="121"/>
    <x v="274"/>
    <x v="0"/>
    <n v="39"/>
    <s v="month"/>
    <x v="121"/>
    <n v="2"/>
  </r>
  <r>
    <n v="175473611"/>
    <x v="121"/>
    <x v="275"/>
    <x v="0"/>
    <n v="39"/>
    <s v="month"/>
    <x v="65"/>
    <n v="2"/>
  </r>
  <r>
    <n v="170776130"/>
    <x v="121"/>
    <x v="256"/>
    <x v="0"/>
    <n v="39"/>
    <s v="month"/>
    <x v="209"/>
    <n v="2"/>
  </r>
  <r>
    <n v="180558466"/>
    <x v="121"/>
    <x v="272"/>
    <x v="0"/>
    <n v="39"/>
    <s v="month"/>
    <x v="18"/>
    <n v="2"/>
  </r>
  <r>
    <n v="171398636"/>
    <x v="121"/>
    <x v="276"/>
    <x v="0"/>
    <n v="39"/>
    <s v="month"/>
    <x v="210"/>
    <n v="2"/>
  </r>
  <r>
    <n v="180424776"/>
    <x v="121"/>
    <x v="277"/>
    <x v="0"/>
    <n v="39"/>
    <s v="month"/>
    <x v="83"/>
    <n v="2"/>
  </r>
  <r>
    <n v="180198528"/>
    <x v="121"/>
    <x v="219"/>
    <x v="0"/>
    <n v="39"/>
    <s v="month"/>
    <x v="87"/>
    <n v="2"/>
  </r>
  <r>
    <n v="124634385"/>
    <x v="122"/>
    <x v="0"/>
    <x v="0"/>
    <n v="39"/>
    <s v="month"/>
    <x v="0"/>
    <n v="3"/>
  </r>
  <r>
    <n v="180740092"/>
    <x v="122"/>
    <x v="0"/>
    <x v="0"/>
    <n v="39"/>
    <s v="month"/>
    <x v="0"/>
    <n v="3"/>
  </r>
  <r>
    <n v="144385898"/>
    <x v="122"/>
    <x v="244"/>
    <x v="0"/>
    <n v="39"/>
    <s v="month"/>
    <x v="211"/>
    <n v="3"/>
  </r>
  <r>
    <n v="175138132"/>
    <x v="122"/>
    <x v="275"/>
    <x v="0"/>
    <n v="39"/>
    <s v="month"/>
    <x v="212"/>
    <n v="3"/>
  </r>
  <r>
    <n v="180968287"/>
    <x v="122"/>
    <x v="95"/>
    <x v="0"/>
    <n v="39"/>
    <s v="month"/>
    <x v="6"/>
    <n v="3"/>
  </r>
  <r>
    <n v="180959934"/>
    <x v="122"/>
    <x v="278"/>
    <x v="0"/>
    <n v="39"/>
    <s v="month"/>
    <x v="70"/>
    <n v="3"/>
  </r>
  <r>
    <n v="176445635"/>
    <x v="122"/>
    <x v="198"/>
    <x v="0"/>
    <n v="39"/>
    <s v="month"/>
    <x v="192"/>
    <n v="3"/>
  </r>
  <r>
    <n v="180798046"/>
    <x v="122"/>
    <x v="192"/>
    <x v="0"/>
    <n v="39"/>
    <s v="month"/>
    <x v="44"/>
    <n v="3"/>
  </r>
  <r>
    <n v="180718702"/>
    <x v="122"/>
    <x v="84"/>
    <x v="0"/>
    <n v="39"/>
    <s v="month"/>
    <x v="2"/>
    <n v="3"/>
  </r>
  <r>
    <n v="181052392"/>
    <x v="122"/>
    <x v="225"/>
    <x v="0"/>
    <n v="39"/>
    <s v="month"/>
    <x v="99"/>
    <n v="3"/>
  </r>
  <r>
    <n v="181717508"/>
    <x v="123"/>
    <x v="0"/>
    <x v="0"/>
    <n v="39"/>
    <s v="month"/>
    <x v="0"/>
    <n v="4"/>
  </r>
  <r>
    <n v="163103592"/>
    <x v="123"/>
    <x v="79"/>
    <x v="1"/>
    <n v="39"/>
    <s v="month"/>
    <x v="1"/>
    <n v="4"/>
  </r>
  <r>
    <n v="146860806"/>
    <x v="123"/>
    <x v="250"/>
    <x v="0"/>
    <n v="39"/>
    <s v="month"/>
    <x v="26"/>
    <n v="4"/>
  </r>
  <r>
    <n v="160532210"/>
    <x v="123"/>
    <x v="153"/>
    <x v="0"/>
    <n v="39"/>
    <s v="month"/>
    <x v="179"/>
    <n v="4"/>
  </r>
  <r>
    <n v="181003342"/>
    <x v="123"/>
    <x v="271"/>
    <x v="0"/>
    <n v="39"/>
    <s v="month"/>
    <x v="13"/>
    <n v="4"/>
  </r>
  <r>
    <n v="178661698"/>
    <x v="123"/>
    <x v="279"/>
    <x v="0"/>
    <n v="39"/>
    <s v="month"/>
    <x v="30"/>
    <n v="4"/>
  </r>
  <r>
    <n v="178928897"/>
    <x v="124"/>
    <x v="0"/>
    <x v="0"/>
    <n v="39"/>
    <s v="month"/>
    <x v="0"/>
    <n v="5"/>
  </r>
  <r>
    <n v="181840814"/>
    <x v="124"/>
    <x v="0"/>
    <x v="0"/>
    <n v="39"/>
    <s v="month"/>
    <x v="0"/>
    <n v="5"/>
  </r>
  <r>
    <n v="166930287"/>
    <x v="124"/>
    <x v="129"/>
    <x v="1"/>
    <n v="39"/>
    <s v="month"/>
    <x v="1"/>
    <n v="5"/>
  </r>
  <r>
    <n v="155956314"/>
    <x v="124"/>
    <x v="79"/>
    <x v="1"/>
    <n v="39"/>
    <s v="month"/>
    <x v="11"/>
    <n v="5"/>
  </r>
  <r>
    <n v="182408564"/>
    <x v="124"/>
    <x v="243"/>
    <x v="0"/>
    <n v="39"/>
    <s v="month"/>
    <x v="68"/>
    <n v="5"/>
  </r>
  <r>
    <n v="182295766"/>
    <x v="124"/>
    <x v="33"/>
    <x v="0"/>
    <n v="39"/>
    <s v="month"/>
    <x v="177"/>
    <n v="5"/>
  </r>
  <r>
    <n v="155881023"/>
    <x v="124"/>
    <x v="161"/>
    <x v="0"/>
    <n v="39"/>
    <s v="month"/>
    <x v="109"/>
    <n v="5"/>
  </r>
  <r>
    <n v="152750569"/>
    <x v="124"/>
    <x v="153"/>
    <x v="0"/>
    <n v="39"/>
    <s v="month"/>
    <x v="87"/>
    <n v="5"/>
  </r>
  <r>
    <n v="178345451"/>
    <x v="124"/>
    <x v="153"/>
    <x v="0"/>
    <n v="39"/>
    <s v="month"/>
    <x v="87"/>
    <n v="5"/>
  </r>
  <r>
    <n v="179758181"/>
    <x v="125"/>
    <x v="0"/>
    <x v="0"/>
    <n v="39"/>
    <s v="month"/>
    <x v="0"/>
    <n v="6"/>
  </r>
  <r>
    <n v="167266048"/>
    <x v="125"/>
    <x v="0"/>
    <x v="0"/>
    <n v="39"/>
    <s v="month"/>
    <x v="0"/>
    <n v="6"/>
  </r>
  <r>
    <n v="182719870"/>
    <x v="125"/>
    <x v="243"/>
    <x v="0"/>
    <n v="39"/>
    <s v="month"/>
    <x v="113"/>
    <n v="6"/>
  </r>
  <r>
    <n v="182408430"/>
    <x v="125"/>
    <x v="15"/>
    <x v="0"/>
    <n v="39"/>
    <s v="month"/>
    <x v="121"/>
    <n v="6"/>
  </r>
  <r>
    <n v="181072524"/>
    <x v="125"/>
    <x v="187"/>
    <x v="0"/>
    <n v="39"/>
    <s v="month"/>
    <x v="213"/>
    <n v="6"/>
  </r>
  <r>
    <n v="182747824"/>
    <x v="125"/>
    <x v="257"/>
    <x v="0"/>
    <n v="39"/>
    <s v="month"/>
    <x v="66"/>
    <n v="6"/>
  </r>
  <r>
    <n v="182700534"/>
    <x v="125"/>
    <x v="208"/>
    <x v="0"/>
    <n v="39"/>
    <s v="month"/>
    <x v="132"/>
    <n v="6"/>
  </r>
  <r>
    <n v="182727349"/>
    <x v="125"/>
    <x v="136"/>
    <x v="0"/>
    <n v="39"/>
    <s v="month"/>
    <x v="28"/>
    <n v="6"/>
  </r>
  <r>
    <n v="182636324"/>
    <x v="125"/>
    <x v="247"/>
    <x v="0"/>
    <n v="39"/>
    <s v="month"/>
    <x v="44"/>
    <n v="6"/>
  </r>
  <r>
    <n v="170485769"/>
    <x v="125"/>
    <x v="129"/>
    <x v="0"/>
    <n v="39"/>
    <s v="month"/>
    <x v="11"/>
    <n v="6"/>
  </r>
  <r>
    <n v="182627508"/>
    <x v="125"/>
    <x v="129"/>
    <x v="0"/>
    <n v="39"/>
    <s v="month"/>
    <x v="11"/>
    <n v="6"/>
  </r>
  <r>
    <n v="182834016"/>
    <x v="126"/>
    <x v="69"/>
    <x v="0"/>
    <n v="39"/>
    <s v="month"/>
    <x v="119"/>
    <n v="7"/>
  </r>
  <r>
    <n v="163535855"/>
    <x v="126"/>
    <x v="173"/>
    <x v="0"/>
    <n v="39"/>
    <s v="month"/>
    <x v="105"/>
    <n v="7"/>
  </r>
  <r>
    <n v="183002853"/>
    <x v="126"/>
    <x v="239"/>
    <x v="0"/>
    <n v="39"/>
    <s v="month"/>
    <x v="53"/>
    <n v="7"/>
  </r>
  <r>
    <n v="148338824"/>
    <x v="126"/>
    <x v="201"/>
    <x v="0"/>
    <n v="39"/>
    <s v="month"/>
    <x v="28"/>
    <n v="7"/>
  </r>
  <r>
    <n v="181712692"/>
    <x v="126"/>
    <x v="261"/>
    <x v="0"/>
    <n v="39"/>
    <s v="month"/>
    <x v="11"/>
    <n v="7"/>
  </r>
  <r>
    <n v="181770777"/>
    <x v="127"/>
    <x v="0"/>
    <x v="0"/>
    <n v="39"/>
    <s v="month"/>
    <x v="0"/>
    <n v="1"/>
  </r>
  <r>
    <n v="161269602"/>
    <x v="127"/>
    <x v="193"/>
    <x v="0"/>
    <n v="39"/>
    <s v="month"/>
    <x v="11"/>
    <n v="1"/>
  </r>
  <r>
    <n v="145799416"/>
    <x v="127"/>
    <x v="91"/>
    <x v="0"/>
    <n v="39"/>
    <s v="month"/>
    <x v="156"/>
    <n v="1"/>
  </r>
  <r>
    <n v="182753953"/>
    <x v="127"/>
    <x v="145"/>
    <x v="0"/>
    <n v="39"/>
    <s v="month"/>
    <x v="93"/>
    <n v="1"/>
  </r>
  <r>
    <n v="162944728"/>
    <x v="127"/>
    <x v="50"/>
    <x v="0"/>
    <n v="39"/>
    <s v="month"/>
    <x v="55"/>
    <n v="1"/>
  </r>
  <r>
    <n v="161249852"/>
    <x v="127"/>
    <x v="25"/>
    <x v="0"/>
    <n v="39"/>
    <s v="month"/>
    <x v="42"/>
    <n v="1"/>
  </r>
  <r>
    <n v="183916833"/>
    <x v="128"/>
    <x v="0"/>
    <x v="0"/>
    <n v="39"/>
    <s v="month"/>
    <x v="0"/>
    <n v="2"/>
  </r>
  <r>
    <n v="169141612"/>
    <x v="128"/>
    <x v="138"/>
    <x v="1"/>
    <n v="39"/>
    <s v="month"/>
    <x v="1"/>
    <n v="2"/>
  </r>
  <r>
    <n v="128768010"/>
    <x v="128"/>
    <x v="224"/>
    <x v="0"/>
    <n v="39"/>
    <s v="month"/>
    <x v="175"/>
    <n v="2"/>
  </r>
  <r>
    <n v="138520918"/>
    <x v="128"/>
    <x v="226"/>
    <x v="0"/>
    <n v="39"/>
    <s v="month"/>
    <x v="11"/>
    <n v="2"/>
  </r>
  <r>
    <n v="162946328"/>
    <x v="128"/>
    <x v="4"/>
    <x v="0"/>
    <n v="39"/>
    <s v="month"/>
    <x v="68"/>
    <n v="2"/>
  </r>
  <r>
    <n v="182929556"/>
    <x v="128"/>
    <x v="17"/>
    <x v="0"/>
    <n v="39"/>
    <s v="month"/>
    <x v="53"/>
    <n v="2"/>
  </r>
  <r>
    <n v="153704184"/>
    <x v="128"/>
    <x v="239"/>
    <x v="0"/>
    <n v="39"/>
    <s v="month"/>
    <x v="75"/>
    <n v="2"/>
  </r>
  <r>
    <n v="136326172"/>
    <x v="128"/>
    <x v="278"/>
    <x v="0"/>
    <n v="39"/>
    <s v="month"/>
    <x v="27"/>
    <n v="2"/>
  </r>
  <r>
    <n v="182505210"/>
    <x v="128"/>
    <x v="35"/>
    <x v="0"/>
    <n v="39"/>
    <s v="month"/>
    <x v="35"/>
    <n v="2"/>
  </r>
  <r>
    <n v="184370857"/>
    <x v="129"/>
    <x v="0"/>
    <x v="0"/>
    <n v="39"/>
    <s v="month"/>
    <x v="0"/>
    <n v="3"/>
  </r>
  <r>
    <n v="184310344"/>
    <x v="129"/>
    <x v="246"/>
    <x v="0"/>
    <n v="39"/>
    <s v="month"/>
    <x v="53"/>
    <n v="3"/>
  </r>
  <r>
    <n v="183346055"/>
    <x v="129"/>
    <x v="137"/>
    <x v="0"/>
    <n v="39"/>
    <s v="month"/>
    <x v="177"/>
    <n v="3"/>
  </r>
  <r>
    <n v="178952278"/>
    <x v="129"/>
    <x v="227"/>
    <x v="0"/>
    <n v="39"/>
    <s v="month"/>
    <x v="8"/>
    <n v="3"/>
  </r>
  <r>
    <n v="184345202"/>
    <x v="129"/>
    <x v="184"/>
    <x v="0"/>
    <n v="39"/>
    <s v="month"/>
    <x v="34"/>
    <n v="3"/>
  </r>
  <r>
    <n v="182837162"/>
    <x v="129"/>
    <x v="221"/>
    <x v="0"/>
    <n v="39"/>
    <s v="month"/>
    <x v="20"/>
    <n v="3"/>
  </r>
  <r>
    <n v="182927038"/>
    <x v="129"/>
    <x v="198"/>
    <x v="0"/>
    <n v="39"/>
    <s v="month"/>
    <x v="179"/>
    <n v="3"/>
  </r>
  <r>
    <n v="181739784"/>
    <x v="129"/>
    <x v="35"/>
    <x v="0"/>
    <n v="39"/>
    <s v="month"/>
    <x v="72"/>
    <n v="3"/>
  </r>
  <r>
    <n v="178605410"/>
    <x v="129"/>
    <x v="280"/>
    <x v="0"/>
    <n v="39"/>
    <s v="month"/>
    <x v="87"/>
    <n v="3"/>
  </r>
  <r>
    <n v="184334484"/>
    <x v="130"/>
    <x v="0"/>
    <x v="0"/>
    <n v="39"/>
    <s v="month"/>
    <x v="0"/>
    <n v="4"/>
  </r>
  <r>
    <n v="181576265"/>
    <x v="130"/>
    <x v="0"/>
    <x v="0"/>
    <n v="39"/>
    <s v="month"/>
    <x v="0"/>
    <n v="4"/>
  </r>
  <r>
    <n v="183645116"/>
    <x v="130"/>
    <x v="0"/>
    <x v="0"/>
    <n v="39"/>
    <s v="month"/>
    <x v="0"/>
    <n v="4"/>
  </r>
  <r>
    <n v="184812094"/>
    <x v="130"/>
    <x v="114"/>
    <x v="0"/>
    <n v="39"/>
    <s v="month"/>
    <x v="5"/>
    <n v="4"/>
  </r>
  <r>
    <n v="152089648"/>
    <x v="130"/>
    <x v="259"/>
    <x v="0"/>
    <n v="39"/>
    <s v="month"/>
    <x v="177"/>
    <n v="4"/>
  </r>
  <r>
    <n v="148710968"/>
    <x v="130"/>
    <x v="201"/>
    <x v="0"/>
    <n v="39"/>
    <s v="month"/>
    <x v="62"/>
    <n v="4"/>
  </r>
  <r>
    <n v="183197132"/>
    <x v="131"/>
    <x v="0"/>
    <x v="0"/>
    <n v="39"/>
    <s v="month"/>
    <x v="0"/>
    <n v="5"/>
  </r>
  <r>
    <n v="156239744"/>
    <x v="131"/>
    <x v="0"/>
    <x v="0"/>
    <n v="39"/>
    <s v="month"/>
    <x v="0"/>
    <n v="5"/>
  </r>
  <r>
    <n v="184481262"/>
    <x v="131"/>
    <x v="0"/>
    <x v="0"/>
    <n v="39"/>
    <s v="month"/>
    <x v="0"/>
    <n v="5"/>
  </r>
  <r>
    <n v="153186137"/>
    <x v="131"/>
    <x v="245"/>
    <x v="0"/>
    <n v="39"/>
    <s v="month"/>
    <x v="1"/>
    <n v="5"/>
  </r>
  <r>
    <n v="185374268"/>
    <x v="131"/>
    <x v="245"/>
    <x v="1"/>
    <n v="39"/>
    <s v="month"/>
    <x v="1"/>
    <n v="5"/>
  </r>
  <r>
    <n v="185367349"/>
    <x v="131"/>
    <x v="245"/>
    <x v="1"/>
    <n v="39"/>
    <s v="month"/>
    <x v="1"/>
    <n v="5"/>
  </r>
  <r>
    <n v="150793080"/>
    <x v="131"/>
    <x v="50"/>
    <x v="0"/>
    <n v="39"/>
    <s v="month"/>
    <x v="122"/>
    <n v="5"/>
  </r>
  <r>
    <n v="183406772"/>
    <x v="131"/>
    <x v="281"/>
    <x v="0"/>
    <n v="39"/>
    <s v="month"/>
    <x v="55"/>
    <n v="5"/>
  </r>
  <r>
    <n v="175760281"/>
    <x v="131"/>
    <x v="153"/>
    <x v="0"/>
    <n v="39"/>
    <s v="month"/>
    <x v="28"/>
    <n v="5"/>
  </r>
  <r>
    <n v="162095012"/>
    <x v="131"/>
    <x v="84"/>
    <x v="0"/>
    <n v="39"/>
    <s v="month"/>
    <x v="214"/>
    <n v="5"/>
  </r>
  <r>
    <n v="179356036"/>
    <x v="131"/>
    <x v="224"/>
    <x v="0"/>
    <n v="39"/>
    <s v="month"/>
    <x v="11"/>
    <n v="5"/>
  </r>
  <r>
    <n v="184567432"/>
    <x v="131"/>
    <x v="115"/>
    <x v="0"/>
    <n v="39"/>
    <s v="month"/>
    <x v="125"/>
    <n v="5"/>
  </r>
  <r>
    <n v="185503171"/>
    <x v="131"/>
    <x v="209"/>
    <x v="0"/>
    <n v="39"/>
    <s v="month"/>
    <x v="123"/>
    <n v="5"/>
  </r>
  <r>
    <n v="171922477"/>
    <x v="131"/>
    <x v="99"/>
    <x v="0"/>
    <n v="39"/>
    <s v="month"/>
    <x v="180"/>
    <n v="5"/>
  </r>
  <r>
    <n v="144830936"/>
    <x v="131"/>
    <x v="282"/>
    <x v="0"/>
    <n v="39"/>
    <s v="month"/>
    <x v="120"/>
    <n v="5"/>
  </r>
  <r>
    <n v="157474087"/>
    <x v="132"/>
    <x v="0"/>
    <x v="0"/>
    <n v="39"/>
    <s v="month"/>
    <x v="0"/>
    <n v="6"/>
  </r>
  <r>
    <n v="182350116"/>
    <x v="132"/>
    <x v="0"/>
    <x v="0"/>
    <n v="39"/>
    <s v="month"/>
    <x v="0"/>
    <n v="6"/>
  </r>
  <r>
    <n v="132867770"/>
    <x v="132"/>
    <x v="83"/>
    <x v="0"/>
    <n v="39"/>
    <s v="month"/>
    <x v="1"/>
    <n v="6"/>
  </r>
  <r>
    <n v="185561880"/>
    <x v="132"/>
    <x v="83"/>
    <x v="1"/>
    <n v="39"/>
    <s v="month"/>
    <x v="1"/>
    <n v="6"/>
  </r>
  <r>
    <n v="168884196"/>
    <x v="132"/>
    <x v="128"/>
    <x v="0"/>
    <n v="39"/>
    <s v="month"/>
    <x v="6"/>
    <n v="6"/>
  </r>
  <r>
    <n v="161269602"/>
    <x v="132"/>
    <x v="230"/>
    <x v="0"/>
    <n v="39"/>
    <s v="month"/>
    <x v="87"/>
    <n v="6"/>
  </r>
  <r>
    <n v="185729058"/>
    <x v="133"/>
    <x v="274"/>
    <x v="0"/>
    <n v="39"/>
    <s v="month"/>
    <x v="158"/>
    <n v="7"/>
  </r>
  <r>
    <n v="182527446"/>
    <x v="133"/>
    <x v="243"/>
    <x v="0"/>
    <n v="39"/>
    <s v="month"/>
    <x v="212"/>
    <n v="7"/>
  </r>
  <r>
    <n v="151217806"/>
    <x v="133"/>
    <x v="281"/>
    <x v="0"/>
    <n v="39"/>
    <s v="month"/>
    <x v="43"/>
    <n v="7"/>
  </r>
  <r>
    <n v="181789030"/>
    <x v="133"/>
    <x v="221"/>
    <x v="0"/>
    <n v="39"/>
    <s v="month"/>
    <x v="2"/>
    <n v="7"/>
  </r>
  <r>
    <n v="167939138"/>
    <x v="133"/>
    <x v="279"/>
    <x v="0"/>
    <n v="39"/>
    <s v="month"/>
    <x v="92"/>
    <n v="7"/>
  </r>
  <r>
    <n v="168531226"/>
    <x v="133"/>
    <x v="283"/>
    <x v="0"/>
    <n v="39"/>
    <s v="month"/>
    <x v="215"/>
    <n v="7"/>
  </r>
  <r>
    <n v="183965840"/>
    <x v="134"/>
    <x v="0"/>
    <x v="0"/>
    <n v="39"/>
    <s v="month"/>
    <x v="0"/>
    <n v="1"/>
  </r>
  <r>
    <n v="185522938"/>
    <x v="134"/>
    <x v="284"/>
    <x v="0"/>
    <n v="39"/>
    <s v="month"/>
    <x v="216"/>
    <n v="1"/>
  </r>
  <r>
    <n v="186413122"/>
    <x v="134"/>
    <x v="101"/>
    <x v="0"/>
    <n v="39"/>
    <s v="month"/>
    <x v="133"/>
    <n v="1"/>
  </r>
  <r>
    <n v="186481916"/>
    <x v="134"/>
    <x v="23"/>
    <x v="0"/>
    <n v="39"/>
    <s v="month"/>
    <x v="53"/>
    <n v="1"/>
  </r>
  <r>
    <n v="186177212"/>
    <x v="134"/>
    <x v="191"/>
    <x v="0"/>
    <n v="39"/>
    <s v="month"/>
    <x v="187"/>
    <n v="1"/>
  </r>
  <r>
    <n v="184809175"/>
    <x v="134"/>
    <x v="191"/>
    <x v="0"/>
    <n v="39"/>
    <s v="month"/>
    <x v="187"/>
    <n v="1"/>
  </r>
  <r>
    <n v="186690790"/>
    <x v="134"/>
    <x v="33"/>
    <x v="0"/>
    <n v="39"/>
    <s v="month"/>
    <x v="109"/>
    <n v="1"/>
  </r>
  <r>
    <n v="185711685"/>
    <x v="134"/>
    <x v="136"/>
    <x v="0"/>
    <n v="39"/>
    <s v="month"/>
    <x v="2"/>
    <n v="1"/>
  </r>
  <r>
    <n v="179509273"/>
    <x v="134"/>
    <x v="187"/>
    <x v="0"/>
    <n v="39"/>
    <s v="month"/>
    <x v="195"/>
    <n v="1"/>
  </r>
  <r>
    <n v="186770408"/>
    <x v="135"/>
    <x v="0"/>
    <x v="0"/>
    <n v="39"/>
    <s v="month"/>
    <x v="0"/>
    <n v="2"/>
  </r>
  <r>
    <n v="181025165"/>
    <x v="135"/>
    <x v="0"/>
    <x v="0"/>
    <n v="39"/>
    <s v="month"/>
    <x v="0"/>
    <n v="2"/>
  </r>
  <r>
    <n v="157919304"/>
    <x v="135"/>
    <x v="58"/>
    <x v="0"/>
    <n v="39"/>
    <s v="month"/>
    <x v="31"/>
    <n v="2"/>
  </r>
  <r>
    <n v="187051266"/>
    <x v="135"/>
    <x v="285"/>
    <x v="0"/>
    <n v="39"/>
    <s v="month"/>
    <x v="217"/>
    <n v="2"/>
  </r>
  <r>
    <n v="179713052"/>
    <x v="135"/>
    <x v="286"/>
    <x v="0"/>
    <n v="39"/>
    <s v="month"/>
    <x v="75"/>
    <n v="2"/>
  </r>
  <r>
    <n v="185431487"/>
    <x v="135"/>
    <x v="287"/>
    <x v="0"/>
    <n v="39"/>
    <s v="month"/>
    <x v="181"/>
    <n v="2"/>
  </r>
  <r>
    <n v="157929345"/>
    <x v="135"/>
    <x v="114"/>
    <x v="0"/>
    <n v="39"/>
    <s v="month"/>
    <x v="18"/>
    <n v="2"/>
  </r>
  <r>
    <n v="154087095"/>
    <x v="135"/>
    <x v="32"/>
    <x v="0"/>
    <n v="39"/>
    <s v="month"/>
    <x v="109"/>
    <n v="2"/>
  </r>
  <r>
    <n v="186674235"/>
    <x v="135"/>
    <x v="218"/>
    <x v="0"/>
    <n v="39"/>
    <s v="month"/>
    <x v="110"/>
    <n v="2"/>
  </r>
  <r>
    <n v="182656156"/>
    <x v="135"/>
    <x v="59"/>
    <x v="0"/>
    <n v="39"/>
    <s v="month"/>
    <x v="35"/>
    <n v="2"/>
  </r>
  <r>
    <n v="170319875"/>
    <x v="135"/>
    <x v="104"/>
    <x v="0"/>
    <n v="39"/>
    <s v="month"/>
    <x v="11"/>
    <n v="2"/>
  </r>
  <r>
    <n v="188226033"/>
    <x v="136"/>
    <x v="0"/>
    <x v="1"/>
    <n v="39"/>
    <s v="month"/>
    <x v="0"/>
    <n v="3"/>
  </r>
  <r>
    <n v="188137320"/>
    <x v="136"/>
    <x v="0"/>
    <x v="1"/>
    <n v="39"/>
    <s v="month"/>
    <x v="0"/>
    <n v="3"/>
  </r>
  <r>
    <n v="163220556"/>
    <x v="136"/>
    <x v="117"/>
    <x v="0"/>
    <n v="39"/>
    <s v="month"/>
    <x v="1"/>
    <n v="3"/>
  </r>
  <r>
    <n v="182960960"/>
    <x v="136"/>
    <x v="272"/>
    <x v="0"/>
    <n v="39"/>
    <s v="month"/>
    <x v="177"/>
    <n v="3"/>
  </r>
  <r>
    <n v="188175982"/>
    <x v="136"/>
    <x v="280"/>
    <x v="0"/>
    <n v="39"/>
    <s v="month"/>
    <x v="28"/>
    <n v="3"/>
  </r>
  <r>
    <n v="169729060"/>
    <x v="136"/>
    <x v="26"/>
    <x v="0"/>
    <n v="39"/>
    <s v="month"/>
    <x v="156"/>
    <n v="3"/>
  </r>
  <r>
    <n v="186841270"/>
    <x v="136"/>
    <x v="202"/>
    <x v="0"/>
    <n v="39"/>
    <s v="month"/>
    <x v="87"/>
    <n v="3"/>
  </r>
  <r>
    <n v="154563993"/>
    <x v="136"/>
    <x v="264"/>
    <x v="0"/>
    <n v="39"/>
    <s v="month"/>
    <x v="179"/>
    <n v="3"/>
  </r>
  <r>
    <n v="159767828"/>
    <x v="136"/>
    <x v="202"/>
    <x v="0"/>
    <n v="39"/>
    <s v="month"/>
    <x v="87"/>
    <n v="3"/>
  </r>
  <r>
    <n v="183186612"/>
    <x v="136"/>
    <x v="176"/>
    <x v="0"/>
    <n v="39"/>
    <s v="month"/>
    <x v="218"/>
    <n v="3"/>
  </r>
  <r>
    <n v="128603349"/>
    <x v="137"/>
    <x v="0"/>
    <x v="0"/>
    <n v="39"/>
    <s v="month"/>
    <x v="0"/>
    <n v="4"/>
  </r>
  <r>
    <n v="183736457"/>
    <x v="137"/>
    <x v="229"/>
    <x v="1"/>
    <n v="39"/>
    <s v="month"/>
    <x v="1"/>
    <n v="4"/>
  </r>
  <r>
    <n v="188115641"/>
    <x v="137"/>
    <x v="117"/>
    <x v="1"/>
    <n v="39"/>
    <s v="month"/>
    <x v="11"/>
    <n v="4"/>
  </r>
  <r>
    <n v="188460699"/>
    <x v="137"/>
    <x v="117"/>
    <x v="1"/>
    <n v="39"/>
    <s v="month"/>
    <x v="11"/>
    <n v="4"/>
  </r>
  <r>
    <n v="138228332"/>
    <x v="137"/>
    <x v="264"/>
    <x v="0"/>
    <n v="39"/>
    <s v="month"/>
    <x v="87"/>
    <n v="4"/>
  </r>
  <r>
    <n v="184143564"/>
    <x v="137"/>
    <x v="288"/>
    <x v="0"/>
    <n v="39"/>
    <s v="month"/>
    <x v="121"/>
    <n v="4"/>
  </r>
  <r>
    <n v="179508142"/>
    <x v="137"/>
    <x v="232"/>
    <x v="0"/>
    <n v="39"/>
    <s v="month"/>
    <x v="219"/>
    <n v="4"/>
  </r>
  <r>
    <n v="188269607"/>
    <x v="137"/>
    <x v="23"/>
    <x v="0"/>
    <n v="39"/>
    <s v="month"/>
    <x v="138"/>
    <n v="4"/>
  </r>
  <r>
    <n v="181890100"/>
    <x v="137"/>
    <x v="208"/>
    <x v="0"/>
    <n v="39"/>
    <s v="month"/>
    <x v="210"/>
    <n v="4"/>
  </r>
  <r>
    <n v="185642830"/>
    <x v="137"/>
    <x v="218"/>
    <x v="0"/>
    <n v="39"/>
    <s v="month"/>
    <x v="13"/>
    <n v="4"/>
  </r>
  <r>
    <n v="152223051"/>
    <x v="137"/>
    <x v="264"/>
    <x v="0"/>
    <n v="39"/>
    <s v="month"/>
    <x v="87"/>
    <n v="4"/>
  </r>
  <r>
    <n v="156067850"/>
    <x v="137"/>
    <x v="198"/>
    <x v="0"/>
    <n v="39"/>
    <s v="month"/>
    <x v="28"/>
    <n v="4"/>
  </r>
  <r>
    <n v="188701816"/>
    <x v="137"/>
    <x v="280"/>
    <x v="0"/>
    <n v="39"/>
    <s v="month"/>
    <x v="35"/>
    <n v="4"/>
  </r>
  <r>
    <n v="188133192"/>
    <x v="137"/>
    <x v="26"/>
    <x v="0"/>
    <n v="39"/>
    <s v="month"/>
    <x v="50"/>
    <n v="4"/>
  </r>
  <r>
    <n v="183936068"/>
    <x v="137"/>
    <x v="244"/>
    <x v="0"/>
    <n v="39"/>
    <s v="month"/>
    <x v="195"/>
    <n v="4"/>
  </r>
  <r>
    <n v="188119778"/>
    <x v="137"/>
    <x v="180"/>
    <x v="0"/>
    <n v="39"/>
    <s v="month"/>
    <x v="172"/>
    <n v="4"/>
  </r>
  <r>
    <n v="189410056"/>
    <x v="138"/>
    <x v="0"/>
    <x v="0"/>
    <n v="39"/>
    <s v="month"/>
    <x v="0"/>
    <n v="5"/>
  </r>
  <r>
    <n v="184970659"/>
    <x v="138"/>
    <x v="0"/>
    <x v="0"/>
    <n v="39"/>
    <s v="month"/>
    <x v="0"/>
    <n v="5"/>
  </r>
  <r>
    <n v="148476648"/>
    <x v="138"/>
    <x v="82"/>
    <x v="0"/>
    <n v="39"/>
    <s v="month"/>
    <x v="91"/>
    <n v="5"/>
  </r>
  <r>
    <n v="189289885"/>
    <x v="138"/>
    <x v="289"/>
    <x v="0"/>
    <n v="39"/>
    <s v="month"/>
    <x v="53"/>
    <n v="5"/>
  </r>
  <r>
    <n v="150442182"/>
    <x v="138"/>
    <x v="277"/>
    <x v="0"/>
    <n v="39"/>
    <s v="month"/>
    <x v="26"/>
    <n v="5"/>
  </r>
  <r>
    <n v="184826230"/>
    <x v="138"/>
    <x v="59"/>
    <x v="0"/>
    <n v="39"/>
    <s v="month"/>
    <x v="62"/>
    <n v="5"/>
  </r>
  <r>
    <n v="184786342"/>
    <x v="138"/>
    <x v="229"/>
    <x v="0"/>
    <n v="39"/>
    <s v="month"/>
    <x v="11"/>
    <n v="5"/>
  </r>
  <r>
    <n v="181565760"/>
    <x v="138"/>
    <x v="134"/>
    <x v="0"/>
    <n v="39"/>
    <s v="month"/>
    <x v="42"/>
    <n v="5"/>
  </r>
  <r>
    <n v="189278478"/>
    <x v="139"/>
    <x v="0"/>
    <x v="0"/>
    <n v="39"/>
    <s v="month"/>
    <x v="0"/>
    <n v="6"/>
  </r>
  <r>
    <n v="184066428"/>
    <x v="139"/>
    <x v="0"/>
    <x v="0"/>
    <n v="39"/>
    <s v="month"/>
    <x v="0"/>
    <n v="6"/>
  </r>
  <r>
    <n v="135771077"/>
    <x v="139"/>
    <x v="0"/>
    <x v="0"/>
    <n v="39"/>
    <s v="month"/>
    <x v="0"/>
    <n v="6"/>
  </r>
  <r>
    <n v="184831280"/>
    <x v="139"/>
    <x v="96"/>
    <x v="0"/>
    <n v="39"/>
    <s v="month"/>
    <x v="107"/>
    <n v="6"/>
  </r>
  <r>
    <n v="188828652"/>
    <x v="139"/>
    <x v="251"/>
    <x v="0"/>
    <n v="39"/>
    <s v="month"/>
    <x v="220"/>
    <n v="6"/>
  </r>
  <r>
    <n v="188666673"/>
    <x v="139"/>
    <x v="278"/>
    <x v="0"/>
    <n v="39"/>
    <s v="month"/>
    <x v="155"/>
    <n v="6"/>
  </r>
  <r>
    <n v="189880452"/>
    <x v="139"/>
    <x v="26"/>
    <x v="0"/>
    <n v="39"/>
    <s v="month"/>
    <x v="35"/>
    <n v="6"/>
  </r>
  <r>
    <n v="160986271"/>
    <x v="139"/>
    <x v="188"/>
    <x v="0"/>
    <n v="39"/>
    <s v="month"/>
    <x v="87"/>
    <n v="6"/>
  </r>
  <r>
    <n v="187895888"/>
    <x v="139"/>
    <x v="206"/>
    <x v="0"/>
    <n v="39"/>
    <s v="month"/>
    <x v="15"/>
    <n v="6"/>
  </r>
  <r>
    <n v="190871376"/>
    <x v="140"/>
    <x v="0"/>
    <x v="0"/>
    <n v="39"/>
    <s v="month"/>
    <x v="0"/>
    <n v="7"/>
  </r>
  <r>
    <n v="166750222"/>
    <x v="140"/>
    <x v="101"/>
    <x v="0"/>
    <n v="39"/>
    <s v="month"/>
    <x v="220"/>
    <n v="7"/>
  </r>
  <r>
    <n v="189360536"/>
    <x v="140"/>
    <x v="152"/>
    <x v="0"/>
    <n v="39"/>
    <s v="month"/>
    <x v="166"/>
    <n v="7"/>
  </r>
  <r>
    <n v="188197564"/>
    <x v="140"/>
    <x v="289"/>
    <x v="0"/>
    <n v="39"/>
    <s v="month"/>
    <x v="75"/>
    <n v="7"/>
  </r>
  <r>
    <n v="191034251"/>
    <x v="140"/>
    <x v="59"/>
    <x v="0"/>
    <n v="39"/>
    <s v="month"/>
    <x v="9"/>
    <n v="7"/>
  </r>
  <r>
    <n v="182972593"/>
    <x v="140"/>
    <x v="247"/>
    <x v="0"/>
    <n v="39"/>
    <s v="month"/>
    <x v="214"/>
    <n v="7"/>
  </r>
  <r>
    <n v="182958960"/>
    <x v="141"/>
    <x v="115"/>
    <x v="0"/>
    <n v="39"/>
    <s v="month"/>
    <x v="1"/>
    <n v="1"/>
  </r>
  <r>
    <n v="163220556"/>
    <x v="141"/>
    <x v="162"/>
    <x v="0"/>
    <n v="39"/>
    <s v="month"/>
    <x v="192"/>
    <n v="1"/>
  </r>
  <r>
    <n v="191730833"/>
    <x v="141"/>
    <x v="233"/>
    <x v="0"/>
    <n v="39"/>
    <s v="month"/>
    <x v="27"/>
    <n v="1"/>
  </r>
  <r>
    <n v="189680563"/>
    <x v="141"/>
    <x v="233"/>
    <x v="0"/>
    <n v="39"/>
    <s v="month"/>
    <x v="27"/>
    <n v="1"/>
  </r>
  <r>
    <n v="190666110"/>
    <x v="142"/>
    <x v="0"/>
    <x v="0"/>
    <n v="39"/>
    <s v="month"/>
    <x v="0"/>
    <n v="2"/>
  </r>
  <r>
    <n v="180622613"/>
    <x v="142"/>
    <x v="0"/>
    <x v="0"/>
    <n v="39"/>
    <s v="month"/>
    <x v="0"/>
    <n v="2"/>
  </r>
  <r>
    <n v="188827172"/>
    <x v="142"/>
    <x v="0"/>
    <x v="0"/>
    <n v="39"/>
    <s v="month"/>
    <x v="0"/>
    <n v="2"/>
  </r>
  <r>
    <n v="188068965"/>
    <x v="142"/>
    <x v="159"/>
    <x v="0"/>
    <n v="39"/>
    <s v="month"/>
    <x v="145"/>
    <n v="2"/>
  </r>
  <r>
    <n v="182958960"/>
    <x v="142"/>
    <x v="161"/>
    <x v="0"/>
    <n v="39"/>
    <s v="month"/>
    <x v="87"/>
    <n v="2"/>
  </r>
  <r>
    <n v="191999674"/>
    <x v="142"/>
    <x v="206"/>
    <x v="0"/>
    <n v="39"/>
    <s v="month"/>
    <x v="86"/>
    <n v="2"/>
  </r>
  <r>
    <n v="183451114"/>
    <x v="142"/>
    <x v="211"/>
    <x v="0"/>
    <n v="39"/>
    <s v="month"/>
    <x v="17"/>
    <n v="2"/>
  </r>
  <r>
    <n v="191807491"/>
    <x v="143"/>
    <x v="0"/>
    <x v="0"/>
    <n v="39"/>
    <s v="month"/>
    <x v="0"/>
    <n v="3"/>
  </r>
  <r>
    <n v="157833252"/>
    <x v="143"/>
    <x v="290"/>
    <x v="0"/>
    <n v="39"/>
    <s v="month"/>
    <x v="221"/>
    <n v="3"/>
  </r>
  <r>
    <n v="188162430"/>
    <x v="143"/>
    <x v="291"/>
    <x v="0"/>
    <n v="39"/>
    <s v="month"/>
    <x v="222"/>
    <n v="3"/>
  </r>
  <r>
    <n v="190733249"/>
    <x v="143"/>
    <x v="253"/>
    <x v="0"/>
    <n v="39"/>
    <s v="month"/>
    <x v="13"/>
    <n v="3"/>
  </r>
  <r>
    <n v="192539054"/>
    <x v="143"/>
    <x v="271"/>
    <x v="0"/>
    <n v="39"/>
    <s v="month"/>
    <x v="167"/>
    <n v="3"/>
  </r>
  <r>
    <n v="193572822"/>
    <x v="143"/>
    <x v="230"/>
    <x v="0"/>
    <n v="39"/>
    <s v="month"/>
    <x v="62"/>
    <n v="3"/>
  </r>
  <r>
    <n v="141399368"/>
    <x v="144"/>
    <x v="0"/>
    <x v="0"/>
    <n v="39"/>
    <s v="month"/>
    <x v="0"/>
    <n v="4"/>
  </r>
  <r>
    <n v="193285633"/>
    <x v="144"/>
    <x v="0"/>
    <x v="0"/>
    <n v="39"/>
    <s v="month"/>
    <x v="0"/>
    <n v="4"/>
  </r>
  <r>
    <n v="193891378"/>
    <x v="144"/>
    <x v="0"/>
    <x v="0"/>
    <n v="39"/>
    <s v="month"/>
    <x v="0"/>
    <n v="4"/>
  </r>
  <r>
    <n v="153628260"/>
    <x v="144"/>
    <x v="134"/>
    <x v="0"/>
    <n v="39"/>
    <s v="month"/>
    <x v="1"/>
    <n v="4"/>
  </r>
  <r>
    <n v="194719566"/>
    <x v="144"/>
    <x v="84"/>
    <x v="1"/>
    <n v="39"/>
    <s v="month"/>
    <x v="11"/>
    <n v="4"/>
  </r>
  <r>
    <n v="176559401"/>
    <x v="144"/>
    <x v="84"/>
    <x v="1"/>
    <n v="39"/>
    <s v="month"/>
    <x v="11"/>
    <n v="4"/>
  </r>
  <r>
    <n v="150178354"/>
    <x v="144"/>
    <x v="45"/>
    <x v="0"/>
    <n v="39"/>
    <s v="month"/>
    <x v="31"/>
    <n v="4"/>
  </r>
  <r>
    <n v="192395073"/>
    <x v="144"/>
    <x v="128"/>
    <x v="0"/>
    <n v="39"/>
    <s v="month"/>
    <x v="114"/>
    <n v="4"/>
  </r>
  <r>
    <n v="152690237"/>
    <x v="144"/>
    <x v="223"/>
    <x v="0"/>
    <n v="39"/>
    <s v="month"/>
    <x v="109"/>
    <n v="4"/>
  </r>
  <r>
    <n v="151572886"/>
    <x v="144"/>
    <x v="33"/>
    <x v="0"/>
    <n v="39"/>
    <s v="month"/>
    <x v="192"/>
    <n v="4"/>
  </r>
  <r>
    <n v="193869975"/>
    <x v="144"/>
    <x v="142"/>
    <x v="0"/>
    <n v="39"/>
    <s v="month"/>
    <x v="78"/>
    <n v="4"/>
  </r>
  <r>
    <n v="175077871"/>
    <x v="144"/>
    <x v="142"/>
    <x v="0"/>
    <n v="39"/>
    <s v="month"/>
    <x v="78"/>
    <n v="4"/>
  </r>
  <r>
    <n v="193229869"/>
    <x v="144"/>
    <x v="50"/>
    <x v="0"/>
    <n v="39"/>
    <s v="month"/>
    <x v="167"/>
    <n v="4"/>
  </r>
  <r>
    <n v="189257579"/>
    <x v="145"/>
    <x v="0"/>
    <x v="0"/>
    <n v="39"/>
    <s v="month"/>
    <x v="0"/>
    <n v="5"/>
  </r>
  <r>
    <n v="184333409"/>
    <x v="145"/>
    <x v="0"/>
    <x v="0"/>
    <n v="39"/>
    <s v="month"/>
    <x v="0"/>
    <n v="5"/>
  </r>
  <r>
    <n v="144719454"/>
    <x v="145"/>
    <x v="0"/>
    <x v="0"/>
    <n v="39"/>
    <s v="month"/>
    <x v="0"/>
    <n v="5"/>
  </r>
  <r>
    <n v="195759475"/>
    <x v="145"/>
    <x v="0"/>
    <x v="0"/>
    <n v="39"/>
    <s v="month"/>
    <x v="0"/>
    <n v="5"/>
  </r>
  <r>
    <n v="167602454"/>
    <x v="145"/>
    <x v="0"/>
    <x v="0"/>
    <n v="39"/>
    <s v="month"/>
    <x v="0"/>
    <n v="5"/>
  </r>
  <r>
    <n v="148838269"/>
    <x v="145"/>
    <x v="0"/>
    <x v="0"/>
    <n v="39"/>
    <s v="month"/>
    <x v="0"/>
    <n v="5"/>
  </r>
  <r>
    <n v="195938394"/>
    <x v="145"/>
    <x v="147"/>
    <x v="0"/>
    <n v="39"/>
    <s v="month"/>
    <x v="141"/>
    <n v="5"/>
  </r>
  <r>
    <n v="194091086"/>
    <x v="145"/>
    <x v="156"/>
    <x v="0"/>
    <n v="39"/>
    <s v="month"/>
    <x v="39"/>
    <n v="5"/>
  </r>
  <r>
    <n v="181456580"/>
    <x v="145"/>
    <x v="275"/>
    <x v="0"/>
    <n v="39"/>
    <s v="month"/>
    <x v="168"/>
    <n v="5"/>
  </r>
  <r>
    <n v="169302100"/>
    <x v="145"/>
    <x v="292"/>
    <x v="0"/>
    <n v="39"/>
    <s v="month"/>
    <x v="117"/>
    <n v="5"/>
  </r>
  <r>
    <n v="180997025"/>
    <x v="145"/>
    <x v="281"/>
    <x v="0"/>
    <n v="39"/>
    <s v="month"/>
    <x v="87"/>
    <n v="5"/>
  </r>
  <r>
    <n v="196091620"/>
    <x v="145"/>
    <x v="170"/>
    <x v="0"/>
    <n v="39"/>
    <s v="month"/>
    <x v="42"/>
    <n v="5"/>
  </r>
  <r>
    <n v="189277140"/>
    <x v="145"/>
    <x v="184"/>
    <x v="0"/>
    <n v="39"/>
    <s v="month"/>
    <x v="44"/>
    <n v="5"/>
  </r>
  <r>
    <n v="195279352"/>
    <x v="145"/>
    <x v="184"/>
    <x v="0"/>
    <n v="39"/>
    <s v="month"/>
    <x v="44"/>
    <n v="5"/>
  </r>
  <r>
    <n v="191113428"/>
    <x v="145"/>
    <x v="134"/>
    <x v="0"/>
    <n v="39"/>
    <s v="month"/>
    <x v="11"/>
    <n v="5"/>
  </r>
  <r>
    <n v="193802414"/>
    <x v="145"/>
    <x v="293"/>
    <x v="0"/>
    <n v="39"/>
    <s v="month"/>
    <x v="196"/>
    <n v="5"/>
  </r>
  <r>
    <n v="115735280"/>
    <x v="146"/>
    <x v="0"/>
    <x v="0"/>
    <n v="39"/>
    <s v="month"/>
    <x v="0"/>
    <n v="6"/>
  </r>
  <r>
    <n v="153026024"/>
    <x v="146"/>
    <x v="0"/>
    <x v="0"/>
    <n v="39"/>
    <s v="month"/>
    <x v="0"/>
    <n v="6"/>
  </r>
  <r>
    <n v="196069557"/>
    <x v="146"/>
    <x v="0"/>
    <x v="0"/>
    <n v="39"/>
    <s v="month"/>
    <x v="0"/>
    <n v="6"/>
  </r>
  <r>
    <n v="193666586"/>
    <x v="146"/>
    <x v="0"/>
    <x v="0"/>
    <n v="39"/>
    <s v="month"/>
    <x v="0"/>
    <n v="6"/>
  </r>
  <r>
    <n v="192550222"/>
    <x v="146"/>
    <x v="0"/>
    <x v="0"/>
    <n v="39"/>
    <s v="month"/>
    <x v="0"/>
    <n v="6"/>
  </r>
  <r>
    <n v="196022560"/>
    <x v="146"/>
    <x v="294"/>
    <x v="0"/>
    <n v="39"/>
    <s v="month"/>
    <x v="223"/>
    <n v="6"/>
  </r>
  <r>
    <n v="196715854"/>
    <x v="146"/>
    <x v="269"/>
    <x v="1"/>
    <n v="39"/>
    <s v="month"/>
    <x v="1"/>
    <n v="6"/>
  </r>
  <r>
    <n v="196969212"/>
    <x v="146"/>
    <x v="266"/>
    <x v="0"/>
    <n v="39"/>
    <s v="month"/>
    <x v="168"/>
    <n v="6"/>
  </r>
  <r>
    <n v="196308725"/>
    <x v="146"/>
    <x v="189"/>
    <x v="0"/>
    <n v="39"/>
    <s v="month"/>
    <x v="117"/>
    <n v="6"/>
  </r>
  <r>
    <n v="196245690"/>
    <x v="146"/>
    <x v="95"/>
    <x v="0"/>
    <n v="39"/>
    <s v="month"/>
    <x v="26"/>
    <n v="6"/>
  </r>
  <r>
    <n v="195988242"/>
    <x v="146"/>
    <x v="70"/>
    <x v="0"/>
    <n v="39"/>
    <s v="month"/>
    <x v="87"/>
    <n v="6"/>
  </r>
  <r>
    <n v="192068317"/>
    <x v="146"/>
    <x v="125"/>
    <x v="0"/>
    <n v="39"/>
    <s v="month"/>
    <x v="8"/>
    <n v="6"/>
  </r>
  <r>
    <n v="195039185"/>
    <x v="146"/>
    <x v="184"/>
    <x v="0"/>
    <n v="39"/>
    <s v="month"/>
    <x v="62"/>
    <n v="6"/>
  </r>
  <r>
    <n v="188563149"/>
    <x v="146"/>
    <x v="55"/>
    <x v="0"/>
    <n v="39"/>
    <s v="month"/>
    <x v="224"/>
    <n v="6"/>
  </r>
  <r>
    <n v="188748439"/>
    <x v="146"/>
    <x v="295"/>
    <x v="0"/>
    <n v="39"/>
    <s v="month"/>
    <x v="203"/>
    <n v="6"/>
  </r>
  <r>
    <n v="160873880"/>
    <x v="147"/>
    <x v="0"/>
    <x v="0"/>
    <n v="39"/>
    <s v="month"/>
    <x v="0"/>
    <n v="7"/>
  </r>
  <r>
    <n v="160379194"/>
    <x v="147"/>
    <x v="269"/>
    <x v="0"/>
    <n v="39"/>
    <s v="month"/>
    <x v="11"/>
    <n v="7"/>
  </r>
  <r>
    <n v="194169961"/>
    <x v="147"/>
    <x v="272"/>
    <x v="0"/>
    <n v="39"/>
    <s v="month"/>
    <x v="13"/>
    <n v="7"/>
  </r>
  <r>
    <n v="184209232"/>
    <x v="147"/>
    <x v="191"/>
    <x v="0"/>
    <n v="39"/>
    <s v="month"/>
    <x v="87"/>
    <n v="7"/>
  </r>
  <r>
    <n v="195198228"/>
    <x v="147"/>
    <x v="280"/>
    <x v="0"/>
    <n v="39"/>
    <s v="month"/>
    <x v="40"/>
    <n v="7"/>
  </r>
  <r>
    <n v="153657568"/>
    <x v="148"/>
    <x v="0"/>
    <x v="0"/>
    <n v="39"/>
    <s v="month"/>
    <x v="0"/>
    <n v="1"/>
  </r>
  <r>
    <n v="127697219"/>
    <x v="148"/>
    <x v="45"/>
    <x v="0"/>
    <n v="39"/>
    <s v="month"/>
    <x v="101"/>
    <n v="1"/>
  </r>
  <r>
    <n v="198448283"/>
    <x v="148"/>
    <x v="241"/>
    <x v="0"/>
    <n v="39"/>
    <s v="month"/>
    <x v="119"/>
    <n v="1"/>
  </r>
  <r>
    <n v="159483118"/>
    <x v="148"/>
    <x v="50"/>
    <x v="0"/>
    <n v="39"/>
    <s v="month"/>
    <x v="28"/>
    <n v="1"/>
  </r>
  <r>
    <n v="152433647"/>
    <x v="148"/>
    <x v="32"/>
    <x v="0"/>
    <n v="39"/>
    <s v="month"/>
    <x v="102"/>
    <n v="1"/>
  </r>
  <r>
    <n v="154790198"/>
    <x v="148"/>
    <x v="59"/>
    <x v="0"/>
    <n v="39"/>
    <s v="month"/>
    <x v="118"/>
    <n v="1"/>
  </r>
  <r>
    <n v="191896242"/>
    <x v="149"/>
    <x v="0"/>
    <x v="0"/>
    <n v="39"/>
    <s v="month"/>
    <x v="0"/>
    <n v="2"/>
  </r>
  <r>
    <n v="136407072"/>
    <x v="149"/>
    <x v="296"/>
    <x v="0"/>
    <n v="39"/>
    <s v="month"/>
    <x v="183"/>
    <n v="2"/>
  </r>
  <r>
    <n v="199439964"/>
    <x v="149"/>
    <x v="268"/>
    <x v="0"/>
    <n v="39"/>
    <s v="month"/>
    <x v="145"/>
    <n v="2"/>
  </r>
  <r>
    <n v="199255574"/>
    <x v="149"/>
    <x v="173"/>
    <x v="0"/>
    <n v="39"/>
    <s v="month"/>
    <x v="164"/>
    <n v="2"/>
  </r>
  <r>
    <n v="167938302"/>
    <x v="149"/>
    <x v="128"/>
    <x v="0"/>
    <n v="39"/>
    <s v="month"/>
    <x v="177"/>
    <n v="2"/>
  </r>
  <r>
    <n v="154173057"/>
    <x v="149"/>
    <x v="297"/>
    <x v="0"/>
    <n v="39"/>
    <s v="month"/>
    <x v="225"/>
    <n v="2"/>
  </r>
  <r>
    <n v="153199550"/>
    <x v="149"/>
    <x v="170"/>
    <x v="0"/>
    <n v="39"/>
    <s v="month"/>
    <x v="175"/>
    <n v="2"/>
  </r>
  <r>
    <n v="199302158"/>
    <x v="149"/>
    <x v="170"/>
    <x v="0"/>
    <n v="39"/>
    <s v="month"/>
    <x v="175"/>
    <n v="2"/>
  </r>
  <r>
    <n v="187482966"/>
    <x v="149"/>
    <x v="252"/>
    <x v="0"/>
    <n v="39"/>
    <s v="month"/>
    <x v="226"/>
    <n v="2"/>
  </r>
  <r>
    <n v="168436547"/>
    <x v="149"/>
    <x v="240"/>
    <x v="0"/>
    <n v="39"/>
    <s v="month"/>
    <x v="227"/>
    <n v="2"/>
  </r>
  <r>
    <n v="195007481"/>
    <x v="150"/>
    <x v="0"/>
    <x v="0"/>
    <n v="39"/>
    <s v="month"/>
    <x v="0"/>
    <n v="3"/>
  </r>
  <r>
    <n v="181830574"/>
    <x v="150"/>
    <x v="0"/>
    <x v="0"/>
    <n v="39"/>
    <s v="month"/>
    <x v="0"/>
    <n v="3"/>
  </r>
  <r>
    <n v="198691553"/>
    <x v="150"/>
    <x v="0"/>
    <x v="0"/>
    <n v="39"/>
    <s v="month"/>
    <x v="0"/>
    <n v="3"/>
  </r>
  <r>
    <n v="200001674"/>
    <x v="150"/>
    <x v="178"/>
    <x v="0"/>
    <n v="39"/>
    <s v="month"/>
    <x v="165"/>
    <n v="3"/>
  </r>
  <r>
    <n v="200252155"/>
    <x v="150"/>
    <x v="298"/>
    <x v="0"/>
    <n v="39"/>
    <s v="month"/>
    <x v="145"/>
    <n v="3"/>
  </r>
  <r>
    <n v="188206991"/>
    <x v="150"/>
    <x v="299"/>
    <x v="0"/>
    <n v="39"/>
    <s v="month"/>
    <x v="83"/>
    <n v="3"/>
  </r>
  <r>
    <n v="184330352"/>
    <x v="150"/>
    <x v="300"/>
    <x v="0"/>
    <n v="39"/>
    <s v="month"/>
    <x v="75"/>
    <n v="3"/>
  </r>
  <r>
    <n v="198701510"/>
    <x v="150"/>
    <x v="286"/>
    <x v="0"/>
    <n v="39"/>
    <s v="month"/>
    <x v="61"/>
    <n v="3"/>
  </r>
  <r>
    <n v="164909402"/>
    <x v="150"/>
    <x v="188"/>
    <x v="0"/>
    <n v="39"/>
    <s v="month"/>
    <x v="62"/>
    <n v="3"/>
  </r>
  <r>
    <n v="126737063"/>
    <x v="150"/>
    <x v="63"/>
    <x v="0"/>
    <n v="39"/>
    <s v="month"/>
    <x v="111"/>
    <n v="3"/>
  </r>
  <r>
    <n v="194472898"/>
    <x v="151"/>
    <x v="0"/>
    <x v="0"/>
    <n v="39"/>
    <s v="month"/>
    <x v="0"/>
    <n v="4"/>
  </r>
  <r>
    <n v="200962065"/>
    <x v="151"/>
    <x v="0"/>
    <x v="0"/>
    <n v="39"/>
    <s v="month"/>
    <x v="0"/>
    <n v="4"/>
  </r>
  <r>
    <n v="196821289"/>
    <x v="151"/>
    <x v="0"/>
    <x v="0"/>
    <n v="39"/>
    <s v="month"/>
    <x v="0"/>
    <n v="4"/>
  </r>
  <r>
    <n v="200867442"/>
    <x v="151"/>
    <x v="0"/>
    <x v="0"/>
    <n v="39"/>
    <s v="month"/>
    <x v="0"/>
    <n v="4"/>
  </r>
  <r>
    <n v="187855576"/>
    <x v="151"/>
    <x v="0"/>
    <x v="0"/>
    <n v="39"/>
    <s v="month"/>
    <x v="0"/>
    <n v="4"/>
  </r>
  <r>
    <n v="198475060"/>
    <x v="151"/>
    <x v="170"/>
    <x v="1"/>
    <n v="39"/>
    <s v="month"/>
    <x v="1"/>
    <n v="4"/>
  </r>
  <r>
    <n v="137201021"/>
    <x v="151"/>
    <x v="3"/>
    <x v="0"/>
    <n v="39"/>
    <s v="month"/>
    <x v="141"/>
    <n v="4"/>
  </r>
  <r>
    <n v="192942271"/>
    <x v="151"/>
    <x v="293"/>
    <x v="0"/>
    <n v="39"/>
    <s v="month"/>
    <x v="219"/>
    <n v="4"/>
  </r>
  <r>
    <n v="155088727"/>
    <x v="151"/>
    <x v="45"/>
    <x v="0"/>
    <n v="39"/>
    <s v="month"/>
    <x v="91"/>
    <n v="4"/>
  </r>
  <r>
    <n v="145416349"/>
    <x v="151"/>
    <x v="251"/>
    <x v="0"/>
    <n v="39"/>
    <s v="month"/>
    <x v="75"/>
    <n v="4"/>
  </r>
  <r>
    <n v="154064672"/>
    <x v="151"/>
    <x v="152"/>
    <x v="0"/>
    <n v="39"/>
    <s v="month"/>
    <x v="6"/>
    <n v="4"/>
  </r>
  <r>
    <n v="174670793"/>
    <x v="151"/>
    <x v="275"/>
    <x v="0"/>
    <n v="39"/>
    <s v="month"/>
    <x v="18"/>
    <n v="4"/>
  </r>
  <r>
    <n v="200600365"/>
    <x v="151"/>
    <x v="257"/>
    <x v="0"/>
    <n v="39"/>
    <s v="month"/>
    <x v="114"/>
    <n v="4"/>
  </r>
  <r>
    <n v="196253752"/>
    <x v="151"/>
    <x v="26"/>
    <x v="0"/>
    <n v="39"/>
    <s v="month"/>
    <x v="23"/>
    <n v="4"/>
  </r>
  <r>
    <n v="148710722"/>
    <x v="151"/>
    <x v="247"/>
    <x v="0"/>
    <n v="39"/>
    <s v="month"/>
    <x v="208"/>
    <n v="4"/>
  </r>
  <r>
    <n v="201015936"/>
    <x v="151"/>
    <x v="210"/>
    <x v="0"/>
    <n v="39"/>
    <s v="month"/>
    <x v="214"/>
    <n v="4"/>
  </r>
  <r>
    <n v="200766423"/>
    <x v="151"/>
    <x v="136"/>
    <x v="0"/>
    <n v="39"/>
    <s v="month"/>
    <x v="225"/>
    <n v="4"/>
  </r>
  <r>
    <n v="188152753"/>
    <x v="151"/>
    <x v="276"/>
    <x v="0"/>
    <n v="39"/>
    <s v="month"/>
    <x v="14"/>
    <n v="4"/>
  </r>
  <r>
    <n v="194406214"/>
    <x v="151"/>
    <x v="301"/>
    <x v="0"/>
    <n v="39"/>
    <s v="month"/>
    <x v="226"/>
    <n v="4"/>
  </r>
  <r>
    <n v="199388324"/>
    <x v="152"/>
    <x v="0"/>
    <x v="0"/>
    <n v="39"/>
    <s v="month"/>
    <x v="0"/>
    <n v="5"/>
  </r>
  <r>
    <n v="202030516"/>
    <x v="152"/>
    <x v="0"/>
    <x v="0"/>
    <n v="39"/>
    <s v="month"/>
    <x v="0"/>
    <n v="5"/>
  </r>
  <r>
    <n v="196926212"/>
    <x v="152"/>
    <x v="0"/>
    <x v="0"/>
    <n v="39"/>
    <s v="month"/>
    <x v="0"/>
    <n v="5"/>
  </r>
  <r>
    <n v="199374328"/>
    <x v="152"/>
    <x v="241"/>
    <x v="0"/>
    <n v="39"/>
    <s v="month"/>
    <x v="151"/>
    <n v="5"/>
  </r>
  <r>
    <n v="201313318"/>
    <x v="152"/>
    <x v="159"/>
    <x v="0"/>
    <n v="39"/>
    <s v="month"/>
    <x v="165"/>
    <n v="5"/>
  </r>
  <r>
    <n v="200960179"/>
    <x v="152"/>
    <x v="285"/>
    <x v="0"/>
    <n v="39"/>
    <s v="month"/>
    <x v="113"/>
    <n v="5"/>
  </r>
  <r>
    <n v="180890046"/>
    <x v="152"/>
    <x v="267"/>
    <x v="0"/>
    <n v="39"/>
    <s v="month"/>
    <x v="228"/>
    <n v="5"/>
  </r>
  <r>
    <n v="159227956"/>
    <x v="152"/>
    <x v="96"/>
    <x v="0"/>
    <n v="39"/>
    <s v="month"/>
    <x v="126"/>
    <n v="5"/>
  </r>
  <r>
    <n v="182325407"/>
    <x v="152"/>
    <x v="145"/>
    <x v="0"/>
    <n v="39"/>
    <s v="month"/>
    <x v="8"/>
    <n v="5"/>
  </r>
  <r>
    <n v="194828965"/>
    <x v="152"/>
    <x v="146"/>
    <x v="0"/>
    <n v="39"/>
    <s v="month"/>
    <x v="26"/>
    <n v="5"/>
  </r>
  <r>
    <n v="202139613"/>
    <x v="152"/>
    <x v="70"/>
    <x v="0"/>
    <n v="39"/>
    <s v="month"/>
    <x v="50"/>
    <n v="5"/>
  </r>
  <r>
    <n v="202137510"/>
    <x v="152"/>
    <x v="276"/>
    <x v="0"/>
    <n v="39"/>
    <s v="month"/>
    <x v="108"/>
    <n v="5"/>
  </r>
  <r>
    <n v="201182176"/>
    <x v="152"/>
    <x v="161"/>
    <x v="0"/>
    <n v="39"/>
    <s v="month"/>
    <x v="44"/>
    <n v="5"/>
  </r>
  <r>
    <n v="202010803"/>
    <x v="152"/>
    <x v="50"/>
    <x v="0"/>
    <n v="39"/>
    <s v="month"/>
    <x v="62"/>
    <n v="5"/>
  </r>
  <r>
    <n v="131734107"/>
    <x v="153"/>
    <x v="302"/>
    <x v="0"/>
    <n v="39"/>
    <s v="month"/>
    <x v="135"/>
    <n v="6"/>
  </r>
  <r>
    <n v="202277130"/>
    <x v="153"/>
    <x v="16"/>
    <x v="0"/>
    <n v="39"/>
    <s v="month"/>
    <x v="110"/>
    <n v="6"/>
  </r>
  <r>
    <n v="137196428"/>
    <x v="153"/>
    <x v="162"/>
    <x v="0"/>
    <n v="39"/>
    <s v="month"/>
    <x v="36"/>
    <n v="6"/>
  </r>
  <r>
    <n v="153568282"/>
    <x v="153"/>
    <x v="165"/>
    <x v="0"/>
    <n v="39"/>
    <s v="month"/>
    <x v="214"/>
    <n v="6"/>
  </r>
  <r>
    <n v="199895190"/>
    <x v="153"/>
    <x v="32"/>
    <x v="0"/>
    <n v="39"/>
    <s v="month"/>
    <x v="87"/>
    <n v="6"/>
  </r>
  <r>
    <n v="200894076"/>
    <x v="153"/>
    <x v="292"/>
    <x v="0"/>
    <n v="39"/>
    <s v="month"/>
    <x v="13"/>
    <n v="6"/>
  </r>
  <r>
    <n v="201162862"/>
    <x v="153"/>
    <x v="276"/>
    <x v="0"/>
    <n v="39"/>
    <s v="month"/>
    <x v="167"/>
    <n v="6"/>
  </r>
  <r>
    <n v="198748705"/>
    <x v="153"/>
    <x v="208"/>
    <x v="0"/>
    <n v="39"/>
    <s v="month"/>
    <x v="187"/>
    <n v="6"/>
  </r>
  <r>
    <n v="202308735"/>
    <x v="153"/>
    <x v="190"/>
    <x v="0"/>
    <n v="39"/>
    <s v="month"/>
    <x v="111"/>
    <n v="6"/>
  </r>
  <r>
    <n v="202276540"/>
    <x v="153"/>
    <x v="244"/>
    <x v="0"/>
    <n v="39"/>
    <s v="month"/>
    <x v="204"/>
    <n v="6"/>
  </r>
  <r>
    <n v="202401357"/>
    <x v="154"/>
    <x v="0"/>
    <x v="0"/>
    <n v="39"/>
    <s v="month"/>
    <x v="0"/>
    <n v="7"/>
  </r>
  <r>
    <n v="184539258"/>
    <x v="154"/>
    <x v="101"/>
    <x v="0"/>
    <n v="39"/>
    <s v="month"/>
    <x v="168"/>
    <n v="7"/>
  </r>
  <r>
    <n v="202349754"/>
    <x v="154"/>
    <x v="4"/>
    <x v="0"/>
    <n v="39"/>
    <s v="month"/>
    <x v="49"/>
    <n v="7"/>
  </r>
  <r>
    <n v="202410436"/>
    <x v="154"/>
    <x v="264"/>
    <x v="0"/>
    <n v="39"/>
    <s v="month"/>
    <x v="86"/>
    <n v="7"/>
  </r>
  <r>
    <n v="197151544"/>
    <x v="154"/>
    <x v="233"/>
    <x v="0"/>
    <n v="39"/>
    <s v="month"/>
    <x v="19"/>
    <n v="7"/>
  </r>
  <r>
    <n v="202305934"/>
    <x v="154"/>
    <x v="277"/>
    <x v="0"/>
    <n v="39"/>
    <s v="month"/>
    <x v="102"/>
    <n v="7"/>
  </r>
  <r>
    <n v="202304812"/>
    <x v="155"/>
    <x v="0"/>
    <x v="0"/>
    <n v="39"/>
    <s v="month"/>
    <x v="0"/>
    <n v="1"/>
  </r>
  <r>
    <n v="160030890"/>
    <x v="155"/>
    <x v="0"/>
    <x v="0"/>
    <n v="39"/>
    <s v="month"/>
    <x v="0"/>
    <n v="1"/>
  </r>
  <r>
    <n v="202524608"/>
    <x v="155"/>
    <x v="0"/>
    <x v="0"/>
    <n v="39"/>
    <s v="month"/>
    <x v="0"/>
    <n v="1"/>
  </r>
  <r>
    <n v="198447368"/>
    <x v="155"/>
    <x v="0"/>
    <x v="0"/>
    <n v="39"/>
    <s v="month"/>
    <x v="0"/>
    <n v="1"/>
  </r>
  <r>
    <n v="202458624"/>
    <x v="155"/>
    <x v="0"/>
    <x v="0"/>
    <n v="39"/>
    <s v="month"/>
    <x v="0"/>
    <n v="1"/>
  </r>
  <r>
    <n v="132256211"/>
    <x v="155"/>
    <x v="33"/>
    <x v="0"/>
    <n v="39"/>
    <s v="month"/>
    <x v="167"/>
    <n v="1"/>
  </r>
  <r>
    <n v="202504135"/>
    <x v="155"/>
    <x v="303"/>
    <x v="0"/>
    <n v="39"/>
    <s v="month"/>
    <x v="145"/>
    <n v="1"/>
  </r>
  <r>
    <n v="192182455"/>
    <x v="155"/>
    <x v="274"/>
    <x v="0"/>
    <n v="39"/>
    <s v="month"/>
    <x v="97"/>
    <n v="1"/>
  </r>
  <r>
    <n v="202505276"/>
    <x v="155"/>
    <x v="218"/>
    <x v="0"/>
    <n v="39"/>
    <s v="month"/>
    <x v="14"/>
    <n v="1"/>
  </r>
  <r>
    <n v="152050632"/>
    <x v="156"/>
    <x v="0"/>
    <x v="0"/>
    <n v="39"/>
    <s v="month"/>
    <x v="0"/>
    <n v="2"/>
  </r>
  <r>
    <n v="201313284"/>
    <x v="156"/>
    <x v="0"/>
    <x v="0"/>
    <n v="39"/>
    <s v="month"/>
    <x v="0"/>
    <n v="2"/>
  </r>
  <r>
    <n v="202118292"/>
    <x v="156"/>
    <x v="0"/>
    <x v="0"/>
    <n v="39"/>
    <s v="month"/>
    <x v="0"/>
    <n v="2"/>
  </r>
  <r>
    <n v="202298964"/>
    <x v="156"/>
    <x v="0"/>
    <x v="0"/>
    <n v="39"/>
    <s v="month"/>
    <x v="0"/>
    <n v="2"/>
  </r>
  <r>
    <n v="202496216"/>
    <x v="156"/>
    <x v="0"/>
    <x v="0"/>
    <n v="39"/>
    <s v="month"/>
    <x v="0"/>
    <n v="2"/>
  </r>
  <r>
    <n v="152354478"/>
    <x v="156"/>
    <x v="0"/>
    <x v="0"/>
    <n v="39"/>
    <s v="month"/>
    <x v="0"/>
    <n v="2"/>
  </r>
  <r>
    <n v="200490112"/>
    <x v="156"/>
    <x v="201"/>
    <x v="1"/>
    <n v="39"/>
    <s v="month"/>
    <x v="1"/>
    <n v="2"/>
  </r>
  <r>
    <n v="131310280"/>
    <x v="156"/>
    <x v="280"/>
    <x v="0"/>
    <n v="39"/>
    <s v="month"/>
    <x v="125"/>
    <n v="2"/>
  </r>
  <r>
    <n v="154161250"/>
    <x v="156"/>
    <x v="233"/>
    <x v="0"/>
    <n v="39"/>
    <s v="month"/>
    <x v="102"/>
    <n v="2"/>
  </r>
  <r>
    <n v="150521180"/>
    <x v="156"/>
    <x v="304"/>
    <x v="0"/>
    <n v="39"/>
    <s v="month"/>
    <x v="68"/>
    <n v="2"/>
  </r>
  <r>
    <n v="195280988"/>
    <x v="156"/>
    <x v="173"/>
    <x v="0"/>
    <n v="39"/>
    <s v="month"/>
    <x v="217"/>
    <n v="2"/>
  </r>
  <r>
    <n v="201231494"/>
    <x v="156"/>
    <x v="96"/>
    <x v="0"/>
    <n v="39"/>
    <s v="month"/>
    <x v="77"/>
    <n v="2"/>
  </r>
  <r>
    <n v="199554496"/>
    <x v="156"/>
    <x v="35"/>
    <x v="0"/>
    <n v="39"/>
    <s v="month"/>
    <x v="208"/>
    <n v="2"/>
  </r>
  <r>
    <n v="125747106"/>
    <x v="156"/>
    <x v="250"/>
    <x v="0"/>
    <n v="39"/>
    <s v="month"/>
    <x v="20"/>
    <n v="2"/>
  </r>
  <r>
    <n v="195345030"/>
    <x v="156"/>
    <x v="250"/>
    <x v="0"/>
    <n v="39"/>
    <s v="month"/>
    <x v="20"/>
    <n v="2"/>
  </r>
  <r>
    <n v="202269874"/>
    <x v="156"/>
    <x v="120"/>
    <x v="0"/>
    <n v="39"/>
    <s v="month"/>
    <x v="155"/>
    <n v="2"/>
  </r>
  <r>
    <n v="191036527"/>
    <x v="156"/>
    <x v="191"/>
    <x v="0"/>
    <n v="39"/>
    <s v="month"/>
    <x v="72"/>
    <n v="2"/>
  </r>
  <r>
    <n v="202633556"/>
    <x v="156"/>
    <x v="46"/>
    <x v="0"/>
    <n v="39"/>
    <s v="month"/>
    <x v="178"/>
    <n v="2"/>
  </r>
  <r>
    <n v="202750328"/>
    <x v="156"/>
    <x v="305"/>
    <x v="0"/>
    <n v="39"/>
    <s v="month"/>
    <x v="229"/>
    <n v="2"/>
  </r>
  <r>
    <n v="192781688"/>
    <x v="157"/>
    <x v="0"/>
    <x v="0"/>
    <n v="39"/>
    <s v="month"/>
    <x v="0"/>
    <n v="3"/>
  </r>
  <r>
    <n v="196859472"/>
    <x v="157"/>
    <x v="0"/>
    <x v="0"/>
    <n v="39"/>
    <s v="month"/>
    <x v="0"/>
    <n v="3"/>
  </r>
  <r>
    <n v="200333728"/>
    <x v="157"/>
    <x v="0"/>
    <x v="0"/>
    <n v="39"/>
    <s v="month"/>
    <x v="0"/>
    <n v="3"/>
  </r>
  <r>
    <n v="129896329"/>
    <x v="157"/>
    <x v="0"/>
    <x v="0"/>
    <n v="39"/>
    <s v="month"/>
    <x v="0"/>
    <n v="3"/>
  </r>
  <r>
    <n v="168202891"/>
    <x v="157"/>
    <x v="201"/>
    <x v="1"/>
    <n v="39"/>
    <s v="month"/>
    <x v="11"/>
    <n v="3"/>
  </r>
  <r>
    <n v="202924219"/>
    <x v="157"/>
    <x v="177"/>
    <x v="0"/>
    <n v="39"/>
    <s v="month"/>
    <x v="24"/>
    <n v="3"/>
  </r>
  <r>
    <n v="202863670"/>
    <x v="157"/>
    <x v="122"/>
    <x v="0"/>
    <n v="39"/>
    <s v="month"/>
    <x v="177"/>
    <n v="3"/>
  </r>
  <r>
    <n v="202398629"/>
    <x v="157"/>
    <x v="70"/>
    <x v="0"/>
    <n v="39"/>
    <s v="month"/>
    <x v="62"/>
    <n v="3"/>
  </r>
  <r>
    <n v="188448878"/>
    <x v="157"/>
    <x v="201"/>
    <x v="0"/>
    <n v="39"/>
    <s v="month"/>
    <x v="11"/>
    <n v="3"/>
  </r>
  <r>
    <n v="203254948"/>
    <x v="158"/>
    <x v="0"/>
    <x v="0"/>
    <n v="39"/>
    <s v="month"/>
    <x v="0"/>
    <n v="4"/>
  </r>
  <r>
    <n v="203120229"/>
    <x v="158"/>
    <x v="306"/>
    <x v="0"/>
    <n v="39"/>
    <s v="month"/>
    <x v="69"/>
    <n v="4"/>
  </r>
  <r>
    <n v="203225874"/>
    <x v="158"/>
    <x v="243"/>
    <x v="0"/>
    <n v="39"/>
    <s v="month"/>
    <x v="93"/>
    <n v="4"/>
  </r>
  <r>
    <n v="203107308"/>
    <x v="158"/>
    <x v="58"/>
    <x v="0"/>
    <n v="39"/>
    <s v="month"/>
    <x v="66"/>
    <n v="4"/>
  </r>
  <r>
    <n v="156558244"/>
    <x v="158"/>
    <x v="296"/>
    <x v="0"/>
    <n v="39"/>
    <s v="month"/>
    <x v="45"/>
    <n v="4"/>
  </r>
  <r>
    <n v="194306726"/>
    <x v="158"/>
    <x v="50"/>
    <x v="0"/>
    <n v="39"/>
    <s v="month"/>
    <x v="86"/>
    <n v="4"/>
  </r>
  <r>
    <n v="202410948"/>
    <x v="158"/>
    <x v="142"/>
    <x v="0"/>
    <n v="39"/>
    <s v="month"/>
    <x v="167"/>
    <n v="4"/>
  </r>
  <r>
    <n v="203166018"/>
    <x v="158"/>
    <x v="278"/>
    <x v="0"/>
    <n v="39"/>
    <s v="month"/>
    <x v="44"/>
    <n v="4"/>
  </r>
  <r>
    <n v="203116697"/>
    <x v="158"/>
    <x v="78"/>
    <x v="0"/>
    <n v="39"/>
    <s v="month"/>
    <x v="102"/>
    <n v="4"/>
  </r>
  <r>
    <n v="202982608"/>
    <x v="158"/>
    <x v="161"/>
    <x v="0"/>
    <n v="39"/>
    <s v="month"/>
    <x v="2"/>
    <n v="4"/>
  </r>
  <r>
    <n v="198167700"/>
    <x v="158"/>
    <x v="254"/>
    <x v="0"/>
    <n v="39"/>
    <s v="month"/>
    <x v="175"/>
    <n v="4"/>
  </r>
  <r>
    <n v="190567582"/>
    <x v="158"/>
    <x v="46"/>
    <x v="0"/>
    <n v="39"/>
    <s v="month"/>
    <x v="10"/>
    <n v="4"/>
  </r>
  <r>
    <n v="202699972"/>
    <x v="158"/>
    <x v="307"/>
    <x v="0"/>
    <n v="39"/>
    <s v="month"/>
    <x v="115"/>
    <n v="4"/>
  </r>
  <r>
    <n v="203242766"/>
    <x v="159"/>
    <x v="0"/>
    <x v="0"/>
    <n v="39"/>
    <s v="month"/>
    <x v="0"/>
    <n v="5"/>
  </r>
  <r>
    <n v="203398103"/>
    <x v="159"/>
    <x v="0"/>
    <x v="0"/>
    <n v="39"/>
    <s v="month"/>
    <x v="0"/>
    <n v="5"/>
  </r>
  <r>
    <n v="203243685"/>
    <x v="159"/>
    <x v="0"/>
    <x v="0"/>
    <n v="39"/>
    <s v="month"/>
    <x v="0"/>
    <n v="5"/>
  </r>
  <r>
    <n v="203370322"/>
    <x v="159"/>
    <x v="0"/>
    <x v="0"/>
    <n v="39"/>
    <s v="month"/>
    <x v="0"/>
    <n v="5"/>
  </r>
  <r>
    <n v="138689458"/>
    <x v="159"/>
    <x v="0"/>
    <x v="0"/>
    <n v="39"/>
    <s v="month"/>
    <x v="0"/>
    <n v="5"/>
  </r>
  <r>
    <n v="203315186"/>
    <x v="159"/>
    <x v="0"/>
    <x v="0"/>
    <n v="39"/>
    <s v="month"/>
    <x v="0"/>
    <n v="5"/>
  </r>
  <r>
    <n v="203292575"/>
    <x v="159"/>
    <x v="0"/>
    <x v="0"/>
    <n v="39"/>
    <s v="month"/>
    <x v="0"/>
    <n v="5"/>
  </r>
  <r>
    <n v="144830936"/>
    <x v="159"/>
    <x v="91"/>
    <x v="0"/>
    <n v="39"/>
    <s v="month"/>
    <x v="1"/>
    <n v="5"/>
  </r>
  <r>
    <n v="168980588"/>
    <x v="159"/>
    <x v="219"/>
    <x v="1"/>
    <n v="39"/>
    <s v="month"/>
    <x v="11"/>
    <n v="5"/>
  </r>
  <r>
    <n v="136832520"/>
    <x v="159"/>
    <x v="276"/>
    <x v="0"/>
    <n v="39"/>
    <s v="month"/>
    <x v="72"/>
    <n v="5"/>
  </r>
  <r>
    <n v="202103959"/>
    <x v="159"/>
    <x v="267"/>
    <x v="0"/>
    <n v="39"/>
    <s v="month"/>
    <x v="133"/>
    <n v="5"/>
  </r>
  <r>
    <n v="148764147"/>
    <x v="159"/>
    <x v="239"/>
    <x v="0"/>
    <n v="39"/>
    <s v="month"/>
    <x v="27"/>
    <n v="5"/>
  </r>
  <r>
    <n v="182748610"/>
    <x v="159"/>
    <x v="246"/>
    <x v="0"/>
    <n v="39"/>
    <s v="month"/>
    <x v="94"/>
    <n v="5"/>
  </r>
  <r>
    <n v="197883626"/>
    <x v="159"/>
    <x v="220"/>
    <x v="0"/>
    <n v="39"/>
    <s v="month"/>
    <x v="167"/>
    <n v="5"/>
  </r>
  <r>
    <n v="195893842"/>
    <x v="159"/>
    <x v="271"/>
    <x v="0"/>
    <n v="39"/>
    <s v="month"/>
    <x v="184"/>
    <n v="5"/>
  </r>
  <r>
    <n v="169081778"/>
    <x v="159"/>
    <x v="55"/>
    <x v="0"/>
    <n v="39"/>
    <s v="month"/>
    <x v="30"/>
    <n v="5"/>
  </r>
  <r>
    <n v="150422738"/>
    <x v="160"/>
    <x v="254"/>
    <x v="0"/>
    <n v="39"/>
    <s v="month"/>
    <x v="1"/>
    <n v="6"/>
  </r>
  <r>
    <n v="190839721"/>
    <x v="160"/>
    <x v="137"/>
    <x v="0"/>
    <n v="39"/>
    <s v="month"/>
    <x v="167"/>
    <n v="6"/>
  </r>
  <r>
    <n v="152193617"/>
    <x v="161"/>
    <x v="0"/>
    <x v="0"/>
    <n v="39"/>
    <s v="month"/>
    <x v="0"/>
    <n v="7"/>
  </r>
  <r>
    <n v="133869989"/>
    <x v="161"/>
    <x v="153"/>
    <x v="0"/>
    <n v="39"/>
    <s v="month"/>
    <x v="1"/>
    <n v="7"/>
  </r>
  <r>
    <n v="186843516"/>
    <x v="161"/>
    <x v="185"/>
    <x v="0"/>
    <n v="39"/>
    <s v="month"/>
    <x v="210"/>
    <n v="7"/>
  </r>
  <r>
    <n v="138913080"/>
    <x v="161"/>
    <x v="248"/>
    <x v="0"/>
    <n v="39"/>
    <s v="month"/>
    <x v="144"/>
    <n v="7"/>
  </r>
  <r>
    <n v="134879280"/>
    <x v="161"/>
    <x v="191"/>
    <x v="0"/>
    <n v="39"/>
    <s v="month"/>
    <x v="15"/>
    <n v="7"/>
  </r>
  <r>
    <n v="160878134"/>
    <x v="162"/>
    <x v="0"/>
    <x v="0"/>
    <n v="39"/>
    <s v="month"/>
    <x v="0"/>
    <n v="2"/>
  </r>
  <r>
    <n v="144423338"/>
    <x v="162"/>
    <x v="190"/>
    <x v="0"/>
    <n v="39"/>
    <s v="month"/>
    <x v="29"/>
    <n v="2"/>
  </r>
  <r>
    <n v="136218542"/>
    <x v="162"/>
    <x v="174"/>
    <x v="0"/>
    <n v="39"/>
    <s v="month"/>
    <x v="75"/>
    <n v="2"/>
  </r>
  <r>
    <n v="204121686"/>
    <x v="162"/>
    <x v="303"/>
    <x v="0"/>
    <n v="39"/>
    <s v="month"/>
    <x v="68"/>
    <n v="2"/>
  </r>
  <r>
    <n v="204114138"/>
    <x v="162"/>
    <x v="15"/>
    <x v="0"/>
    <n v="39"/>
    <s v="month"/>
    <x v="5"/>
    <n v="2"/>
  </r>
  <r>
    <n v="152197442"/>
    <x v="162"/>
    <x v="32"/>
    <x v="0"/>
    <n v="39"/>
    <s v="month"/>
    <x v="44"/>
    <n v="2"/>
  </r>
  <r>
    <n v="151695881"/>
    <x v="162"/>
    <x v="95"/>
    <x v="0"/>
    <n v="39"/>
    <s v="month"/>
    <x v="190"/>
    <n v="2"/>
  </r>
  <r>
    <n v="204378294"/>
    <x v="163"/>
    <x v="0"/>
    <x v="0"/>
    <n v="39"/>
    <s v="month"/>
    <x v="0"/>
    <n v="3"/>
  </r>
  <r>
    <n v="204376665"/>
    <x v="163"/>
    <x v="0"/>
    <x v="0"/>
    <n v="39"/>
    <s v="month"/>
    <x v="0"/>
    <n v="3"/>
  </r>
  <r>
    <n v="204270637"/>
    <x v="163"/>
    <x v="0"/>
    <x v="0"/>
    <n v="39"/>
    <s v="month"/>
    <x v="0"/>
    <n v="3"/>
  </r>
  <r>
    <n v="204380751"/>
    <x v="163"/>
    <x v="210"/>
    <x v="0"/>
    <n v="39"/>
    <s v="month"/>
    <x v="11"/>
    <n v="3"/>
  </r>
  <r>
    <n v="204402989"/>
    <x v="163"/>
    <x v="308"/>
    <x v="0"/>
    <n v="39"/>
    <s v="month"/>
    <x v="228"/>
    <n v="3"/>
  </r>
  <r>
    <n v="203403136"/>
    <x v="163"/>
    <x v="303"/>
    <x v="0"/>
    <n v="39"/>
    <s v="month"/>
    <x v="113"/>
    <n v="3"/>
  </r>
  <r>
    <n v="198453918"/>
    <x v="163"/>
    <x v="237"/>
    <x v="0"/>
    <n v="39"/>
    <s v="month"/>
    <x v="97"/>
    <n v="3"/>
  </r>
  <r>
    <n v="133514912"/>
    <x v="163"/>
    <x v="191"/>
    <x v="0"/>
    <n v="39"/>
    <s v="month"/>
    <x v="86"/>
    <n v="3"/>
  </r>
  <r>
    <n v="203414698"/>
    <x v="163"/>
    <x v="208"/>
    <x v="0"/>
    <n v="39"/>
    <s v="month"/>
    <x v="57"/>
    <n v="3"/>
  </r>
  <r>
    <n v="190400854"/>
    <x v="163"/>
    <x v="240"/>
    <x v="0"/>
    <n v="39"/>
    <s v="month"/>
    <x v="32"/>
    <n v="3"/>
  </r>
  <r>
    <n v="204114797"/>
    <x v="163"/>
    <x v="180"/>
    <x v="0"/>
    <n v="39"/>
    <s v="month"/>
    <x v="121"/>
    <n v="3"/>
  </r>
  <r>
    <n v="202377942"/>
    <x v="164"/>
    <x v="0"/>
    <x v="0"/>
    <n v="39"/>
    <s v="month"/>
    <x v="0"/>
    <n v="4"/>
  </r>
  <r>
    <n v="204555612"/>
    <x v="164"/>
    <x v="59"/>
    <x v="1"/>
    <n v="39"/>
    <s v="month"/>
    <x v="11"/>
    <n v="4"/>
  </r>
  <r>
    <n v="204556376"/>
    <x v="164"/>
    <x v="59"/>
    <x v="1"/>
    <n v="39"/>
    <s v="month"/>
    <x v="11"/>
    <n v="4"/>
  </r>
  <r>
    <n v="204515997"/>
    <x v="164"/>
    <x v="69"/>
    <x v="0"/>
    <n v="39"/>
    <s v="month"/>
    <x v="68"/>
    <n v="4"/>
  </r>
  <r>
    <n v="153342734"/>
    <x v="164"/>
    <x v="223"/>
    <x v="0"/>
    <n v="39"/>
    <s v="month"/>
    <x v="167"/>
    <n v="4"/>
  </r>
  <r>
    <n v="204650391"/>
    <x v="165"/>
    <x v="0"/>
    <x v="0"/>
    <n v="39"/>
    <s v="month"/>
    <x v="0"/>
    <n v="5"/>
  </r>
  <r>
    <n v="150906486"/>
    <x v="165"/>
    <x v="137"/>
    <x v="0"/>
    <n v="39"/>
    <s v="month"/>
    <x v="72"/>
    <n v="5"/>
  </r>
  <r>
    <n v="153961940"/>
    <x v="165"/>
    <x v="165"/>
    <x v="0"/>
    <n v="39"/>
    <s v="month"/>
    <x v="11"/>
    <n v="5"/>
  </r>
  <r>
    <n v="154175766"/>
    <x v="165"/>
    <x v="142"/>
    <x v="0"/>
    <n v="39"/>
    <s v="month"/>
    <x v="62"/>
    <n v="5"/>
  </r>
  <r>
    <n v="204631298"/>
    <x v="165"/>
    <x v="299"/>
    <x v="0"/>
    <n v="39"/>
    <s v="month"/>
    <x v="8"/>
    <n v="5"/>
  </r>
  <r>
    <n v="195534585"/>
    <x v="165"/>
    <x v="122"/>
    <x v="0"/>
    <n v="39"/>
    <s v="month"/>
    <x v="110"/>
    <n v="5"/>
  </r>
  <r>
    <n v="176421166"/>
    <x v="165"/>
    <x v="122"/>
    <x v="0"/>
    <n v="39"/>
    <s v="month"/>
    <x v="110"/>
    <n v="5"/>
  </r>
  <r>
    <n v="204679416"/>
    <x v="165"/>
    <x v="137"/>
    <x v="0"/>
    <n v="39"/>
    <s v="month"/>
    <x v="72"/>
    <n v="5"/>
  </r>
  <r>
    <n v="204448721"/>
    <x v="165"/>
    <x v="198"/>
    <x v="0"/>
    <n v="39"/>
    <s v="month"/>
    <x v="208"/>
    <n v="5"/>
  </r>
  <r>
    <n v="151908347"/>
    <x v="165"/>
    <x v="180"/>
    <x v="0"/>
    <n v="39"/>
    <s v="month"/>
    <x v="131"/>
    <n v="5"/>
  </r>
  <r>
    <n v="150652956"/>
    <x v="166"/>
    <x v="198"/>
    <x v="0"/>
    <n v="39"/>
    <s v="month"/>
    <x v="1"/>
    <n v="6"/>
  </r>
  <r>
    <n v="183321644"/>
    <x v="166"/>
    <x v="280"/>
    <x v="1"/>
    <n v="39"/>
    <s v="month"/>
    <x v="11"/>
    <n v="6"/>
  </r>
  <r>
    <n v="204740476"/>
    <x v="166"/>
    <x v="218"/>
    <x v="1"/>
    <n v="39"/>
    <s v="month"/>
    <x v="9"/>
    <n v="6"/>
  </r>
  <r>
    <n v="204439086"/>
    <x v="166"/>
    <x v="291"/>
    <x v="0"/>
    <n v="39"/>
    <s v="month"/>
    <x v="68"/>
    <n v="6"/>
  </r>
  <r>
    <n v="204685109"/>
    <x v="166"/>
    <x v="309"/>
    <x v="0"/>
    <n v="39"/>
    <s v="month"/>
    <x v="137"/>
    <n v="6"/>
  </r>
  <r>
    <n v="175211528"/>
    <x v="166"/>
    <x v="184"/>
    <x v="0"/>
    <n v="39"/>
    <s v="month"/>
    <x v="230"/>
    <n v="6"/>
  </r>
  <r>
    <n v="204646698"/>
    <x v="166"/>
    <x v="280"/>
    <x v="0"/>
    <n v="39"/>
    <s v="month"/>
    <x v="11"/>
    <n v="6"/>
  </r>
  <r>
    <n v="204728203"/>
    <x v="166"/>
    <x v="310"/>
    <x v="0"/>
    <n v="39"/>
    <s v="month"/>
    <x v="231"/>
    <n v="6"/>
  </r>
  <r>
    <n v="166674547"/>
    <x v="166"/>
    <x v="311"/>
    <x v="0"/>
    <n v="39"/>
    <s v="month"/>
    <x v="136"/>
    <n v="6"/>
  </r>
  <r>
    <n v="202459470"/>
    <x v="167"/>
    <x v="0"/>
    <x v="0"/>
    <n v="39"/>
    <s v="month"/>
    <x v="0"/>
    <n v="7"/>
  </r>
  <r>
    <n v="155508761"/>
    <x v="167"/>
    <x v="0"/>
    <x v="0"/>
    <n v="39"/>
    <s v="month"/>
    <x v="0"/>
    <n v="7"/>
  </r>
  <r>
    <n v="168484421"/>
    <x v="167"/>
    <x v="198"/>
    <x v="1"/>
    <n v="39"/>
    <s v="month"/>
    <x v="11"/>
    <n v="7"/>
  </r>
  <r>
    <n v="130864124"/>
    <x v="167"/>
    <x v="26"/>
    <x v="0"/>
    <n v="39"/>
    <s v="month"/>
    <x v="1"/>
    <n v="7"/>
  </r>
  <r>
    <n v="204752959"/>
    <x v="167"/>
    <x v="312"/>
    <x v="0"/>
    <n v="39"/>
    <s v="month"/>
    <x v="145"/>
    <n v="7"/>
  </r>
  <r>
    <n v="204761235"/>
    <x v="167"/>
    <x v="258"/>
    <x v="0"/>
    <n v="39"/>
    <s v="month"/>
    <x v="138"/>
    <n v="7"/>
  </r>
  <r>
    <n v="159142615"/>
    <x v="167"/>
    <x v="178"/>
    <x v="0"/>
    <n v="39"/>
    <s v="month"/>
    <x v="106"/>
    <n v="7"/>
  </r>
  <r>
    <n v="204753316"/>
    <x v="167"/>
    <x v="120"/>
    <x v="0"/>
    <n v="39"/>
    <s v="month"/>
    <x v="167"/>
    <n v="7"/>
  </r>
  <r>
    <n v="195188483"/>
    <x v="168"/>
    <x v="0"/>
    <x v="0"/>
    <n v="39"/>
    <s v="month"/>
    <x v="0"/>
    <n v="1"/>
  </r>
  <r>
    <n v="204773056"/>
    <x v="168"/>
    <x v="0"/>
    <x v="0"/>
    <n v="39"/>
    <s v="month"/>
    <x v="0"/>
    <n v="1"/>
  </r>
  <r>
    <n v="204814698"/>
    <x v="168"/>
    <x v="313"/>
    <x v="0"/>
    <n v="39"/>
    <s v="month"/>
    <x v="202"/>
    <n v="1"/>
  </r>
  <r>
    <n v="204732463"/>
    <x v="168"/>
    <x v="303"/>
    <x v="0"/>
    <n v="39"/>
    <s v="month"/>
    <x v="91"/>
    <n v="1"/>
  </r>
  <r>
    <n v="204772360"/>
    <x v="168"/>
    <x v="256"/>
    <x v="0"/>
    <n v="39"/>
    <s v="month"/>
    <x v="27"/>
    <n v="1"/>
  </r>
  <r>
    <n v="204812582"/>
    <x v="168"/>
    <x v="114"/>
    <x v="0"/>
    <n v="39"/>
    <s v="month"/>
    <x v="155"/>
    <n v="1"/>
  </r>
  <r>
    <n v="204662556"/>
    <x v="168"/>
    <x v="146"/>
    <x v="0"/>
    <n v="39"/>
    <s v="month"/>
    <x v="190"/>
    <n v="1"/>
  </r>
  <r>
    <n v="163781430"/>
    <x v="168"/>
    <x v="287"/>
    <x v="0"/>
    <n v="39"/>
    <s v="month"/>
    <x v="177"/>
    <n v="1"/>
  </r>
  <r>
    <n v="143963064"/>
    <x v="168"/>
    <x v="314"/>
    <x v="0"/>
    <n v="39"/>
    <s v="month"/>
    <x v="128"/>
    <n v="1"/>
  </r>
  <r>
    <n v="204797166"/>
    <x v="168"/>
    <x v="70"/>
    <x v="0"/>
    <n v="39"/>
    <s v="month"/>
    <x v="134"/>
    <n v="1"/>
  </r>
  <r>
    <n v="204774421"/>
    <x v="168"/>
    <x v="218"/>
    <x v="0"/>
    <n v="39"/>
    <s v="month"/>
    <x v="182"/>
    <n v="1"/>
  </r>
  <r>
    <n v="204801675"/>
    <x v="168"/>
    <x v="223"/>
    <x v="0"/>
    <n v="39"/>
    <s v="month"/>
    <x v="28"/>
    <n v="1"/>
  </r>
  <r>
    <n v="204518099"/>
    <x v="168"/>
    <x v="202"/>
    <x v="0"/>
    <n v="39"/>
    <s v="month"/>
    <x v="225"/>
    <n v="1"/>
  </r>
  <r>
    <n v="204814320"/>
    <x v="169"/>
    <x v="0"/>
    <x v="0"/>
    <n v="39"/>
    <s v="month"/>
    <x v="0"/>
    <n v="2"/>
  </r>
  <r>
    <n v="126851221"/>
    <x v="169"/>
    <x v="0"/>
    <x v="0"/>
    <n v="39"/>
    <s v="month"/>
    <x v="0"/>
    <n v="2"/>
  </r>
  <r>
    <n v="204845935"/>
    <x v="169"/>
    <x v="0"/>
    <x v="0"/>
    <n v="39"/>
    <s v="month"/>
    <x v="0"/>
    <n v="2"/>
  </r>
  <r>
    <n v="122215146"/>
    <x v="169"/>
    <x v="56"/>
    <x v="0"/>
    <n v="39"/>
    <s v="month"/>
    <x v="1"/>
    <n v="2"/>
  </r>
  <r>
    <n v="147300748"/>
    <x v="169"/>
    <x v="315"/>
    <x v="0"/>
    <n v="39"/>
    <s v="month"/>
    <x v="164"/>
    <n v="2"/>
  </r>
  <r>
    <n v="162596645"/>
    <x v="169"/>
    <x v="99"/>
    <x v="0"/>
    <n v="39"/>
    <s v="month"/>
    <x v="154"/>
    <n v="2"/>
  </r>
  <r>
    <n v="177666771"/>
    <x v="169"/>
    <x v="303"/>
    <x v="0"/>
    <n v="39"/>
    <s v="month"/>
    <x v="158"/>
    <n v="2"/>
  </r>
  <r>
    <n v="204884248"/>
    <x v="169"/>
    <x v="101"/>
    <x v="0"/>
    <n v="39"/>
    <s v="month"/>
    <x v="114"/>
    <n v="2"/>
  </r>
  <r>
    <n v="204826054"/>
    <x v="169"/>
    <x v="285"/>
    <x v="0"/>
    <n v="39"/>
    <s v="month"/>
    <x v="181"/>
    <n v="2"/>
  </r>
  <r>
    <n v="145096572"/>
    <x v="169"/>
    <x v="218"/>
    <x v="0"/>
    <n v="39"/>
    <s v="month"/>
    <x v="2"/>
    <n v="2"/>
  </r>
  <r>
    <n v="158472404"/>
    <x v="169"/>
    <x v="276"/>
    <x v="0"/>
    <n v="39"/>
    <s v="month"/>
    <x v="23"/>
    <n v="2"/>
  </r>
  <r>
    <n v="204907118"/>
    <x v="169"/>
    <x v="17"/>
    <x v="0"/>
    <n v="39"/>
    <s v="month"/>
    <x v="78"/>
    <n v="2"/>
  </r>
  <r>
    <n v="204602410"/>
    <x v="169"/>
    <x v="253"/>
    <x v="0"/>
    <n v="39"/>
    <s v="month"/>
    <x v="44"/>
    <n v="2"/>
  </r>
  <r>
    <n v="204853460"/>
    <x v="169"/>
    <x v="265"/>
    <x v="0"/>
    <n v="39"/>
    <s v="month"/>
    <x v="128"/>
    <n v="2"/>
  </r>
  <r>
    <n v="194310997"/>
    <x v="169"/>
    <x v="316"/>
    <x v="0"/>
    <n v="39"/>
    <s v="month"/>
    <x v="232"/>
    <n v="2"/>
  </r>
  <r>
    <n v="204902258"/>
    <x v="170"/>
    <x v="0"/>
    <x v="0"/>
    <n v="39"/>
    <s v="month"/>
    <x v="0"/>
    <n v="3"/>
  </r>
  <r>
    <n v="162865034"/>
    <x v="170"/>
    <x v="125"/>
    <x v="0"/>
    <n v="39"/>
    <s v="month"/>
    <x v="167"/>
    <n v="3"/>
  </r>
  <r>
    <n v="204467695"/>
    <x v="170"/>
    <x v="96"/>
    <x v="0"/>
    <n v="39"/>
    <s v="month"/>
    <x v="148"/>
    <n v="3"/>
  </r>
  <r>
    <n v="204774193"/>
    <x v="170"/>
    <x v="159"/>
    <x v="0"/>
    <n v="39"/>
    <s v="month"/>
    <x v="12"/>
    <n v="3"/>
  </r>
  <r>
    <n v="189046085"/>
    <x v="170"/>
    <x v="317"/>
    <x v="0"/>
    <n v="39"/>
    <s v="month"/>
    <x v="5"/>
    <n v="3"/>
  </r>
  <r>
    <n v="188082436"/>
    <x v="170"/>
    <x v="156"/>
    <x v="0"/>
    <n v="39"/>
    <s v="month"/>
    <x v="190"/>
    <n v="3"/>
  </r>
  <r>
    <n v="204947361"/>
    <x v="170"/>
    <x v="22"/>
    <x v="0"/>
    <n v="39"/>
    <s v="month"/>
    <x v="102"/>
    <n v="3"/>
  </r>
  <r>
    <n v="158852962"/>
    <x v="170"/>
    <x v="122"/>
    <x v="0"/>
    <n v="39"/>
    <s v="month"/>
    <x v="55"/>
    <n v="3"/>
  </r>
  <r>
    <n v="204742960"/>
    <x v="170"/>
    <x v="70"/>
    <x v="0"/>
    <n v="39"/>
    <s v="month"/>
    <x v="214"/>
    <n v="3"/>
  </r>
  <r>
    <n v="204726042"/>
    <x v="170"/>
    <x v="137"/>
    <x v="0"/>
    <n v="39"/>
    <s v="month"/>
    <x v="15"/>
    <n v="3"/>
  </r>
  <r>
    <n v="204997225"/>
    <x v="171"/>
    <x v="0"/>
    <x v="0"/>
    <n v="39"/>
    <s v="month"/>
    <x v="0"/>
    <n v="4"/>
  </r>
  <r>
    <n v="126103612"/>
    <x v="171"/>
    <x v="0"/>
    <x v="0"/>
    <n v="39"/>
    <s v="month"/>
    <x v="0"/>
    <n v="4"/>
  </r>
  <r>
    <n v="204934860"/>
    <x v="171"/>
    <x v="184"/>
    <x v="1"/>
    <n v="39"/>
    <s v="month"/>
    <x v="1"/>
    <n v="4"/>
  </r>
  <r>
    <n v="197086298"/>
    <x v="171"/>
    <x v="101"/>
    <x v="0"/>
    <n v="39"/>
    <s v="month"/>
    <x v="88"/>
    <n v="4"/>
  </r>
  <r>
    <n v="204732760"/>
    <x v="171"/>
    <x v="141"/>
    <x v="0"/>
    <n v="39"/>
    <s v="month"/>
    <x v="27"/>
    <n v="4"/>
  </r>
  <r>
    <n v="204985175"/>
    <x v="171"/>
    <x v="257"/>
    <x v="0"/>
    <n v="39"/>
    <s v="month"/>
    <x v="43"/>
    <n v="4"/>
  </r>
  <r>
    <n v="189387698"/>
    <x v="171"/>
    <x v="114"/>
    <x v="0"/>
    <n v="39"/>
    <s v="month"/>
    <x v="34"/>
    <n v="4"/>
  </r>
  <r>
    <n v="144160302"/>
    <x v="171"/>
    <x v="128"/>
    <x v="0"/>
    <n v="39"/>
    <s v="month"/>
    <x v="102"/>
    <n v="4"/>
  </r>
  <r>
    <n v="195774465"/>
    <x v="171"/>
    <x v="263"/>
    <x v="0"/>
    <n v="39"/>
    <s v="month"/>
    <x v="177"/>
    <n v="4"/>
  </r>
  <r>
    <n v="204890622"/>
    <x v="171"/>
    <x v="259"/>
    <x v="0"/>
    <n v="39"/>
    <s v="month"/>
    <x v="15"/>
    <n v="4"/>
  </r>
  <r>
    <n v="204206841"/>
    <x v="171"/>
    <x v="278"/>
    <x v="0"/>
    <n v="39"/>
    <s v="month"/>
    <x v="10"/>
    <n v="4"/>
  </r>
  <r>
    <n v="204955216"/>
    <x v="171"/>
    <x v="253"/>
    <x v="0"/>
    <n v="39"/>
    <s v="month"/>
    <x v="20"/>
    <n v="4"/>
  </r>
  <r>
    <n v="204992891"/>
    <x v="171"/>
    <x v="204"/>
    <x v="0"/>
    <n v="39"/>
    <s v="month"/>
    <x v="112"/>
    <n v="4"/>
  </r>
  <r>
    <n v="139152786"/>
    <x v="172"/>
    <x v="0"/>
    <x v="0"/>
    <n v="39"/>
    <s v="month"/>
    <x v="0"/>
    <n v="5"/>
  </r>
  <r>
    <n v="204753108"/>
    <x v="172"/>
    <x v="0"/>
    <x v="0"/>
    <n v="39"/>
    <s v="month"/>
    <x v="0"/>
    <n v="5"/>
  </r>
  <r>
    <n v="136703646"/>
    <x v="172"/>
    <x v="114"/>
    <x v="0"/>
    <n v="39"/>
    <s v="month"/>
    <x v="102"/>
    <n v="5"/>
  </r>
  <r>
    <n v="204294672"/>
    <x v="172"/>
    <x v="285"/>
    <x v="0"/>
    <n v="39"/>
    <s v="month"/>
    <x v="66"/>
    <n v="5"/>
  </r>
  <r>
    <n v="189505981"/>
    <x v="172"/>
    <x v="300"/>
    <x v="0"/>
    <n v="39"/>
    <s v="month"/>
    <x v="177"/>
    <n v="5"/>
  </r>
  <r>
    <n v="115899168"/>
    <x v="172"/>
    <x v="145"/>
    <x v="0"/>
    <n v="39"/>
    <s v="month"/>
    <x v="179"/>
    <n v="5"/>
  </r>
  <r>
    <n v="200117920"/>
    <x v="172"/>
    <x v="223"/>
    <x v="0"/>
    <n v="39"/>
    <s v="month"/>
    <x v="62"/>
    <n v="5"/>
  </r>
  <r>
    <n v="205057455"/>
    <x v="172"/>
    <x v="208"/>
    <x v="0"/>
    <n v="39"/>
    <s v="month"/>
    <x v="28"/>
    <n v="5"/>
  </r>
  <r>
    <n v="205028691"/>
    <x v="172"/>
    <x v="276"/>
    <x v="0"/>
    <n v="39"/>
    <s v="month"/>
    <x v="134"/>
    <n v="5"/>
  </r>
  <r>
    <n v="204857146"/>
    <x v="172"/>
    <x v="276"/>
    <x v="0"/>
    <n v="39"/>
    <s v="month"/>
    <x v="134"/>
    <n v="5"/>
  </r>
  <r>
    <n v="134131772"/>
    <x v="173"/>
    <x v="291"/>
    <x v="0"/>
    <n v="39"/>
    <s v="month"/>
    <x v="158"/>
    <n v="6"/>
  </r>
  <r>
    <n v="148942254"/>
    <x v="173"/>
    <x v="186"/>
    <x v="0"/>
    <n v="39"/>
    <s v="month"/>
    <x v="133"/>
    <n v="6"/>
  </r>
  <r>
    <n v="204512235"/>
    <x v="173"/>
    <x v="291"/>
    <x v="0"/>
    <n v="39"/>
    <s v="month"/>
    <x v="158"/>
    <n v="6"/>
  </r>
  <r>
    <n v="204977028"/>
    <x v="173"/>
    <x v="251"/>
    <x v="0"/>
    <n v="39"/>
    <s v="month"/>
    <x v="177"/>
    <n v="6"/>
  </r>
  <r>
    <n v="205122220"/>
    <x v="173"/>
    <x v="257"/>
    <x v="0"/>
    <n v="39"/>
    <s v="month"/>
    <x v="122"/>
    <n v="6"/>
  </r>
  <r>
    <n v="179578904"/>
    <x v="173"/>
    <x v="256"/>
    <x v="0"/>
    <n v="39"/>
    <s v="month"/>
    <x v="95"/>
    <n v="6"/>
  </r>
  <r>
    <n v="205120086"/>
    <x v="173"/>
    <x v="156"/>
    <x v="0"/>
    <n v="39"/>
    <s v="month"/>
    <x v="179"/>
    <n v="6"/>
  </r>
  <r>
    <n v="158097854"/>
    <x v="173"/>
    <x v="292"/>
    <x v="0"/>
    <n v="39"/>
    <s v="month"/>
    <x v="36"/>
    <n v="6"/>
  </r>
  <r>
    <n v="204760569"/>
    <x v="173"/>
    <x v="142"/>
    <x v="0"/>
    <n v="39"/>
    <s v="month"/>
    <x v="184"/>
    <n v="6"/>
  </r>
  <r>
    <n v="204982432"/>
    <x v="173"/>
    <x v="189"/>
    <x v="0"/>
    <n v="39"/>
    <s v="month"/>
    <x v="167"/>
    <n v="6"/>
  </r>
  <r>
    <n v="158351648"/>
    <x v="173"/>
    <x v="318"/>
    <x v="0"/>
    <n v="39"/>
    <s v="month"/>
    <x v="29"/>
    <n v="6"/>
  </r>
  <r>
    <n v="195325206"/>
    <x v="174"/>
    <x v="0"/>
    <x v="0"/>
    <n v="39"/>
    <s v="month"/>
    <x v="0"/>
    <n v="7"/>
  </r>
  <r>
    <n v="205102955"/>
    <x v="174"/>
    <x v="0"/>
    <x v="0"/>
    <n v="39"/>
    <s v="month"/>
    <x v="0"/>
    <n v="7"/>
  </r>
  <r>
    <n v="188092110"/>
    <x v="174"/>
    <x v="319"/>
    <x v="0"/>
    <n v="39"/>
    <s v="month"/>
    <x v="102"/>
    <n v="7"/>
  </r>
  <r>
    <n v="147615998"/>
    <x v="174"/>
    <x v="23"/>
    <x v="0"/>
    <n v="39"/>
    <s v="month"/>
    <x v="43"/>
    <n v="7"/>
  </r>
  <r>
    <n v="164751472"/>
    <x v="174"/>
    <x v="23"/>
    <x v="0"/>
    <n v="39"/>
    <s v="month"/>
    <x v="43"/>
    <n v="7"/>
  </r>
  <r>
    <n v="205215538"/>
    <x v="174"/>
    <x v="161"/>
    <x v="0"/>
    <n v="39"/>
    <s v="month"/>
    <x v="225"/>
    <n v="7"/>
  </r>
  <r>
    <n v="162962849"/>
    <x v="175"/>
    <x v="320"/>
    <x v="0"/>
    <n v="39"/>
    <s v="month"/>
    <x v="39"/>
    <n v="1"/>
  </r>
  <r>
    <n v="154229833"/>
    <x v="175"/>
    <x v="218"/>
    <x v="0"/>
    <n v="39"/>
    <s v="month"/>
    <x v="178"/>
    <n v="1"/>
  </r>
  <r>
    <n v="205338718"/>
    <x v="175"/>
    <x v="95"/>
    <x v="0"/>
    <n v="39"/>
    <s v="month"/>
    <x v="72"/>
    <n v="1"/>
  </r>
  <r>
    <n v="180798046"/>
    <x v="176"/>
    <x v="0"/>
    <x v="0"/>
    <n v="39"/>
    <s v="month"/>
    <x v="0"/>
    <n v="2"/>
  </r>
  <r>
    <n v="135298992"/>
    <x v="176"/>
    <x v="277"/>
    <x v="0"/>
    <n v="39"/>
    <s v="month"/>
    <x v="40"/>
    <n v="2"/>
  </r>
  <r>
    <n v="153141802"/>
    <x v="176"/>
    <x v="127"/>
    <x v="0"/>
    <n v="39"/>
    <s v="month"/>
    <x v="126"/>
    <n v="2"/>
  </r>
  <r>
    <n v="189149014"/>
    <x v="176"/>
    <x v="177"/>
    <x v="0"/>
    <n v="39"/>
    <s v="month"/>
    <x v="91"/>
    <n v="2"/>
  </r>
  <r>
    <n v="180438277"/>
    <x v="176"/>
    <x v="171"/>
    <x v="0"/>
    <n v="39"/>
    <s v="month"/>
    <x v="18"/>
    <n v="2"/>
  </r>
  <r>
    <n v="205471532"/>
    <x v="176"/>
    <x v="228"/>
    <x v="0"/>
    <n v="39"/>
    <s v="month"/>
    <x v="26"/>
    <n v="2"/>
  </r>
  <r>
    <n v="188065488"/>
    <x v="176"/>
    <x v="152"/>
    <x v="0"/>
    <n v="39"/>
    <s v="month"/>
    <x v="110"/>
    <n v="2"/>
  </r>
  <r>
    <n v="205387672"/>
    <x v="176"/>
    <x v="319"/>
    <x v="0"/>
    <n v="39"/>
    <s v="month"/>
    <x v="80"/>
    <n v="2"/>
  </r>
  <r>
    <n v="196251908"/>
    <x v="176"/>
    <x v="188"/>
    <x v="0"/>
    <n v="39"/>
    <s v="month"/>
    <x v="11"/>
    <n v="2"/>
  </r>
  <r>
    <n v="157884031"/>
    <x v="176"/>
    <x v="292"/>
    <x v="0"/>
    <n v="39"/>
    <s v="month"/>
    <x v="28"/>
    <n v="2"/>
  </r>
  <r>
    <n v="204571386"/>
    <x v="176"/>
    <x v="78"/>
    <x v="0"/>
    <n v="39"/>
    <s v="month"/>
    <x v="15"/>
    <n v="2"/>
  </r>
  <r>
    <n v="162909529"/>
    <x v="176"/>
    <x v="222"/>
    <x v="0"/>
    <n v="39"/>
    <s v="month"/>
    <x v="233"/>
    <n v="2"/>
  </r>
  <r>
    <n v="152043244"/>
    <x v="177"/>
    <x v="0"/>
    <x v="0"/>
    <n v="39"/>
    <s v="month"/>
    <x v="0"/>
    <n v="3"/>
  </r>
  <r>
    <n v="204567111"/>
    <x v="177"/>
    <x v="0"/>
    <x v="0"/>
    <n v="39"/>
    <s v="month"/>
    <x v="0"/>
    <n v="3"/>
  </r>
  <r>
    <n v="205487880"/>
    <x v="177"/>
    <x v="0"/>
    <x v="0"/>
    <n v="39"/>
    <s v="month"/>
    <x v="0"/>
    <n v="3"/>
  </r>
  <r>
    <n v="205489808"/>
    <x v="177"/>
    <x v="0"/>
    <x v="0"/>
    <n v="39"/>
    <s v="month"/>
    <x v="0"/>
    <n v="3"/>
  </r>
  <r>
    <n v="125828506"/>
    <x v="177"/>
    <x v="50"/>
    <x v="0"/>
    <n v="39"/>
    <s v="month"/>
    <x v="1"/>
    <n v="3"/>
  </r>
  <r>
    <n v="154701159"/>
    <x v="177"/>
    <x v="95"/>
    <x v="0"/>
    <n v="39"/>
    <s v="month"/>
    <x v="62"/>
    <n v="3"/>
  </r>
  <r>
    <n v="204865394"/>
    <x v="177"/>
    <x v="156"/>
    <x v="0"/>
    <n v="39"/>
    <s v="month"/>
    <x v="167"/>
    <n v="3"/>
  </r>
  <r>
    <n v="205044276"/>
    <x v="177"/>
    <x v="228"/>
    <x v="0"/>
    <n v="39"/>
    <s v="month"/>
    <x v="27"/>
    <n v="3"/>
  </r>
  <r>
    <n v="194873337"/>
    <x v="177"/>
    <x v="256"/>
    <x v="0"/>
    <n v="39"/>
    <s v="month"/>
    <x v="78"/>
    <n v="3"/>
  </r>
  <r>
    <n v="205492734"/>
    <x v="177"/>
    <x v="223"/>
    <x v="0"/>
    <n v="39"/>
    <s v="month"/>
    <x v="2"/>
    <n v="3"/>
  </r>
  <r>
    <n v="205548739"/>
    <x v="178"/>
    <x v="0"/>
    <x v="0"/>
    <n v="39"/>
    <s v="month"/>
    <x v="0"/>
    <n v="4"/>
  </r>
  <r>
    <n v="202228372"/>
    <x v="178"/>
    <x v="0"/>
    <x v="0"/>
    <n v="39"/>
    <s v="month"/>
    <x v="0"/>
    <n v="4"/>
  </r>
  <r>
    <n v="205034931"/>
    <x v="178"/>
    <x v="161"/>
    <x v="1"/>
    <n v="39"/>
    <s v="month"/>
    <x v="1"/>
    <n v="4"/>
  </r>
  <r>
    <n v="205129178"/>
    <x v="178"/>
    <x v="173"/>
    <x v="0"/>
    <n v="39"/>
    <s v="month"/>
    <x v="158"/>
    <n v="4"/>
  </r>
  <r>
    <n v="160114911"/>
    <x v="178"/>
    <x v="239"/>
    <x v="0"/>
    <n v="39"/>
    <s v="month"/>
    <x v="87"/>
    <n v="4"/>
  </r>
  <r>
    <n v="168200039"/>
    <x v="178"/>
    <x v="239"/>
    <x v="0"/>
    <n v="39"/>
    <s v="month"/>
    <x v="87"/>
    <n v="4"/>
  </r>
  <r>
    <n v="190622411"/>
    <x v="178"/>
    <x v="156"/>
    <x v="0"/>
    <n v="39"/>
    <s v="month"/>
    <x v="36"/>
    <n v="4"/>
  </r>
  <r>
    <n v="204528713"/>
    <x v="178"/>
    <x v="256"/>
    <x v="0"/>
    <n v="39"/>
    <s v="month"/>
    <x v="122"/>
    <n v="4"/>
  </r>
  <r>
    <n v="205573796"/>
    <x v="178"/>
    <x v="257"/>
    <x v="0"/>
    <n v="39"/>
    <s v="month"/>
    <x v="102"/>
    <n v="4"/>
  </r>
  <r>
    <n v="182009986"/>
    <x v="178"/>
    <x v="231"/>
    <x v="0"/>
    <n v="39"/>
    <s v="month"/>
    <x v="44"/>
    <n v="4"/>
  </r>
  <r>
    <n v="205606022"/>
    <x v="178"/>
    <x v="233"/>
    <x v="0"/>
    <n v="39"/>
    <s v="month"/>
    <x v="40"/>
    <n v="4"/>
  </r>
  <r>
    <n v="205580089"/>
    <x v="178"/>
    <x v="292"/>
    <x v="0"/>
    <n v="39"/>
    <s v="month"/>
    <x v="72"/>
    <n v="4"/>
  </r>
  <r>
    <n v="192949504"/>
    <x v="178"/>
    <x v="125"/>
    <x v="0"/>
    <n v="39"/>
    <s v="month"/>
    <x v="62"/>
    <n v="4"/>
  </r>
  <r>
    <n v="205658636"/>
    <x v="179"/>
    <x v="0"/>
    <x v="0"/>
    <n v="39"/>
    <s v="month"/>
    <x v="0"/>
    <n v="5"/>
  </r>
  <r>
    <n v="205615727"/>
    <x v="179"/>
    <x v="321"/>
    <x v="0"/>
    <n v="39"/>
    <s v="month"/>
    <x v="101"/>
    <n v="5"/>
  </r>
  <r>
    <n v="205448424"/>
    <x v="179"/>
    <x v="159"/>
    <x v="0"/>
    <n v="39"/>
    <s v="month"/>
    <x v="75"/>
    <n v="5"/>
  </r>
  <r>
    <n v="196009696"/>
    <x v="179"/>
    <x v="101"/>
    <x v="0"/>
    <n v="39"/>
    <s v="month"/>
    <x v="94"/>
    <n v="5"/>
  </r>
  <r>
    <n v="205026372"/>
    <x v="179"/>
    <x v="101"/>
    <x v="0"/>
    <n v="39"/>
    <s v="month"/>
    <x v="94"/>
    <n v="5"/>
  </r>
  <r>
    <n v="167165752"/>
    <x v="179"/>
    <x v="159"/>
    <x v="0"/>
    <n v="39"/>
    <s v="month"/>
    <x v="75"/>
    <n v="5"/>
  </r>
  <r>
    <n v="205664425"/>
    <x v="179"/>
    <x v="152"/>
    <x v="0"/>
    <n v="39"/>
    <s v="month"/>
    <x v="7"/>
    <n v="5"/>
  </r>
  <r>
    <n v="199179611"/>
    <x v="179"/>
    <x v="275"/>
    <x v="0"/>
    <n v="39"/>
    <s v="month"/>
    <x v="55"/>
    <n v="5"/>
  </r>
  <r>
    <n v="205660933"/>
    <x v="179"/>
    <x v="146"/>
    <x v="0"/>
    <n v="39"/>
    <s v="month"/>
    <x v="28"/>
    <n v="5"/>
  </r>
  <r>
    <n v="205660195"/>
    <x v="179"/>
    <x v="145"/>
    <x v="0"/>
    <n v="39"/>
    <s v="month"/>
    <x v="50"/>
    <n v="5"/>
  </r>
  <r>
    <n v="168598418"/>
    <x v="179"/>
    <x v="248"/>
    <x v="0"/>
    <n v="39"/>
    <s v="month"/>
    <x v="187"/>
    <n v="5"/>
  </r>
  <r>
    <n v="161182367"/>
    <x v="179"/>
    <x v="319"/>
    <x v="0"/>
    <n v="39"/>
    <s v="month"/>
    <x v="87"/>
    <n v="5"/>
  </r>
  <r>
    <n v="156943008"/>
    <x v="179"/>
    <x v="161"/>
    <x v="0"/>
    <n v="39"/>
    <s v="month"/>
    <x v="11"/>
    <n v="5"/>
  </r>
  <r>
    <n v="190657026"/>
    <x v="179"/>
    <x v="231"/>
    <x v="0"/>
    <n v="39"/>
    <s v="month"/>
    <x v="62"/>
    <n v="5"/>
  </r>
  <r>
    <n v="205700946"/>
    <x v="180"/>
    <x v="0"/>
    <x v="0"/>
    <n v="39"/>
    <s v="month"/>
    <x v="0"/>
    <n v="6"/>
  </r>
  <r>
    <n v="165807144"/>
    <x v="180"/>
    <x v="0"/>
    <x v="0"/>
    <n v="39"/>
    <s v="month"/>
    <x v="0"/>
    <n v="6"/>
  </r>
  <r>
    <n v="125635419"/>
    <x v="180"/>
    <x v="250"/>
    <x v="0"/>
    <n v="39"/>
    <s v="month"/>
    <x v="1"/>
    <n v="6"/>
  </r>
  <r>
    <n v="205707486"/>
    <x v="180"/>
    <x v="250"/>
    <x v="1"/>
    <n v="39"/>
    <s v="month"/>
    <x v="1"/>
    <n v="6"/>
  </r>
  <r>
    <n v="150663700"/>
    <x v="180"/>
    <x v="250"/>
    <x v="1"/>
    <n v="39"/>
    <s v="month"/>
    <x v="1"/>
    <n v="6"/>
  </r>
  <r>
    <n v="149157588"/>
    <x v="180"/>
    <x v="15"/>
    <x v="0"/>
    <n v="39"/>
    <s v="month"/>
    <x v="39"/>
    <n v="6"/>
  </r>
  <r>
    <n v="205686881"/>
    <x v="180"/>
    <x v="157"/>
    <x v="0"/>
    <n v="39"/>
    <s v="month"/>
    <x v="106"/>
    <n v="6"/>
  </r>
  <r>
    <n v="138347540"/>
    <x v="180"/>
    <x v="4"/>
    <x v="0"/>
    <n v="39"/>
    <s v="month"/>
    <x v="177"/>
    <n v="6"/>
  </r>
  <r>
    <n v="154344817"/>
    <x v="180"/>
    <x v="289"/>
    <x v="0"/>
    <n v="39"/>
    <s v="month"/>
    <x v="122"/>
    <n v="6"/>
  </r>
  <r>
    <n v="205530810"/>
    <x v="180"/>
    <x v="17"/>
    <x v="0"/>
    <n v="39"/>
    <s v="month"/>
    <x v="87"/>
    <n v="6"/>
  </r>
  <r>
    <n v="205731473"/>
    <x v="180"/>
    <x v="277"/>
    <x v="0"/>
    <n v="39"/>
    <s v="month"/>
    <x v="178"/>
    <n v="6"/>
  </r>
  <r>
    <n v="205692510"/>
    <x v="181"/>
    <x v="0"/>
    <x v="0"/>
    <n v="39"/>
    <s v="month"/>
    <x v="0"/>
    <n v="7"/>
  </r>
  <r>
    <n v="191670525"/>
    <x v="181"/>
    <x v="82"/>
    <x v="0"/>
    <n v="39"/>
    <s v="month"/>
    <x v="88"/>
    <n v="7"/>
  </r>
  <r>
    <n v="205492489"/>
    <x v="181"/>
    <x v="322"/>
    <x v="0"/>
    <n v="39"/>
    <s v="month"/>
    <x v="39"/>
    <n v="7"/>
  </r>
  <r>
    <n v="205026942"/>
    <x v="181"/>
    <x v="243"/>
    <x v="0"/>
    <n v="39"/>
    <s v="month"/>
    <x v="94"/>
    <n v="7"/>
  </r>
  <r>
    <n v="205768824"/>
    <x v="181"/>
    <x v="16"/>
    <x v="0"/>
    <n v="39"/>
    <s v="month"/>
    <x v="44"/>
    <n v="7"/>
  </r>
  <r>
    <n v="160824884"/>
    <x v="181"/>
    <x v="146"/>
    <x v="0"/>
    <n v="39"/>
    <s v="month"/>
    <x v="72"/>
    <n v="7"/>
  </r>
  <r>
    <n v="205742224"/>
    <x v="181"/>
    <x v="250"/>
    <x v="0"/>
    <n v="39"/>
    <s v="month"/>
    <x v="11"/>
    <n v="7"/>
  </r>
  <r>
    <n v="205804144"/>
    <x v="182"/>
    <x v="321"/>
    <x v="0"/>
    <n v="39"/>
    <s v="month"/>
    <x v="91"/>
    <n v="1"/>
  </r>
  <r>
    <n v="205703512"/>
    <x v="182"/>
    <x v="323"/>
    <x v="0"/>
    <n v="39"/>
    <s v="month"/>
    <x v="93"/>
    <n v="1"/>
  </r>
  <r>
    <n v="131181843"/>
    <x v="182"/>
    <x v="281"/>
    <x v="0"/>
    <n v="39"/>
    <s v="month"/>
    <x v="11"/>
    <n v="1"/>
  </r>
  <r>
    <n v="205713052"/>
    <x v="183"/>
    <x v="0"/>
    <x v="0"/>
    <n v="39"/>
    <s v="month"/>
    <x v="0"/>
    <n v="2"/>
  </r>
  <r>
    <n v="138121122"/>
    <x v="183"/>
    <x v="0"/>
    <x v="0"/>
    <n v="39"/>
    <s v="month"/>
    <x v="0"/>
    <n v="2"/>
  </r>
  <r>
    <n v="191326286"/>
    <x v="183"/>
    <x v="0"/>
    <x v="0"/>
    <n v="39"/>
    <s v="month"/>
    <x v="0"/>
    <n v="2"/>
  </r>
  <r>
    <n v="178838732"/>
    <x v="183"/>
    <x v="0"/>
    <x v="0"/>
    <n v="39"/>
    <s v="month"/>
    <x v="0"/>
    <n v="2"/>
  </r>
  <r>
    <n v="205871342"/>
    <x v="183"/>
    <x v="0"/>
    <x v="0"/>
    <n v="39"/>
    <s v="month"/>
    <x v="0"/>
    <n v="2"/>
  </r>
  <r>
    <n v="202160641"/>
    <x v="183"/>
    <x v="304"/>
    <x v="0"/>
    <n v="39"/>
    <s v="month"/>
    <x v="53"/>
    <n v="2"/>
  </r>
  <r>
    <n v="205786362"/>
    <x v="183"/>
    <x v="324"/>
    <x v="0"/>
    <n v="39"/>
    <s v="month"/>
    <x v="18"/>
    <n v="2"/>
  </r>
  <r>
    <n v="159798906"/>
    <x v="183"/>
    <x v="114"/>
    <x v="0"/>
    <n v="39"/>
    <s v="month"/>
    <x v="50"/>
    <n v="2"/>
  </r>
  <r>
    <n v="166276152"/>
    <x v="183"/>
    <x v="145"/>
    <x v="0"/>
    <n v="39"/>
    <s v="month"/>
    <x v="44"/>
    <n v="2"/>
  </r>
  <r>
    <n v="156353738"/>
    <x v="183"/>
    <x v="32"/>
    <x v="0"/>
    <n v="39"/>
    <s v="month"/>
    <x v="42"/>
    <n v="2"/>
  </r>
  <r>
    <n v="205864612"/>
    <x v="183"/>
    <x v="259"/>
    <x v="0"/>
    <n v="39"/>
    <s v="month"/>
    <x v="71"/>
    <n v="2"/>
  </r>
  <r>
    <n v="142757196"/>
    <x v="184"/>
    <x v="325"/>
    <x v="0"/>
    <n v="39"/>
    <s v="month"/>
    <x v="121"/>
    <n v="3"/>
  </r>
  <r>
    <n v="205971108"/>
    <x v="184"/>
    <x v="311"/>
    <x v="0"/>
    <n v="39"/>
    <s v="month"/>
    <x v="133"/>
    <n v="3"/>
  </r>
  <r>
    <n v="206001231"/>
    <x v="184"/>
    <x v="285"/>
    <x v="0"/>
    <n v="39"/>
    <s v="month"/>
    <x v="93"/>
    <n v="3"/>
  </r>
  <r>
    <n v="205878686"/>
    <x v="184"/>
    <x v="191"/>
    <x v="0"/>
    <n v="39"/>
    <s v="month"/>
    <x v="11"/>
    <n v="3"/>
  </r>
  <r>
    <n v="206052140"/>
    <x v="185"/>
    <x v="0"/>
    <x v="0"/>
    <n v="39"/>
    <s v="month"/>
    <x v="0"/>
    <n v="4"/>
  </r>
  <r>
    <n v="154082747"/>
    <x v="185"/>
    <x v="162"/>
    <x v="0"/>
    <n v="39"/>
    <s v="month"/>
    <x v="1"/>
    <n v="4"/>
  </r>
  <r>
    <n v="206017161"/>
    <x v="185"/>
    <x v="162"/>
    <x v="1"/>
    <n v="39"/>
    <s v="month"/>
    <x v="1"/>
    <n v="4"/>
  </r>
  <r>
    <n v="203152686"/>
    <x v="185"/>
    <x v="326"/>
    <x v="0"/>
    <n v="39"/>
    <s v="month"/>
    <x v="61"/>
    <n v="4"/>
  </r>
  <r>
    <n v="203320717"/>
    <x v="185"/>
    <x v="114"/>
    <x v="0"/>
    <n v="39"/>
    <s v="month"/>
    <x v="35"/>
    <n v="4"/>
  </r>
  <r>
    <n v="206076518"/>
    <x v="186"/>
    <x v="0"/>
    <x v="0"/>
    <n v="39"/>
    <s v="month"/>
    <x v="0"/>
    <n v="5"/>
  </r>
  <r>
    <n v="205881578"/>
    <x v="186"/>
    <x v="66"/>
    <x v="0"/>
    <n v="39"/>
    <s v="month"/>
    <x v="227"/>
    <n v="5"/>
  </r>
  <r>
    <n v="152513944"/>
    <x v="186"/>
    <x v="276"/>
    <x v="0"/>
    <n v="39"/>
    <s v="month"/>
    <x v="1"/>
    <n v="5"/>
  </r>
  <r>
    <n v="132371176"/>
    <x v="186"/>
    <x v="276"/>
    <x v="1"/>
    <n v="39"/>
    <s v="month"/>
    <x v="1"/>
    <n v="5"/>
  </r>
  <r>
    <n v="135092264"/>
    <x v="186"/>
    <x v="279"/>
    <x v="0"/>
    <n v="39"/>
    <s v="month"/>
    <x v="121"/>
    <n v="5"/>
  </r>
  <r>
    <n v="151297084"/>
    <x v="186"/>
    <x v="45"/>
    <x v="0"/>
    <n v="39"/>
    <s v="month"/>
    <x v="148"/>
    <n v="5"/>
  </r>
  <r>
    <n v="167010855"/>
    <x v="186"/>
    <x v="308"/>
    <x v="0"/>
    <n v="39"/>
    <s v="month"/>
    <x v="53"/>
    <n v="5"/>
  </r>
  <r>
    <n v="206122788"/>
    <x v="186"/>
    <x v="291"/>
    <x v="0"/>
    <n v="39"/>
    <s v="month"/>
    <x v="106"/>
    <n v="5"/>
  </r>
  <r>
    <n v="158439764"/>
    <x v="186"/>
    <x v="251"/>
    <x v="0"/>
    <n v="39"/>
    <s v="month"/>
    <x v="95"/>
    <n v="5"/>
  </r>
  <r>
    <n v="136723151"/>
    <x v="186"/>
    <x v="114"/>
    <x v="0"/>
    <n v="39"/>
    <s v="month"/>
    <x v="72"/>
    <n v="5"/>
  </r>
  <r>
    <n v="205875358"/>
    <x v="186"/>
    <x v="248"/>
    <x v="0"/>
    <n v="39"/>
    <s v="month"/>
    <x v="34"/>
    <n v="5"/>
  </r>
  <r>
    <n v="206082900"/>
    <x v="186"/>
    <x v="222"/>
    <x v="0"/>
    <n v="39"/>
    <s v="month"/>
    <x v="153"/>
    <n v="5"/>
  </r>
  <r>
    <n v="206139451"/>
    <x v="187"/>
    <x v="0"/>
    <x v="0"/>
    <n v="39"/>
    <s v="month"/>
    <x v="0"/>
    <n v="6"/>
  </r>
  <r>
    <n v="206196328"/>
    <x v="187"/>
    <x v="0"/>
    <x v="0"/>
    <n v="39"/>
    <s v="month"/>
    <x v="0"/>
    <n v="6"/>
  </r>
  <r>
    <n v="201122030"/>
    <x v="187"/>
    <x v="304"/>
    <x v="0"/>
    <n v="39"/>
    <s v="month"/>
    <x v="168"/>
    <n v="6"/>
  </r>
  <r>
    <n v="156218152"/>
    <x v="187"/>
    <x v="270"/>
    <x v="0"/>
    <n v="39"/>
    <s v="month"/>
    <x v="53"/>
    <n v="6"/>
  </r>
  <r>
    <n v="162718092"/>
    <x v="187"/>
    <x v="15"/>
    <x v="0"/>
    <n v="39"/>
    <s v="month"/>
    <x v="94"/>
    <n v="6"/>
  </r>
  <r>
    <n v="174606946"/>
    <x v="187"/>
    <x v="96"/>
    <x v="0"/>
    <n v="39"/>
    <s v="month"/>
    <x v="8"/>
    <n v="6"/>
  </r>
  <r>
    <n v="206159331"/>
    <x v="187"/>
    <x v="120"/>
    <x v="0"/>
    <n v="39"/>
    <s v="month"/>
    <x v="134"/>
    <n v="6"/>
  </r>
  <r>
    <n v="206272716"/>
    <x v="188"/>
    <x v="0"/>
    <x v="0"/>
    <n v="39"/>
    <s v="month"/>
    <x v="0"/>
    <n v="7"/>
  </r>
  <r>
    <n v="138104184"/>
    <x v="188"/>
    <x v="290"/>
    <x v="0"/>
    <n v="39"/>
    <s v="month"/>
    <x v="115"/>
    <n v="7"/>
  </r>
  <r>
    <n v="168264884"/>
    <x v="188"/>
    <x v="15"/>
    <x v="0"/>
    <n v="39"/>
    <s v="month"/>
    <x v="8"/>
    <n v="7"/>
  </r>
  <r>
    <n v="153200640"/>
    <x v="188"/>
    <x v="327"/>
    <x v="0"/>
    <n v="39"/>
    <s v="month"/>
    <x v="50"/>
    <n v="7"/>
  </r>
  <r>
    <n v="206251362"/>
    <x v="188"/>
    <x v="256"/>
    <x v="0"/>
    <n v="39"/>
    <s v="month"/>
    <x v="87"/>
    <n v="7"/>
  </r>
  <r>
    <n v="192386902"/>
    <x v="188"/>
    <x v="256"/>
    <x v="0"/>
    <n v="39"/>
    <s v="month"/>
    <x v="87"/>
    <n v="7"/>
  </r>
  <r>
    <n v="205851263"/>
    <x v="188"/>
    <x v="218"/>
    <x v="0"/>
    <n v="39"/>
    <s v="month"/>
    <x v="175"/>
    <n v="7"/>
  </r>
  <r>
    <n v="197873706"/>
    <x v="189"/>
    <x v="328"/>
    <x v="0"/>
    <n v="39"/>
    <s v="month"/>
    <x v="74"/>
    <n v="1"/>
  </r>
  <r>
    <n v="206284048"/>
    <x v="189"/>
    <x v="259"/>
    <x v="0"/>
    <n v="39"/>
    <s v="month"/>
    <x v="230"/>
    <n v="1"/>
  </r>
  <r>
    <n v="149761545"/>
    <x v="189"/>
    <x v="329"/>
    <x v="0"/>
    <n v="39"/>
    <s v="month"/>
    <x v="189"/>
    <n v="1"/>
  </r>
  <r>
    <n v="155010717"/>
    <x v="190"/>
    <x v="285"/>
    <x v="0"/>
    <n v="39"/>
    <s v="month"/>
    <x v="132"/>
    <n v="2"/>
  </r>
  <r>
    <n v="151407531"/>
    <x v="190"/>
    <x v="327"/>
    <x v="0"/>
    <n v="39"/>
    <s v="month"/>
    <x v="35"/>
    <n v="2"/>
  </r>
  <r>
    <n v="206407796"/>
    <x v="190"/>
    <x v="82"/>
    <x v="0"/>
    <n v="39"/>
    <s v="month"/>
    <x v="8"/>
    <n v="2"/>
  </r>
  <r>
    <n v="206247835"/>
    <x v="190"/>
    <x v="45"/>
    <x v="0"/>
    <n v="39"/>
    <s v="month"/>
    <x v="200"/>
    <n v="2"/>
  </r>
  <r>
    <n v="206382927"/>
    <x v="190"/>
    <x v="330"/>
    <x v="0"/>
    <n v="39"/>
    <s v="month"/>
    <x v="130"/>
    <n v="2"/>
  </r>
  <r>
    <n v="206147500"/>
    <x v="190"/>
    <x v="317"/>
    <x v="0"/>
    <n v="39"/>
    <s v="month"/>
    <x v="177"/>
    <n v="2"/>
  </r>
  <r>
    <n v="206330714"/>
    <x v="190"/>
    <x v="114"/>
    <x v="0"/>
    <n v="39"/>
    <s v="month"/>
    <x v="9"/>
    <n v="2"/>
  </r>
  <r>
    <n v="206121650"/>
    <x v="190"/>
    <x v="319"/>
    <x v="0"/>
    <n v="39"/>
    <s v="month"/>
    <x v="62"/>
    <n v="2"/>
  </r>
  <r>
    <n v="182504578"/>
    <x v="190"/>
    <x v="289"/>
    <x v="0"/>
    <n v="39"/>
    <s v="month"/>
    <x v="87"/>
    <n v="2"/>
  </r>
  <r>
    <n v="204362311"/>
    <x v="190"/>
    <x v="69"/>
    <x v="0"/>
    <n v="39"/>
    <s v="month"/>
    <x v="49"/>
    <n v="2"/>
  </r>
  <r>
    <n v="206504573"/>
    <x v="191"/>
    <x v="0"/>
    <x v="0"/>
    <n v="39"/>
    <s v="month"/>
    <x v="0"/>
    <n v="3"/>
  </r>
  <r>
    <n v="206490851"/>
    <x v="191"/>
    <x v="0"/>
    <x v="0"/>
    <n v="39"/>
    <s v="month"/>
    <x v="0"/>
    <n v="3"/>
  </r>
  <r>
    <n v="206468868"/>
    <x v="191"/>
    <x v="0"/>
    <x v="0"/>
    <n v="39"/>
    <s v="month"/>
    <x v="0"/>
    <n v="3"/>
  </r>
  <r>
    <n v="206316124"/>
    <x v="191"/>
    <x v="0"/>
    <x v="0"/>
    <n v="39"/>
    <s v="month"/>
    <x v="0"/>
    <n v="3"/>
  </r>
  <r>
    <n v="203404034"/>
    <x v="191"/>
    <x v="311"/>
    <x v="0"/>
    <n v="39"/>
    <s v="month"/>
    <x v="181"/>
    <n v="3"/>
  </r>
  <r>
    <n v="206284545"/>
    <x v="191"/>
    <x v="127"/>
    <x v="0"/>
    <n v="39"/>
    <s v="month"/>
    <x v="18"/>
    <n v="3"/>
  </r>
  <r>
    <n v="206470657"/>
    <x v="191"/>
    <x v="284"/>
    <x v="0"/>
    <n v="39"/>
    <s v="month"/>
    <x v="43"/>
    <n v="3"/>
  </r>
  <r>
    <n v="206458744"/>
    <x v="191"/>
    <x v="266"/>
    <x v="0"/>
    <n v="39"/>
    <s v="month"/>
    <x v="80"/>
    <n v="3"/>
  </r>
  <r>
    <n v="206122814"/>
    <x v="191"/>
    <x v="257"/>
    <x v="0"/>
    <n v="39"/>
    <s v="month"/>
    <x v="35"/>
    <n v="3"/>
  </r>
  <r>
    <n v="206549666"/>
    <x v="192"/>
    <x v="0"/>
    <x v="0"/>
    <n v="39"/>
    <s v="month"/>
    <x v="0"/>
    <n v="4"/>
  </r>
  <r>
    <n v="133623621"/>
    <x v="192"/>
    <x v="0"/>
    <x v="0"/>
    <n v="39"/>
    <s v="month"/>
    <x v="0"/>
    <n v="4"/>
  </r>
  <r>
    <n v="130982816"/>
    <x v="192"/>
    <x v="0"/>
    <x v="0"/>
    <n v="39"/>
    <s v="month"/>
    <x v="0"/>
    <n v="4"/>
  </r>
  <r>
    <n v="143776119"/>
    <x v="192"/>
    <x v="331"/>
    <x v="0"/>
    <n v="39"/>
    <s v="month"/>
    <x v="195"/>
    <n v="4"/>
  </r>
  <r>
    <n v="206542743"/>
    <x v="192"/>
    <x v="220"/>
    <x v="1"/>
    <n v="39"/>
    <s v="month"/>
    <x v="1"/>
    <n v="4"/>
  </r>
  <r>
    <n v="206158603"/>
    <x v="192"/>
    <x v="220"/>
    <x v="1"/>
    <n v="39"/>
    <s v="month"/>
    <x v="1"/>
    <n v="4"/>
  </r>
  <r>
    <n v="206548046"/>
    <x v="192"/>
    <x v="308"/>
    <x v="0"/>
    <n v="39"/>
    <s v="month"/>
    <x v="93"/>
    <n v="4"/>
  </r>
  <r>
    <n v="168464004"/>
    <x v="192"/>
    <x v="73"/>
    <x v="0"/>
    <n v="39"/>
    <s v="month"/>
    <x v="234"/>
    <n v="4"/>
  </r>
  <r>
    <n v="146330379"/>
    <x v="192"/>
    <x v="185"/>
    <x v="0"/>
    <n v="39"/>
    <s v="month"/>
    <x v="167"/>
    <n v="4"/>
  </r>
  <r>
    <n v="206006946"/>
    <x v="192"/>
    <x v="288"/>
    <x v="0"/>
    <n v="39"/>
    <s v="month"/>
    <x v="39"/>
    <n v="4"/>
  </r>
  <r>
    <n v="206531388"/>
    <x v="192"/>
    <x v="22"/>
    <x v="0"/>
    <n v="39"/>
    <s v="month"/>
    <x v="86"/>
    <n v="4"/>
  </r>
  <r>
    <n v="206512820"/>
    <x v="192"/>
    <x v="315"/>
    <x v="0"/>
    <n v="39"/>
    <s v="month"/>
    <x v="68"/>
    <n v="4"/>
  </r>
  <r>
    <n v="206501414"/>
    <x v="193"/>
    <x v="0"/>
    <x v="0"/>
    <n v="39"/>
    <s v="month"/>
    <x v="0"/>
    <n v="5"/>
  </r>
  <r>
    <n v="181175226"/>
    <x v="193"/>
    <x v="189"/>
    <x v="0"/>
    <n v="39"/>
    <s v="month"/>
    <x v="134"/>
    <n v="5"/>
  </r>
  <r>
    <n v="148758550"/>
    <x v="194"/>
    <x v="0"/>
    <x v="0"/>
    <n v="39"/>
    <s v="month"/>
    <x v="0"/>
    <n v="6"/>
  </r>
  <r>
    <n v="206682036"/>
    <x v="194"/>
    <x v="0"/>
    <x v="0"/>
    <n v="39"/>
    <s v="month"/>
    <x v="0"/>
    <n v="6"/>
  </r>
  <r>
    <n v="206149654"/>
    <x v="194"/>
    <x v="0"/>
    <x v="0"/>
    <n v="39"/>
    <s v="month"/>
    <x v="0"/>
    <n v="6"/>
  </r>
  <r>
    <n v="206653056"/>
    <x v="194"/>
    <x v="0"/>
    <x v="0"/>
    <n v="39"/>
    <s v="month"/>
    <x v="0"/>
    <n v="6"/>
  </r>
  <r>
    <n v="198466025"/>
    <x v="194"/>
    <x v="0"/>
    <x v="0"/>
    <n v="39"/>
    <s v="month"/>
    <x v="0"/>
    <n v="6"/>
  </r>
  <r>
    <n v="206685935"/>
    <x v="194"/>
    <x v="259"/>
    <x v="1"/>
    <n v="39"/>
    <s v="month"/>
    <x v="1"/>
    <n v="6"/>
  </r>
  <r>
    <n v="206659390"/>
    <x v="194"/>
    <x v="259"/>
    <x v="1"/>
    <n v="39"/>
    <s v="month"/>
    <x v="1"/>
    <n v="6"/>
  </r>
  <r>
    <n v="206550926"/>
    <x v="194"/>
    <x v="299"/>
    <x v="0"/>
    <n v="39"/>
    <s v="month"/>
    <x v="28"/>
    <n v="6"/>
  </r>
  <r>
    <n v="206673590"/>
    <x v="194"/>
    <x v="292"/>
    <x v="0"/>
    <n v="39"/>
    <s v="month"/>
    <x v="214"/>
    <n v="6"/>
  </r>
  <r>
    <n v="205593462"/>
    <x v="194"/>
    <x v="195"/>
    <x v="0"/>
    <n v="39"/>
    <s v="month"/>
    <x v="219"/>
    <n v="6"/>
  </r>
  <r>
    <n v="205889926"/>
    <x v="195"/>
    <x v="0"/>
    <x v="0"/>
    <n v="39"/>
    <s v="month"/>
    <x v="0"/>
    <n v="7"/>
  </r>
  <r>
    <n v="151713121"/>
    <x v="195"/>
    <x v="0"/>
    <x v="0"/>
    <n v="39"/>
    <s v="month"/>
    <x v="0"/>
    <n v="7"/>
  </r>
  <r>
    <n v="206759898"/>
    <x v="195"/>
    <x v="277"/>
    <x v="1"/>
    <n v="39"/>
    <s v="month"/>
    <x v="1"/>
    <n v="7"/>
  </r>
  <r>
    <n v="206750792"/>
    <x v="195"/>
    <x v="277"/>
    <x v="1"/>
    <n v="39"/>
    <s v="month"/>
    <x v="1"/>
    <n v="7"/>
  </r>
  <r>
    <n v="206742592"/>
    <x v="195"/>
    <x v="277"/>
    <x v="1"/>
    <n v="39"/>
    <s v="month"/>
    <x v="1"/>
    <n v="7"/>
  </r>
  <r>
    <n v="206700008"/>
    <x v="195"/>
    <x v="277"/>
    <x v="1"/>
    <n v="39"/>
    <s v="month"/>
    <x v="1"/>
    <n v="7"/>
  </r>
  <r>
    <n v="156170916"/>
    <x v="195"/>
    <x v="332"/>
    <x v="0"/>
    <n v="39"/>
    <s v="month"/>
    <x v="128"/>
    <n v="7"/>
  </r>
  <r>
    <n v="206607664"/>
    <x v="195"/>
    <x v="152"/>
    <x v="0"/>
    <n v="39"/>
    <s v="month"/>
    <x v="87"/>
    <n v="7"/>
  </r>
  <r>
    <n v="183332399"/>
    <x v="196"/>
    <x v="0"/>
    <x v="0"/>
    <n v="39"/>
    <s v="month"/>
    <x v="0"/>
    <n v="1"/>
  </r>
  <r>
    <n v="176705210"/>
    <x v="196"/>
    <x v="253"/>
    <x v="0"/>
    <n v="39"/>
    <s v="month"/>
    <x v="1"/>
    <n v="1"/>
  </r>
  <r>
    <n v="154901722"/>
    <x v="196"/>
    <x v="277"/>
    <x v="0"/>
    <n v="39"/>
    <s v="month"/>
    <x v="11"/>
    <n v="1"/>
  </r>
  <r>
    <n v="153438676"/>
    <x v="196"/>
    <x v="324"/>
    <x v="0"/>
    <n v="39"/>
    <s v="month"/>
    <x v="39"/>
    <n v="1"/>
  </r>
  <r>
    <n v="154901722"/>
    <x v="196"/>
    <x v="243"/>
    <x v="0"/>
    <n v="39"/>
    <s v="month"/>
    <x v="192"/>
    <n v="1"/>
  </r>
  <r>
    <n v="123768696"/>
    <x v="196"/>
    <x v="246"/>
    <x v="0"/>
    <n v="39"/>
    <s v="month"/>
    <x v="182"/>
    <n v="1"/>
  </r>
  <r>
    <n v="142976081"/>
    <x v="196"/>
    <x v="185"/>
    <x v="0"/>
    <n v="39"/>
    <s v="month"/>
    <x v="28"/>
    <n v="1"/>
  </r>
  <r>
    <n v="152223051"/>
    <x v="197"/>
    <x v="0"/>
    <x v="0"/>
    <n v="39"/>
    <s v="month"/>
    <x v="0"/>
    <n v="2"/>
  </r>
  <r>
    <n v="206865174"/>
    <x v="197"/>
    <x v="0"/>
    <x v="0"/>
    <n v="39"/>
    <s v="month"/>
    <x v="0"/>
    <n v="2"/>
  </r>
  <r>
    <n v="143327052"/>
    <x v="197"/>
    <x v="0"/>
    <x v="0"/>
    <n v="39"/>
    <s v="month"/>
    <x v="0"/>
    <n v="2"/>
  </r>
  <r>
    <n v="202270426"/>
    <x v="197"/>
    <x v="233"/>
    <x v="0"/>
    <n v="39"/>
    <s v="month"/>
    <x v="1"/>
    <n v="2"/>
  </r>
  <r>
    <n v="185602413"/>
    <x v="197"/>
    <x v="293"/>
    <x v="0"/>
    <n v="39"/>
    <s v="month"/>
    <x v="106"/>
    <n v="2"/>
  </r>
  <r>
    <n v="206679618"/>
    <x v="197"/>
    <x v="251"/>
    <x v="0"/>
    <n v="39"/>
    <s v="month"/>
    <x v="190"/>
    <n v="2"/>
  </r>
  <r>
    <n v="127561439"/>
    <x v="197"/>
    <x v="185"/>
    <x v="0"/>
    <n v="39"/>
    <s v="month"/>
    <x v="35"/>
    <n v="2"/>
  </r>
  <r>
    <n v="176705210"/>
    <x v="197"/>
    <x v="253"/>
    <x v="0"/>
    <n v="39"/>
    <s v="month"/>
    <x v="11"/>
    <n v="2"/>
  </r>
  <r>
    <n v="206693452"/>
    <x v="198"/>
    <x v="0"/>
    <x v="0"/>
    <n v="39"/>
    <s v="month"/>
    <x v="0"/>
    <n v="3"/>
  </r>
  <r>
    <n v="193499084"/>
    <x v="198"/>
    <x v="0"/>
    <x v="0"/>
    <n v="39"/>
    <s v="month"/>
    <x v="0"/>
    <n v="3"/>
  </r>
  <r>
    <n v="206995576"/>
    <x v="198"/>
    <x v="333"/>
    <x v="0"/>
    <n v="39"/>
    <s v="month"/>
    <x v="52"/>
    <n v="3"/>
  </r>
  <r>
    <n v="154783053"/>
    <x v="198"/>
    <x v="243"/>
    <x v="0"/>
    <n v="39"/>
    <s v="month"/>
    <x v="34"/>
    <n v="3"/>
  </r>
  <r>
    <n v="158349405"/>
    <x v="198"/>
    <x v="55"/>
    <x v="0"/>
    <n v="39"/>
    <s v="month"/>
    <x v="141"/>
    <n v="3"/>
  </r>
  <r>
    <n v="205554002"/>
    <x v="198"/>
    <x v="334"/>
    <x v="0"/>
    <n v="39"/>
    <s v="month"/>
    <x v="232"/>
    <n v="3"/>
  </r>
  <r>
    <n v="207045565"/>
    <x v="199"/>
    <x v="0"/>
    <x v="0"/>
    <n v="39"/>
    <s v="month"/>
    <x v="0"/>
    <n v="4"/>
  </r>
  <r>
    <n v="205483607"/>
    <x v="199"/>
    <x v="0"/>
    <x v="0"/>
    <n v="39"/>
    <s v="month"/>
    <x v="0"/>
    <n v="4"/>
  </r>
  <r>
    <n v="147662374"/>
    <x v="199"/>
    <x v="0"/>
    <x v="0"/>
    <n v="39"/>
    <s v="month"/>
    <x v="0"/>
    <n v="4"/>
  </r>
  <r>
    <n v="150652956"/>
    <x v="199"/>
    <x v="246"/>
    <x v="0"/>
    <n v="39"/>
    <s v="month"/>
    <x v="40"/>
    <n v="4"/>
  </r>
  <r>
    <n v="206527656"/>
    <x v="199"/>
    <x v="308"/>
    <x v="0"/>
    <n v="39"/>
    <s v="month"/>
    <x v="234"/>
    <n v="4"/>
  </r>
  <r>
    <n v="207041353"/>
    <x v="199"/>
    <x v="171"/>
    <x v="0"/>
    <n v="39"/>
    <s v="month"/>
    <x v="27"/>
    <n v="4"/>
  </r>
  <r>
    <n v="204448911"/>
    <x v="199"/>
    <x v="141"/>
    <x v="0"/>
    <n v="39"/>
    <s v="month"/>
    <x v="35"/>
    <n v="4"/>
  </r>
  <r>
    <n v="206951785"/>
    <x v="199"/>
    <x v="289"/>
    <x v="0"/>
    <n v="39"/>
    <s v="month"/>
    <x v="72"/>
    <n v="4"/>
  </r>
  <r>
    <n v="206892555"/>
    <x v="199"/>
    <x v="272"/>
    <x v="0"/>
    <n v="39"/>
    <s v="month"/>
    <x v="208"/>
    <n v="4"/>
  </r>
  <r>
    <n v="207051401"/>
    <x v="200"/>
    <x v="0"/>
    <x v="0"/>
    <n v="39"/>
    <s v="month"/>
    <x v="0"/>
    <n v="5"/>
  </r>
  <r>
    <n v="206904848"/>
    <x v="200"/>
    <x v="0"/>
    <x v="0"/>
    <n v="39"/>
    <s v="month"/>
    <x v="0"/>
    <n v="5"/>
  </r>
  <r>
    <n v="204598188"/>
    <x v="200"/>
    <x v="335"/>
    <x v="0"/>
    <n v="39"/>
    <s v="month"/>
    <x v="206"/>
    <n v="5"/>
  </r>
  <r>
    <n v="206447228"/>
    <x v="200"/>
    <x v="324"/>
    <x v="0"/>
    <n v="39"/>
    <s v="month"/>
    <x v="70"/>
    <n v="5"/>
  </r>
  <r>
    <n v="206190599"/>
    <x v="200"/>
    <x v="322"/>
    <x v="0"/>
    <n v="39"/>
    <s v="month"/>
    <x v="78"/>
    <n v="5"/>
  </r>
  <r>
    <n v="207014740"/>
    <x v="200"/>
    <x v="114"/>
    <x v="0"/>
    <n v="39"/>
    <s v="month"/>
    <x v="134"/>
    <n v="5"/>
  </r>
  <r>
    <n v="156762690"/>
    <x v="200"/>
    <x v="141"/>
    <x v="0"/>
    <n v="39"/>
    <s v="month"/>
    <x v="72"/>
    <n v="5"/>
  </r>
  <r>
    <n v="207116463"/>
    <x v="200"/>
    <x v="141"/>
    <x v="0"/>
    <n v="39"/>
    <s v="month"/>
    <x v="72"/>
    <n v="5"/>
  </r>
  <r>
    <n v="206555111"/>
    <x v="200"/>
    <x v="299"/>
    <x v="0"/>
    <n v="39"/>
    <s v="month"/>
    <x v="9"/>
    <n v="5"/>
  </r>
  <r>
    <n v="169543155"/>
    <x v="200"/>
    <x v="300"/>
    <x v="0"/>
    <n v="39"/>
    <s v="month"/>
    <x v="87"/>
    <n v="5"/>
  </r>
  <r>
    <n v="202270426"/>
    <x v="200"/>
    <x v="300"/>
    <x v="0"/>
    <n v="39"/>
    <s v="month"/>
    <x v="87"/>
    <n v="5"/>
  </r>
  <r>
    <n v="207005361"/>
    <x v="200"/>
    <x v="279"/>
    <x v="0"/>
    <n v="39"/>
    <s v="month"/>
    <x v="212"/>
    <n v="5"/>
  </r>
  <r>
    <n v="206105763"/>
    <x v="201"/>
    <x v="0"/>
    <x v="0"/>
    <n v="39"/>
    <s v="month"/>
    <x v="0"/>
    <n v="6"/>
  </r>
  <r>
    <n v="198968224"/>
    <x v="201"/>
    <x v="0"/>
    <x v="0"/>
    <n v="39"/>
    <s v="month"/>
    <x v="0"/>
    <n v="6"/>
  </r>
  <r>
    <n v="205342230"/>
    <x v="201"/>
    <x v="0"/>
    <x v="0"/>
    <n v="39"/>
    <s v="month"/>
    <x v="0"/>
    <n v="6"/>
  </r>
  <r>
    <n v="207224044"/>
    <x v="201"/>
    <x v="0"/>
    <x v="0"/>
    <n v="39"/>
    <s v="month"/>
    <x v="0"/>
    <n v="6"/>
  </r>
  <r>
    <n v="174232231"/>
    <x v="201"/>
    <x v="0"/>
    <x v="0"/>
    <n v="39"/>
    <s v="month"/>
    <x v="0"/>
    <n v="6"/>
  </r>
  <r>
    <n v="207017124"/>
    <x v="201"/>
    <x v="272"/>
    <x v="1"/>
    <n v="39"/>
    <s v="month"/>
    <x v="11"/>
    <n v="6"/>
  </r>
  <r>
    <n v="194006146"/>
    <x v="201"/>
    <x v="291"/>
    <x v="0"/>
    <n v="39"/>
    <s v="month"/>
    <x v="46"/>
    <n v="6"/>
  </r>
  <r>
    <n v="150509580"/>
    <x v="201"/>
    <x v="270"/>
    <x v="0"/>
    <n v="39"/>
    <s v="month"/>
    <x v="148"/>
    <n v="6"/>
  </r>
  <r>
    <n v="207120479"/>
    <x v="201"/>
    <x v="159"/>
    <x v="0"/>
    <n v="39"/>
    <s v="month"/>
    <x v="210"/>
    <n v="6"/>
  </r>
  <r>
    <n v="162069198"/>
    <x v="201"/>
    <x v="275"/>
    <x v="0"/>
    <n v="39"/>
    <s v="month"/>
    <x v="35"/>
    <n v="6"/>
  </r>
  <r>
    <n v="206742272"/>
    <x v="201"/>
    <x v="336"/>
    <x v="0"/>
    <n v="39"/>
    <s v="month"/>
    <x v="167"/>
    <n v="6"/>
  </r>
  <r>
    <n v="207433836"/>
    <x v="202"/>
    <x v="0"/>
    <x v="0"/>
    <n v="39"/>
    <s v="month"/>
    <x v="0"/>
    <n v="7"/>
  </r>
  <r>
    <n v="207382183"/>
    <x v="202"/>
    <x v="0"/>
    <x v="0"/>
    <n v="39"/>
    <s v="month"/>
    <x v="0"/>
    <n v="7"/>
  </r>
  <r>
    <n v="205051942"/>
    <x v="202"/>
    <x v="0"/>
    <x v="0"/>
    <n v="39"/>
    <s v="month"/>
    <x v="0"/>
    <n v="7"/>
  </r>
  <r>
    <n v="132631414"/>
    <x v="202"/>
    <x v="135"/>
    <x v="0"/>
    <n v="39"/>
    <s v="month"/>
    <x v="106"/>
    <n v="7"/>
  </r>
  <r>
    <n v="207529664"/>
    <x v="202"/>
    <x v="189"/>
    <x v="0"/>
    <n v="39"/>
    <s v="month"/>
    <x v="230"/>
    <n v="7"/>
  </r>
  <r>
    <n v="207022940"/>
    <x v="202"/>
    <x v="337"/>
    <x v="0"/>
    <n v="39"/>
    <s v="month"/>
    <x v="133"/>
    <n v="7"/>
  </r>
  <r>
    <n v="207388337"/>
    <x v="202"/>
    <x v="204"/>
    <x v="0"/>
    <n v="39"/>
    <s v="month"/>
    <x v="235"/>
    <n v="7"/>
  </r>
  <r>
    <n v="205883858"/>
    <x v="203"/>
    <x v="0"/>
    <x v="0"/>
    <n v="39"/>
    <s v="month"/>
    <x v="0"/>
    <n v="1"/>
  </r>
  <r>
    <n v="173711359"/>
    <x v="203"/>
    <x v="157"/>
    <x v="0"/>
    <n v="39"/>
    <s v="month"/>
    <x v="83"/>
    <n v="1"/>
  </r>
  <r>
    <n v="207078726"/>
    <x v="203"/>
    <x v="232"/>
    <x v="0"/>
    <n v="39"/>
    <s v="month"/>
    <x v="132"/>
    <n v="1"/>
  </r>
  <r>
    <n v="207415911"/>
    <x v="203"/>
    <x v="285"/>
    <x v="0"/>
    <n v="39"/>
    <s v="month"/>
    <x v="177"/>
    <n v="1"/>
  </r>
  <r>
    <n v="207391012"/>
    <x v="203"/>
    <x v="128"/>
    <x v="0"/>
    <n v="39"/>
    <s v="month"/>
    <x v="125"/>
    <n v="1"/>
  </r>
  <r>
    <n v="207699946"/>
    <x v="203"/>
    <x v="266"/>
    <x v="0"/>
    <n v="39"/>
    <s v="month"/>
    <x v="72"/>
    <n v="1"/>
  </r>
  <r>
    <n v="207665488"/>
    <x v="203"/>
    <x v="208"/>
    <x v="0"/>
    <n v="39"/>
    <s v="month"/>
    <x v="11"/>
    <n v="1"/>
  </r>
  <r>
    <n v="207742153"/>
    <x v="203"/>
    <x v="160"/>
    <x v="0"/>
    <n v="39"/>
    <s v="month"/>
    <x v="236"/>
    <n v="1"/>
  </r>
  <r>
    <n v="207288677"/>
    <x v="204"/>
    <x v="0"/>
    <x v="0"/>
    <n v="39"/>
    <s v="month"/>
    <x v="0"/>
    <n v="2"/>
  </r>
  <r>
    <n v="208151007"/>
    <x v="204"/>
    <x v="0"/>
    <x v="0"/>
    <n v="39"/>
    <s v="month"/>
    <x v="0"/>
    <n v="2"/>
  </r>
  <r>
    <n v="207218336"/>
    <x v="204"/>
    <x v="0"/>
    <x v="0"/>
    <n v="39"/>
    <s v="month"/>
    <x v="0"/>
    <n v="2"/>
  </r>
  <r>
    <n v="208105889"/>
    <x v="204"/>
    <x v="0"/>
    <x v="0"/>
    <n v="39"/>
    <s v="month"/>
    <x v="0"/>
    <n v="2"/>
  </r>
  <r>
    <n v="152221925"/>
    <x v="204"/>
    <x v="338"/>
    <x v="0"/>
    <n v="39"/>
    <s v="month"/>
    <x v="46"/>
    <n v="2"/>
  </r>
  <r>
    <n v="207090754"/>
    <x v="204"/>
    <x v="73"/>
    <x v="0"/>
    <n v="39"/>
    <s v="month"/>
    <x v="177"/>
    <n v="2"/>
  </r>
  <r>
    <n v="128283235"/>
    <x v="204"/>
    <x v="282"/>
    <x v="0"/>
    <n v="39"/>
    <s v="month"/>
    <x v="131"/>
    <n v="2"/>
  </r>
  <r>
    <n v="206686106"/>
    <x v="204"/>
    <x v="243"/>
    <x v="0"/>
    <n v="39"/>
    <s v="month"/>
    <x v="87"/>
    <n v="2"/>
  </r>
  <r>
    <n v="208090380"/>
    <x v="204"/>
    <x v="17"/>
    <x v="0"/>
    <n v="39"/>
    <s v="month"/>
    <x v="10"/>
    <n v="2"/>
  </r>
  <r>
    <n v="153281230"/>
    <x v="204"/>
    <x v="299"/>
    <x v="0"/>
    <n v="39"/>
    <s v="month"/>
    <x v="86"/>
    <n v="2"/>
  </r>
  <r>
    <n v="205049710"/>
    <x v="204"/>
    <x v="125"/>
    <x v="0"/>
    <n v="39"/>
    <s v="month"/>
    <x v="1"/>
    <n v="2"/>
  </r>
  <r>
    <n v="208618235"/>
    <x v="205"/>
    <x v="0"/>
    <x v="0"/>
    <n v="39"/>
    <s v="month"/>
    <x v="0"/>
    <n v="3"/>
  </r>
  <r>
    <n v="167713351"/>
    <x v="205"/>
    <x v="0"/>
    <x v="0"/>
    <n v="39"/>
    <s v="month"/>
    <x v="0"/>
    <n v="3"/>
  </r>
  <r>
    <n v="149975492"/>
    <x v="205"/>
    <x v="0"/>
    <x v="0"/>
    <n v="39"/>
    <s v="month"/>
    <x v="0"/>
    <n v="3"/>
  </r>
  <r>
    <n v="208286745"/>
    <x v="205"/>
    <x v="0"/>
    <x v="0"/>
    <n v="39"/>
    <s v="month"/>
    <x v="0"/>
    <n v="3"/>
  </r>
  <r>
    <n v="208473540"/>
    <x v="205"/>
    <x v="125"/>
    <x v="0"/>
    <n v="39"/>
    <s v="month"/>
    <x v="11"/>
    <n v="3"/>
  </r>
  <r>
    <n v="137721176"/>
    <x v="205"/>
    <x v="296"/>
    <x v="0"/>
    <n v="39"/>
    <s v="month"/>
    <x v="136"/>
    <n v="3"/>
  </r>
  <r>
    <n v="140062581"/>
    <x v="205"/>
    <x v="174"/>
    <x v="0"/>
    <n v="39"/>
    <s v="month"/>
    <x v="192"/>
    <n v="3"/>
  </r>
  <r>
    <n v="208488674"/>
    <x v="205"/>
    <x v="73"/>
    <x v="0"/>
    <n v="39"/>
    <s v="month"/>
    <x v="197"/>
    <n v="3"/>
  </r>
  <r>
    <n v="162752410"/>
    <x v="205"/>
    <x v="339"/>
    <x v="0"/>
    <n v="39"/>
    <s v="month"/>
    <x v="153"/>
    <n v="3"/>
  </r>
  <r>
    <n v="208598415"/>
    <x v="205"/>
    <x v="284"/>
    <x v="0"/>
    <n v="39"/>
    <s v="month"/>
    <x v="108"/>
    <n v="3"/>
  </r>
  <r>
    <n v="143427096"/>
    <x v="205"/>
    <x v="251"/>
    <x v="0"/>
    <n v="39"/>
    <s v="month"/>
    <x v="36"/>
    <n v="3"/>
  </r>
  <r>
    <n v="208480650"/>
    <x v="205"/>
    <x v="122"/>
    <x v="0"/>
    <n v="39"/>
    <s v="month"/>
    <x v="118"/>
    <n v="3"/>
  </r>
  <r>
    <n v="147000442"/>
    <x v="206"/>
    <x v="0"/>
    <x v="0"/>
    <n v="39"/>
    <s v="month"/>
    <x v="0"/>
    <n v="4"/>
  </r>
  <r>
    <n v="207062508"/>
    <x v="206"/>
    <x v="0"/>
    <x v="0"/>
    <n v="39"/>
    <s v="month"/>
    <x v="0"/>
    <n v="4"/>
  </r>
  <r>
    <n v="206862916"/>
    <x v="206"/>
    <x v="0"/>
    <x v="0"/>
    <n v="39"/>
    <s v="month"/>
    <x v="0"/>
    <n v="4"/>
  </r>
  <r>
    <n v="208706866"/>
    <x v="206"/>
    <x v="0"/>
    <x v="0"/>
    <n v="39"/>
    <s v="month"/>
    <x v="0"/>
    <n v="4"/>
  </r>
  <r>
    <n v="134719816"/>
    <x v="206"/>
    <x v="180"/>
    <x v="0"/>
    <n v="39"/>
    <s v="month"/>
    <x v="18"/>
    <n v="4"/>
  </r>
  <r>
    <n v="138548670"/>
    <x v="206"/>
    <x v="159"/>
    <x v="0"/>
    <n v="39"/>
    <s v="month"/>
    <x v="169"/>
    <n v="4"/>
  </r>
  <r>
    <n v="208745476"/>
    <x v="206"/>
    <x v="173"/>
    <x v="0"/>
    <n v="39"/>
    <s v="month"/>
    <x v="46"/>
    <n v="4"/>
  </r>
  <r>
    <n v="182584521"/>
    <x v="206"/>
    <x v="274"/>
    <x v="0"/>
    <n v="39"/>
    <s v="month"/>
    <x v="87"/>
    <n v="4"/>
  </r>
  <r>
    <n v="206463427"/>
    <x v="206"/>
    <x v="243"/>
    <x v="0"/>
    <n v="39"/>
    <s v="month"/>
    <x v="108"/>
    <n v="4"/>
  </r>
  <r>
    <n v="158947936"/>
    <x v="206"/>
    <x v="336"/>
    <x v="0"/>
    <n v="39"/>
    <s v="month"/>
    <x v="35"/>
    <n v="4"/>
  </r>
  <r>
    <n v="182737296"/>
    <x v="206"/>
    <x v="263"/>
    <x v="0"/>
    <n v="39"/>
    <s v="month"/>
    <x v="28"/>
    <n v="4"/>
  </r>
  <r>
    <n v="156550538"/>
    <x v="207"/>
    <x v="0"/>
    <x v="0"/>
    <n v="39"/>
    <s v="month"/>
    <x v="0"/>
    <n v="5"/>
  </r>
  <r>
    <n v="208897557"/>
    <x v="207"/>
    <x v="0"/>
    <x v="0"/>
    <n v="39"/>
    <s v="month"/>
    <x v="0"/>
    <n v="5"/>
  </r>
  <r>
    <n v="157484010"/>
    <x v="207"/>
    <x v="0"/>
    <x v="0"/>
    <n v="39"/>
    <s v="month"/>
    <x v="0"/>
    <n v="5"/>
  </r>
  <r>
    <n v="146450388"/>
    <x v="207"/>
    <x v="268"/>
    <x v="0"/>
    <n v="39"/>
    <s v="month"/>
    <x v="39"/>
    <n v="5"/>
  </r>
  <r>
    <n v="208610366"/>
    <x v="207"/>
    <x v="160"/>
    <x v="0"/>
    <n v="39"/>
    <s v="month"/>
    <x v="106"/>
    <n v="5"/>
  </r>
  <r>
    <n v="208913022"/>
    <x v="207"/>
    <x v="171"/>
    <x v="0"/>
    <n v="39"/>
    <s v="month"/>
    <x v="43"/>
    <n v="5"/>
  </r>
  <r>
    <n v="205813846"/>
    <x v="207"/>
    <x v="171"/>
    <x v="0"/>
    <n v="39"/>
    <s v="month"/>
    <x v="43"/>
    <n v="5"/>
  </r>
  <r>
    <n v="208762353"/>
    <x v="207"/>
    <x v="141"/>
    <x v="0"/>
    <n v="39"/>
    <s v="month"/>
    <x v="2"/>
    <n v="5"/>
  </r>
  <r>
    <n v="153099249"/>
    <x v="207"/>
    <x v="257"/>
    <x v="0"/>
    <n v="39"/>
    <s v="month"/>
    <x v="10"/>
    <n v="5"/>
  </r>
  <r>
    <n v="208734252"/>
    <x v="207"/>
    <x v="300"/>
    <x v="0"/>
    <n v="39"/>
    <s v="month"/>
    <x v="28"/>
    <n v="5"/>
  </r>
  <r>
    <n v="208320510"/>
    <x v="208"/>
    <x v="0"/>
    <x v="0"/>
    <n v="39"/>
    <s v="month"/>
    <x v="0"/>
    <n v="6"/>
  </r>
  <r>
    <n v="207229509"/>
    <x v="208"/>
    <x v="189"/>
    <x v="1"/>
    <n v="39"/>
    <s v="month"/>
    <x v="11"/>
    <n v="6"/>
  </r>
  <r>
    <n v="208492287"/>
    <x v="208"/>
    <x v="298"/>
    <x v="0"/>
    <n v="39"/>
    <s v="month"/>
    <x v="39"/>
    <n v="6"/>
  </r>
  <r>
    <n v="195047202"/>
    <x v="208"/>
    <x v="309"/>
    <x v="0"/>
    <n v="39"/>
    <s v="month"/>
    <x v="95"/>
    <n v="6"/>
  </r>
  <r>
    <n v="208890352"/>
    <x v="208"/>
    <x v="324"/>
    <x v="0"/>
    <n v="39"/>
    <s v="month"/>
    <x v="109"/>
    <n v="6"/>
  </r>
  <r>
    <n v="151282537"/>
    <x v="208"/>
    <x v="340"/>
    <x v="0"/>
    <n v="39"/>
    <s v="month"/>
    <x v="77"/>
    <n v="6"/>
  </r>
  <r>
    <n v="206625246"/>
    <x v="209"/>
    <x v="0"/>
    <x v="0"/>
    <n v="39"/>
    <s v="month"/>
    <x v="0"/>
    <n v="7"/>
  </r>
  <r>
    <n v="208748964"/>
    <x v="209"/>
    <x v="0"/>
    <x v="0"/>
    <n v="39"/>
    <s v="month"/>
    <x v="0"/>
    <n v="7"/>
  </r>
  <r>
    <n v="151904783"/>
    <x v="209"/>
    <x v="0"/>
    <x v="0"/>
    <n v="39"/>
    <s v="month"/>
    <x v="0"/>
    <n v="7"/>
  </r>
  <r>
    <n v="160351988"/>
    <x v="209"/>
    <x v="341"/>
    <x v="0"/>
    <n v="39"/>
    <s v="month"/>
    <x v="12"/>
    <n v="7"/>
  </r>
  <r>
    <n v="145622106"/>
    <x v="209"/>
    <x v="16"/>
    <x v="0"/>
    <n v="39"/>
    <s v="month"/>
    <x v="11"/>
    <n v="7"/>
  </r>
  <r>
    <n v="192475408"/>
    <x v="209"/>
    <x v="287"/>
    <x v="0"/>
    <n v="39"/>
    <s v="month"/>
    <x v="9"/>
    <n v="7"/>
  </r>
  <r>
    <n v="208597905"/>
    <x v="210"/>
    <x v="0"/>
    <x v="0"/>
    <n v="39"/>
    <s v="month"/>
    <x v="0"/>
    <n v="1"/>
  </r>
  <r>
    <n v="209469556"/>
    <x v="210"/>
    <x v="145"/>
    <x v="1"/>
    <n v="39"/>
    <s v="month"/>
    <x v="1"/>
    <n v="1"/>
  </r>
  <r>
    <n v="207183892"/>
    <x v="210"/>
    <x v="145"/>
    <x v="1"/>
    <n v="39"/>
    <s v="month"/>
    <x v="1"/>
    <n v="1"/>
  </r>
  <r>
    <n v="125980506"/>
    <x v="210"/>
    <x v="135"/>
    <x v="0"/>
    <n v="39"/>
    <s v="month"/>
    <x v="53"/>
    <n v="1"/>
  </r>
  <r>
    <n v="162635107"/>
    <x v="210"/>
    <x v="209"/>
    <x v="0"/>
    <n v="39"/>
    <s v="month"/>
    <x v="166"/>
    <n v="1"/>
  </r>
  <r>
    <n v="154655775"/>
    <x v="210"/>
    <x v="329"/>
    <x v="0"/>
    <n v="39"/>
    <s v="month"/>
    <x v="91"/>
    <n v="1"/>
  </r>
  <r>
    <n v="154911229"/>
    <x v="211"/>
    <x v="0"/>
    <x v="0"/>
    <n v="39"/>
    <s v="month"/>
    <x v="0"/>
    <n v="2"/>
  </r>
  <r>
    <n v="206812076"/>
    <x v="211"/>
    <x v="0"/>
    <x v="0"/>
    <n v="39"/>
    <s v="month"/>
    <x v="0"/>
    <n v="2"/>
  </r>
  <r>
    <n v="208490747"/>
    <x v="211"/>
    <x v="0"/>
    <x v="0"/>
    <n v="39"/>
    <s v="month"/>
    <x v="0"/>
    <n v="2"/>
  </r>
  <r>
    <n v="131761056"/>
    <x v="211"/>
    <x v="0"/>
    <x v="0"/>
    <n v="39"/>
    <s v="month"/>
    <x v="0"/>
    <n v="2"/>
  </r>
  <r>
    <n v="208115534"/>
    <x v="211"/>
    <x v="15"/>
    <x v="1"/>
    <n v="39"/>
    <s v="month"/>
    <x v="14"/>
    <n v="2"/>
  </r>
  <r>
    <n v="202126471"/>
    <x v="211"/>
    <x v="293"/>
    <x v="0"/>
    <n v="39"/>
    <s v="month"/>
    <x v="93"/>
    <n v="2"/>
  </r>
  <r>
    <n v="209738836"/>
    <x v="211"/>
    <x v="342"/>
    <x v="0"/>
    <n v="39"/>
    <s v="month"/>
    <x v="80"/>
    <n v="2"/>
  </r>
  <r>
    <n v="209470128"/>
    <x v="211"/>
    <x v="159"/>
    <x v="0"/>
    <n v="39"/>
    <s v="month"/>
    <x v="110"/>
    <n v="2"/>
  </r>
  <r>
    <n v="209745334"/>
    <x v="211"/>
    <x v="318"/>
    <x v="0"/>
    <n v="39"/>
    <s v="month"/>
    <x v="172"/>
    <n v="2"/>
  </r>
  <r>
    <n v="209751690"/>
    <x v="212"/>
    <x v="0"/>
    <x v="0"/>
    <n v="39"/>
    <s v="month"/>
    <x v="0"/>
    <n v="3"/>
  </r>
  <r>
    <n v="209730490"/>
    <x v="212"/>
    <x v="22"/>
    <x v="1"/>
    <n v="39"/>
    <s v="month"/>
    <x v="1"/>
    <n v="3"/>
  </r>
  <r>
    <n v="208115648"/>
    <x v="212"/>
    <x v="304"/>
    <x v="0"/>
    <n v="39"/>
    <s v="month"/>
    <x v="169"/>
    <n v="3"/>
  </r>
  <r>
    <n v="210087900"/>
    <x v="212"/>
    <x v="4"/>
    <x v="0"/>
    <n v="39"/>
    <s v="month"/>
    <x v="36"/>
    <n v="3"/>
  </r>
  <r>
    <n v="208890316"/>
    <x v="212"/>
    <x v="330"/>
    <x v="0"/>
    <n v="39"/>
    <s v="month"/>
    <x v="43"/>
    <n v="3"/>
  </r>
  <r>
    <n v="143706140"/>
    <x v="212"/>
    <x v="114"/>
    <x v="0"/>
    <n v="39"/>
    <s v="month"/>
    <x v="175"/>
    <n v="3"/>
  </r>
  <r>
    <n v="209950443"/>
    <x v="212"/>
    <x v="122"/>
    <x v="0"/>
    <n v="39"/>
    <s v="month"/>
    <x v="79"/>
    <n v="3"/>
  </r>
  <r>
    <n v="208892072"/>
    <x v="212"/>
    <x v="152"/>
    <x v="0"/>
    <n v="39"/>
    <s v="month"/>
    <x v="86"/>
    <n v="3"/>
  </r>
  <r>
    <n v="205767174"/>
    <x v="212"/>
    <x v="328"/>
    <x v="0"/>
    <n v="39"/>
    <s v="month"/>
    <x v="199"/>
    <n v="3"/>
  </r>
  <r>
    <n v="206676416"/>
    <x v="212"/>
    <x v="316"/>
    <x v="0"/>
    <n v="39"/>
    <s v="month"/>
    <x v="54"/>
    <n v="3"/>
  </r>
  <r>
    <n v="160676837"/>
    <x v="213"/>
    <x v="0"/>
    <x v="0"/>
    <n v="39"/>
    <s v="month"/>
    <x v="0"/>
    <n v="4"/>
  </r>
  <r>
    <n v="204274153"/>
    <x v="213"/>
    <x v="0"/>
    <x v="0"/>
    <n v="39"/>
    <s v="month"/>
    <x v="0"/>
    <n v="4"/>
  </r>
  <r>
    <n v="210327236"/>
    <x v="213"/>
    <x v="128"/>
    <x v="1"/>
    <n v="39"/>
    <s v="month"/>
    <x v="1"/>
    <n v="4"/>
  </r>
  <r>
    <n v="210326352"/>
    <x v="213"/>
    <x v="22"/>
    <x v="1"/>
    <n v="39"/>
    <s v="month"/>
    <x v="11"/>
    <n v="4"/>
  </r>
  <r>
    <n v="124155104"/>
    <x v="213"/>
    <x v="82"/>
    <x v="0"/>
    <n v="39"/>
    <s v="month"/>
    <x v="14"/>
    <n v="4"/>
  </r>
  <r>
    <n v="209517408"/>
    <x v="213"/>
    <x v="243"/>
    <x v="0"/>
    <n v="39"/>
    <s v="month"/>
    <x v="72"/>
    <n v="4"/>
  </r>
  <r>
    <n v="210432450"/>
    <x v="213"/>
    <x v="327"/>
    <x v="0"/>
    <n v="39"/>
    <s v="month"/>
    <x v="42"/>
    <n v="4"/>
  </r>
  <r>
    <n v="210138564"/>
    <x v="214"/>
    <x v="0"/>
    <x v="0"/>
    <n v="39"/>
    <s v="month"/>
    <x v="0"/>
    <n v="5"/>
  </r>
  <r>
    <n v="210617010"/>
    <x v="214"/>
    <x v="128"/>
    <x v="0"/>
    <n v="39"/>
    <s v="month"/>
    <x v="11"/>
    <n v="5"/>
  </r>
  <r>
    <n v="134894187"/>
    <x v="214"/>
    <x v="317"/>
    <x v="0"/>
    <n v="39"/>
    <s v="month"/>
    <x v="190"/>
    <n v="5"/>
  </r>
  <r>
    <n v="150643785"/>
    <x v="214"/>
    <x v="268"/>
    <x v="0"/>
    <n v="39"/>
    <s v="month"/>
    <x v="94"/>
    <n v="5"/>
  </r>
  <r>
    <n v="149986782"/>
    <x v="214"/>
    <x v="343"/>
    <x v="0"/>
    <n v="39"/>
    <s v="month"/>
    <x v="26"/>
    <n v="5"/>
  </r>
  <r>
    <n v="205463099"/>
    <x v="214"/>
    <x v="291"/>
    <x v="0"/>
    <n v="39"/>
    <s v="month"/>
    <x v="114"/>
    <n v="5"/>
  </r>
  <r>
    <n v="210565466"/>
    <x v="214"/>
    <x v="174"/>
    <x v="0"/>
    <n v="39"/>
    <s v="month"/>
    <x v="14"/>
    <n v="5"/>
  </r>
  <r>
    <n v="209072132"/>
    <x v="215"/>
    <x v="0"/>
    <x v="0"/>
    <n v="39"/>
    <s v="month"/>
    <x v="0"/>
    <n v="6"/>
  </r>
  <r>
    <n v="210388772"/>
    <x v="215"/>
    <x v="0"/>
    <x v="0"/>
    <n v="39"/>
    <s v="month"/>
    <x v="0"/>
    <n v="6"/>
  </r>
  <r>
    <n v="210617010"/>
    <x v="215"/>
    <x v="270"/>
    <x v="0"/>
    <n v="39"/>
    <s v="month"/>
    <x v="117"/>
    <n v="6"/>
  </r>
  <r>
    <n v="210694562"/>
    <x v="215"/>
    <x v="342"/>
    <x v="0"/>
    <n v="39"/>
    <s v="month"/>
    <x v="14"/>
    <n v="6"/>
  </r>
  <r>
    <n v="134833306"/>
    <x v="215"/>
    <x v="4"/>
    <x v="0"/>
    <n v="39"/>
    <s v="month"/>
    <x v="28"/>
    <n v="6"/>
  </r>
  <r>
    <n v="211220014"/>
    <x v="216"/>
    <x v="0"/>
    <x v="0"/>
    <n v="39"/>
    <s v="month"/>
    <x v="0"/>
    <n v="7"/>
  </r>
  <r>
    <n v="121571816"/>
    <x v="216"/>
    <x v="0"/>
    <x v="0"/>
    <n v="39"/>
    <s v="month"/>
    <x v="0"/>
    <n v="7"/>
  </r>
  <r>
    <n v="211216060"/>
    <x v="216"/>
    <x v="0"/>
    <x v="0"/>
    <n v="39"/>
    <s v="month"/>
    <x v="0"/>
    <n v="7"/>
  </r>
  <r>
    <n v="211114276"/>
    <x v="216"/>
    <x v="0"/>
    <x v="0"/>
    <n v="39"/>
    <s v="month"/>
    <x v="0"/>
    <n v="7"/>
  </r>
  <r>
    <n v="211224883"/>
    <x v="216"/>
    <x v="319"/>
    <x v="1"/>
    <n v="39"/>
    <s v="month"/>
    <x v="1"/>
    <n v="7"/>
  </r>
  <r>
    <n v="211212313"/>
    <x v="216"/>
    <x v="268"/>
    <x v="0"/>
    <n v="39"/>
    <s v="month"/>
    <x v="26"/>
    <n v="7"/>
  </r>
  <r>
    <n v="210135815"/>
    <x v="216"/>
    <x v="256"/>
    <x v="0"/>
    <n v="39"/>
    <s v="month"/>
    <x v="79"/>
    <n v="7"/>
  </r>
  <r>
    <n v="211381659"/>
    <x v="217"/>
    <x v="0"/>
    <x v="0"/>
    <n v="39"/>
    <s v="month"/>
    <x v="0"/>
    <n v="1"/>
  </r>
  <r>
    <n v="183363812"/>
    <x v="217"/>
    <x v="0"/>
    <x v="0"/>
    <n v="39"/>
    <s v="month"/>
    <x v="0"/>
    <n v="1"/>
  </r>
  <r>
    <n v="211289909"/>
    <x v="217"/>
    <x v="0"/>
    <x v="0"/>
    <n v="39"/>
    <s v="month"/>
    <x v="0"/>
    <n v="1"/>
  </r>
  <r>
    <n v="211266858"/>
    <x v="217"/>
    <x v="101"/>
    <x v="0"/>
    <n v="39"/>
    <s v="month"/>
    <x v="182"/>
    <n v="1"/>
  </r>
  <r>
    <n v="153163612"/>
    <x v="217"/>
    <x v="266"/>
    <x v="0"/>
    <n v="39"/>
    <s v="month"/>
    <x v="134"/>
    <n v="1"/>
  </r>
  <r>
    <n v="209505551"/>
    <x v="217"/>
    <x v="152"/>
    <x v="0"/>
    <n v="39"/>
    <s v="month"/>
    <x v="178"/>
    <n v="1"/>
  </r>
  <r>
    <n v="211389716"/>
    <x v="218"/>
    <x v="0"/>
    <x v="0"/>
    <n v="39"/>
    <s v="month"/>
    <x v="0"/>
    <n v="2"/>
  </r>
  <r>
    <n v="211636708"/>
    <x v="218"/>
    <x v="0"/>
    <x v="0"/>
    <n v="39"/>
    <s v="month"/>
    <x v="0"/>
    <n v="2"/>
  </r>
  <r>
    <n v="176884824"/>
    <x v="218"/>
    <x v="0"/>
    <x v="0"/>
    <n v="39"/>
    <s v="month"/>
    <x v="0"/>
    <n v="2"/>
  </r>
  <r>
    <n v="211352758"/>
    <x v="218"/>
    <x v="0"/>
    <x v="0"/>
    <n v="39"/>
    <s v="month"/>
    <x v="0"/>
    <n v="2"/>
  </r>
  <r>
    <n v="210814163"/>
    <x v="218"/>
    <x v="0"/>
    <x v="0"/>
    <n v="39"/>
    <s v="month"/>
    <x v="0"/>
    <n v="2"/>
  </r>
  <r>
    <n v="210893245"/>
    <x v="218"/>
    <x v="0"/>
    <x v="0"/>
    <n v="39"/>
    <s v="month"/>
    <x v="0"/>
    <n v="2"/>
  </r>
  <r>
    <n v="130967112"/>
    <x v="218"/>
    <x v="0"/>
    <x v="0"/>
    <n v="39"/>
    <s v="month"/>
    <x v="0"/>
    <n v="2"/>
  </r>
  <r>
    <n v="199116000"/>
    <x v="218"/>
    <x v="0"/>
    <x v="0"/>
    <n v="39"/>
    <s v="month"/>
    <x v="0"/>
    <n v="2"/>
  </r>
  <r>
    <n v="161182706"/>
    <x v="218"/>
    <x v="258"/>
    <x v="0"/>
    <n v="39"/>
    <s v="month"/>
    <x v="14"/>
    <n v="2"/>
  </r>
  <r>
    <n v="211576047"/>
    <x v="219"/>
    <x v="0"/>
    <x v="0"/>
    <n v="39"/>
    <s v="month"/>
    <x v="0"/>
    <n v="3"/>
  </r>
  <r>
    <n v="211897884"/>
    <x v="219"/>
    <x v="0"/>
    <x v="0"/>
    <n v="39"/>
    <s v="month"/>
    <x v="0"/>
    <n v="3"/>
  </r>
  <r>
    <n v="211661733"/>
    <x v="219"/>
    <x v="0"/>
    <x v="0"/>
    <n v="39"/>
    <s v="month"/>
    <x v="0"/>
    <n v="3"/>
  </r>
  <r>
    <n v="211561665"/>
    <x v="219"/>
    <x v="0"/>
    <x v="1"/>
    <n v="39"/>
    <s v="month"/>
    <x v="0"/>
    <n v="3"/>
  </r>
  <r>
    <n v="211911280"/>
    <x v="219"/>
    <x v="225"/>
    <x v="0"/>
    <n v="39"/>
    <s v="month"/>
    <x v="189"/>
    <n v="3"/>
  </r>
  <r>
    <n v="123946316"/>
    <x v="219"/>
    <x v="306"/>
    <x v="0"/>
    <n v="39"/>
    <s v="month"/>
    <x v="210"/>
    <n v="3"/>
  </r>
  <r>
    <n v="144469362"/>
    <x v="219"/>
    <x v="251"/>
    <x v="0"/>
    <n v="39"/>
    <s v="month"/>
    <x v="40"/>
    <n v="3"/>
  </r>
  <r>
    <n v="187268085"/>
    <x v="219"/>
    <x v="4"/>
    <x v="0"/>
    <n v="39"/>
    <s v="month"/>
    <x v="62"/>
    <n v="3"/>
  </r>
  <r>
    <n v="210088359"/>
    <x v="219"/>
    <x v="321"/>
    <x v="0"/>
    <n v="39"/>
    <s v="month"/>
    <x v="83"/>
    <n v="3"/>
  </r>
  <r>
    <n v="211906202"/>
    <x v="219"/>
    <x v="288"/>
    <x v="0"/>
    <n v="39"/>
    <s v="month"/>
    <x v="80"/>
    <n v="3"/>
  </r>
  <r>
    <n v="126391978"/>
    <x v="219"/>
    <x v="240"/>
    <x v="0"/>
    <n v="39"/>
    <s v="month"/>
    <x v="181"/>
    <n v="3"/>
  </r>
  <r>
    <n v="154753462"/>
    <x v="220"/>
    <x v="0"/>
    <x v="0"/>
    <n v="39"/>
    <s v="month"/>
    <x v="0"/>
    <n v="4"/>
  </r>
  <r>
    <n v="212049757"/>
    <x v="220"/>
    <x v="0"/>
    <x v="0"/>
    <n v="39"/>
    <s v="month"/>
    <x v="0"/>
    <n v="4"/>
  </r>
  <r>
    <n v="147015210"/>
    <x v="220"/>
    <x v="0"/>
    <x v="0"/>
    <n v="39"/>
    <s v="month"/>
    <x v="0"/>
    <n v="4"/>
  </r>
  <r>
    <n v="212057431"/>
    <x v="220"/>
    <x v="257"/>
    <x v="1"/>
    <n v="39"/>
    <s v="month"/>
    <x v="1"/>
    <n v="4"/>
  </r>
  <r>
    <n v="205734465"/>
    <x v="220"/>
    <x v="308"/>
    <x v="0"/>
    <n v="39"/>
    <s v="month"/>
    <x v="110"/>
    <n v="4"/>
  </r>
  <r>
    <n v="208772540"/>
    <x v="220"/>
    <x v="300"/>
    <x v="0"/>
    <n v="39"/>
    <s v="month"/>
    <x v="23"/>
    <n v="4"/>
  </r>
  <r>
    <n v="182357706"/>
    <x v="220"/>
    <x v="255"/>
    <x v="0"/>
    <n v="39"/>
    <s v="month"/>
    <x v="6"/>
    <n v="4"/>
  </r>
  <r>
    <n v="211333348"/>
    <x v="220"/>
    <x v="341"/>
    <x v="0"/>
    <n v="39"/>
    <s v="month"/>
    <x v="168"/>
    <n v="4"/>
  </r>
  <r>
    <n v="211334702"/>
    <x v="220"/>
    <x v="344"/>
    <x v="0"/>
    <n v="39"/>
    <s v="month"/>
    <x v="54"/>
    <n v="4"/>
  </r>
  <r>
    <n v="212129575"/>
    <x v="221"/>
    <x v="0"/>
    <x v="0"/>
    <n v="39"/>
    <s v="month"/>
    <x v="0"/>
    <n v="5"/>
  </r>
  <r>
    <n v="209733088"/>
    <x v="221"/>
    <x v="0"/>
    <x v="0"/>
    <n v="39"/>
    <s v="month"/>
    <x v="0"/>
    <n v="5"/>
  </r>
  <r>
    <n v="152792045"/>
    <x v="221"/>
    <x v="177"/>
    <x v="0"/>
    <n v="39"/>
    <s v="month"/>
    <x v="39"/>
    <n v="5"/>
  </r>
  <r>
    <n v="212163568"/>
    <x v="221"/>
    <x v="323"/>
    <x v="0"/>
    <n v="39"/>
    <s v="month"/>
    <x v="192"/>
    <n v="5"/>
  </r>
  <r>
    <n v="212260363"/>
    <x v="221"/>
    <x v="15"/>
    <x v="0"/>
    <n v="39"/>
    <s v="month"/>
    <x v="62"/>
    <n v="5"/>
  </r>
  <r>
    <n v="212164158"/>
    <x v="221"/>
    <x v="293"/>
    <x v="0"/>
    <n v="39"/>
    <s v="month"/>
    <x v="38"/>
    <n v="5"/>
  </r>
  <r>
    <n v="155604779"/>
    <x v="221"/>
    <x v="255"/>
    <x v="0"/>
    <n v="39"/>
    <s v="month"/>
    <x v="33"/>
    <n v="5"/>
  </r>
  <r>
    <n v="150421022"/>
    <x v="221"/>
    <x v="273"/>
    <x v="0"/>
    <n v="39"/>
    <s v="month"/>
    <x v="117"/>
    <n v="5"/>
  </r>
  <r>
    <n v="122616012"/>
    <x v="221"/>
    <x v="3"/>
    <x v="0"/>
    <n v="39"/>
    <s v="month"/>
    <x v="148"/>
    <n v="5"/>
  </r>
  <r>
    <n v="209356278"/>
    <x v="222"/>
    <x v="0"/>
    <x v="0"/>
    <n v="39"/>
    <s v="month"/>
    <x v="0"/>
    <n v="6"/>
  </r>
  <r>
    <n v="212604642"/>
    <x v="222"/>
    <x v="0"/>
    <x v="0"/>
    <n v="39"/>
    <s v="month"/>
    <x v="0"/>
    <n v="6"/>
  </r>
  <r>
    <n v="210730447"/>
    <x v="222"/>
    <x v="0"/>
    <x v="0"/>
    <n v="39"/>
    <s v="month"/>
    <x v="0"/>
    <n v="6"/>
  </r>
  <r>
    <n v="212388726"/>
    <x v="222"/>
    <x v="0"/>
    <x v="1"/>
    <n v="39"/>
    <s v="month"/>
    <x v="0"/>
    <n v="6"/>
  </r>
  <r>
    <n v="127793951"/>
    <x v="222"/>
    <x v="335"/>
    <x v="0"/>
    <n v="39"/>
    <s v="month"/>
    <x v="161"/>
    <n v="6"/>
  </r>
  <r>
    <n v="189715793"/>
    <x v="222"/>
    <x v="326"/>
    <x v="0"/>
    <n v="39"/>
    <s v="month"/>
    <x v="14"/>
    <n v="6"/>
  </r>
  <r>
    <n v="148369126"/>
    <x v="223"/>
    <x v="0"/>
    <x v="0"/>
    <n v="39"/>
    <s v="month"/>
    <x v="0"/>
    <n v="7"/>
  </r>
  <r>
    <n v="157503290"/>
    <x v="223"/>
    <x v="288"/>
    <x v="0"/>
    <n v="39"/>
    <s v="month"/>
    <x v="14"/>
    <n v="7"/>
  </r>
  <r>
    <n v="212712986"/>
    <x v="223"/>
    <x v="285"/>
    <x v="0"/>
    <n v="39"/>
    <s v="month"/>
    <x v="192"/>
    <n v="7"/>
  </r>
  <r>
    <n v="204512028"/>
    <x v="223"/>
    <x v="237"/>
    <x v="0"/>
    <n v="39"/>
    <s v="month"/>
    <x v="35"/>
    <n v="7"/>
  </r>
  <r>
    <n v="147066240"/>
    <x v="223"/>
    <x v="300"/>
    <x v="0"/>
    <n v="39"/>
    <s v="month"/>
    <x v="134"/>
    <n v="7"/>
  </r>
  <r>
    <n v="212759443"/>
    <x v="224"/>
    <x v="23"/>
    <x v="0"/>
    <n v="39"/>
    <s v="month"/>
    <x v="11"/>
    <n v="1"/>
  </r>
  <r>
    <n v="212042832"/>
    <x v="225"/>
    <x v="0"/>
    <x v="0"/>
    <n v="39"/>
    <s v="month"/>
    <x v="0"/>
    <n v="2"/>
  </r>
  <r>
    <n v="212113682"/>
    <x v="225"/>
    <x v="0"/>
    <x v="0"/>
    <n v="39"/>
    <s v="month"/>
    <x v="0"/>
    <n v="2"/>
  </r>
  <r>
    <n v="181175226"/>
    <x v="225"/>
    <x v="0"/>
    <x v="0"/>
    <n v="39"/>
    <s v="month"/>
    <x v="0"/>
    <n v="2"/>
  </r>
  <r>
    <n v="201817514"/>
    <x v="225"/>
    <x v="256"/>
    <x v="0"/>
    <n v="39"/>
    <s v="month"/>
    <x v="1"/>
    <n v="2"/>
  </r>
  <r>
    <n v="168698174"/>
    <x v="225"/>
    <x v="299"/>
    <x v="0"/>
    <n v="39"/>
    <s v="month"/>
    <x v="11"/>
    <n v="2"/>
  </r>
  <r>
    <n v="170512298"/>
    <x v="225"/>
    <x v="237"/>
    <x v="0"/>
    <n v="39"/>
    <s v="month"/>
    <x v="44"/>
    <n v="2"/>
  </r>
  <r>
    <n v="213181546"/>
    <x v="225"/>
    <x v="73"/>
    <x v="0"/>
    <n v="39"/>
    <s v="month"/>
    <x v="19"/>
    <n v="2"/>
  </r>
  <r>
    <n v="154535908"/>
    <x v="225"/>
    <x v="345"/>
    <x v="0"/>
    <n v="39"/>
    <s v="month"/>
    <x v="39"/>
    <n v="2"/>
  </r>
  <r>
    <n v="151540809"/>
    <x v="225"/>
    <x v="309"/>
    <x v="0"/>
    <n v="39"/>
    <s v="month"/>
    <x v="108"/>
    <n v="2"/>
  </r>
  <r>
    <n v="212334937"/>
    <x v="225"/>
    <x v="317"/>
    <x v="0"/>
    <n v="39"/>
    <s v="month"/>
    <x v="28"/>
    <n v="2"/>
  </r>
  <r>
    <n v="204766175"/>
    <x v="225"/>
    <x v="346"/>
    <x v="0"/>
    <n v="39"/>
    <s v="month"/>
    <x v="138"/>
    <n v="2"/>
  </r>
  <r>
    <n v="212055738"/>
    <x v="225"/>
    <x v="347"/>
    <x v="0"/>
    <n v="39"/>
    <s v="month"/>
    <x v="69"/>
    <n v="2"/>
  </r>
  <r>
    <n v="211907956"/>
    <x v="226"/>
    <x v="0"/>
    <x v="0"/>
    <n v="39"/>
    <s v="month"/>
    <x v="0"/>
    <n v="3"/>
  </r>
  <r>
    <n v="212759443"/>
    <x v="226"/>
    <x v="0"/>
    <x v="0"/>
    <n v="39"/>
    <s v="month"/>
    <x v="0"/>
    <n v="3"/>
  </r>
  <r>
    <n v="213182327"/>
    <x v="226"/>
    <x v="0"/>
    <x v="0"/>
    <n v="39"/>
    <s v="month"/>
    <x v="0"/>
    <n v="3"/>
  </r>
  <r>
    <n v="213442067"/>
    <x v="226"/>
    <x v="0"/>
    <x v="0"/>
    <n v="39"/>
    <s v="month"/>
    <x v="0"/>
    <n v="3"/>
  </r>
  <r>
    <n v="213427247"/>
    <x v="226"/>
    <x v="0"/>
    <x v="0"/>
    <n v="39"/>
    <s v="month"/>
    <x v="0"/>
    <n v="3"/>
  </r>
  <r>
    <n v="172476368"/>
    <x v="226"/>
    <x v="237"/>
    <x v="0"/>
    <n v="39"/>
    <s v="month"/>
    <x v="62"/>
    <n v="3"/>
  </r>
  <r>
    <n v="148900262"/>
    <x v="226"/>
    <x v="322"/>
    <x v="0"/>
    <n v="39"/>
    <s v="month"/>
    <x v="182"/>
    <n v="3"/>
  </r>
  <r>
    <n v="213450505"/>
    <x v="226"/>
    <x v="58"/>
    <x v="0"/>
    <n v="39"/>
    <s v="month"/>
    <x v="44"/>
    <n v="3"/>
  </r>
  <r>
    <n v="168261038"/>
    <x v="226"/>
    <x v="324"/>
    <x v="0"/>
    <n v="39"/>
    <s v="month"/>
    <x v="87"/>
    <n v="3"/>
  </r>
  <r>
    <n v="207018786"/>
    <x v="226"/>
    <x v="344"/>
    <x v="0"/>
    <n v="39"/>
    <s v="month"/>
    <x v="12"/>
    <n v="3"/>
  </r>
  <r>
    <n v="213781045"/>
    <x v="227"/>
    <x v="0"/>
    <x v="0"/>
    <n v="39"/>
    <s v="month"/>
    <x v="0"/>
    <n v="4"/>
  </r>
  <r>
    <n v="213785402"/>
    <x v="227"/>
    <x v="225"/>
    <x v="0"/>
    <n v="39"/>
    <s v="month"/>
    <x v="104"/>
    <n v="4"/>
  </r>
  <r>
    <n v="213689187"/>
    <x v="227"/>
    <x v="289"/>
    <x v="1"/>
    <n v="39"/>
    <s v="month"/>
    <x v="1"/>
    <n v="4"/>
  </r>
  <r>
    <n v="213413298"/>
    <x v="227"/>
    <x v="185"/>
    <x v="1"/>
    <n v="39"/>
    <s v="month"/>
    <x v="11"/>
    <n v="4"/>
  </r>
  <r>
    <n v="184458429"/>
    <x v="227"/>
    <x v="308"/>
    <x v="0"/>
    <n v="39"/>
    <s v="month"/>
    <x v="43"/>
    <n v="4"/>
  </r>
  <r>
    <n v="212190070"/>
    <x v="227"/>
    <x v="338"/>
    <x v="0"/>
    <n v="39"/>
    <s v="month"/>
    <x v="94"/>
    <n v="4"/>
  </r>
  <r>
    <n v="212737739"/>
    <x v="227"/>
    <x v="285"/>
    <x v="0"/>
    <n v="39"/>
    <s v="month"/>
    <x v="190"/>
    <n v="4"/>
  </r>
  <r>
    <n v="211904660"/>
    <x v="228"/>
    <x v="0"/>
    <x v="0"/>
    <n v="39"/>
    <s v="month"/>
    <x v="0"/>
    <n v="5"/>
  </r>
  <r>
    <n v="112792926"/>
    <x v="228"/>
    <x v="0"/>
    <x v="0"/>
    <n v="39"/>
    <s v="month"/>
    <x v="0"/>
    <n v="5"/>
  </r>
  <r>
    <n v="213914942"/>
    <x v="228"/>
    <x v="0"/>
    <x v="0"/>
    <n v="39"/>
    <s v="month"/>
    <x v="0"/>
    <n v="5"/>
  </r>
  <r>
    <n v="189220435"/>
    <x v="228"/>
    <x v="300"/>
    <x v="0"/>
    <n v="39"/>
    <s v="month"/>
    <x v="79"/>
    <n v="5"/>
  </r>
  <r>
    <n v="203237584"/>
    <x v="228"/>
    <x v="152"/>
    <x v="0"/>
    <n v="39"/>
    <s v="month"/>
    <x v="225"/>
    <n v="5"/>
  </r>
  <r>
    <n v="213179140"/>
    <x v="228"/>
    <x v="258"/>
    <x v="0"/>
    <n v="39"/>
    <s v="month"/>
    <x v="62"/>
    <n v="5"/>
  </r>
  <r>
    <n v="211629536"/>
    <x v="228"/>
    <x v="267"/>
    <x v="0"/>
    <n v="39"/>
    <s v="month"/>
    <x v="14"/>
    <n v="5"/>
  </r>
  <r>
    <n v="204953211"/>
    <x v="228"/>
    <x v="267"/>
    <x v="0"/>
    <n v="39"/>
    <s v="month"/>
    <x v="14"/>
    <n v="5"/>
  </r>
  <r>
    <n v="111394466"/>
    <x v="228"/>
    <x v="311"/>
    <x v="0"/>
    <n v="39"/>
    <s v="month"/>
    <x v="117"/>
    <n v="5"/>
  </r>
  <r>
    <n v="214107134"/>
    <x v="229"/>
    <x v="0"/>
    <x v="0"/>
    <n v="39"/>
    <s v="month"/>
    <x v="0"/>
    <n v="6"/>
  </r>
  <r>
    <n v="214105034"/>
    <x v="229"/>
    <x v="0"/>
    <x v="0"/>
    <n v="39"/>
    <s v="month"/>
    <x v="0"/>
    <n v="6"/>
  </r>
  <r>
    <n v="214124745"/>
    <x v="229"/>
    <x v="290"/>
    <x v="0"/>
    <n v="39"/>
    <s v="month"/>
    <x v="161"/>
    <n v="6"/>
  </r>
  <r>
    <n v="214107426"/>
    <x v="229"/>
    <x v="248"/>
    <x v="1"/>
    <n v="39"/>
    <s v="month"/>
    <x v="1"/>
    <n v="6"/>
  </r>
  <r>
    <n v="213980322"/>
    <x v="229"/>
    <x v="177"/>
    <x v="0"/>
    <n v="39"/>
    <s v="month"/>
    <x v="8"/>
    <n v="6"/>
  </r>
  <r>
    <n v="213434919"/>
    <x v="229"/>
    <x v="141"/>
    <x v="0"/>
    <n v="39"/>
    <s v="month"/>
    <x v="11"/>
    <n v="6"/>
  </r>
  <r>
    <n v="214129448"/>
    <x v="229"/>
    <x v="176"/>
    <x v="0"/>
    <n v="39"/>
    <s v="month"/>
    <x v="12"/>
    <n v="6"/>
  </r>
  <r>
    <n v="213944536"/>
    <x v="229"/>
    <x v="173"/>
    <x v="0"/>
    <n v="39"/>
    <s v="month"/>
    <x v="94"/>
    <n v="6"/>
  </r>
  <r>
    <n v="214052531"/>
    <x v="229"/>
    <x v="331"/>
    <x v="0"/>
    <n v="39"/>
    <s v="month"/>
    <x v="69"/>
    <n v="6"/>
  </r>
  <r>
    <n v="214196608"/>
    <x v="230"/>
    <x v="0"/>
    <x v="0"/>
    <n v="39"/>
    <s v="month"/>
    <x v="0"/>
    <n v="7"/>
  </r>
  <r>
    <n v="125299295"/>
    <x v="230"/>
    <x v="338"/>
    <x v="0"/>
    <n v="39"/>
    <s v="month"/>
    <x v="27"/>
    <n v="7"/>
  </r>
  <r>
    <n v="214199386"/>
    <x v="230"/>
    <x v="235"/>
    <x v="0"/>
    <n v="39"/>
    <s v="month"/>
    <x v="134"/>
    <n v="7"/>
  </r>
  <r>
    <n v="214191851"/>
    <x v="230"/>
    <x v="82"/>
    <x v="0"/>
    <n v="39"/>
    <s v="month"/>
    <x v="40"/>
    <n v="7"/>
  </r>
  <r>
    <n v="214174478"/>
    <x v="230"/>
    <x v="288"/>
    <x v="0"/>
    <n v="39"/>
    <s v="month"/>
    <x v="35"/>
    <n v="7"/>
  </r>
  <r>
    <n v="214264465"/>
    <x v="231"/>
    <x v="0"/>
    <x v="0"/>
    <n v="39"/>
    <s v="month"/>
    <x v="0"/>
    <n v="1"/>
  </r>
  <r>
    <n v="214261616"/>
    <x v="231"/>
    <x v="0"/>
    <x v="0"/>
    <n v="39"/>
    <s v="month"/>
    <x v="0"/>
    <n v="1"/>
  </r>
  <r>
    <n v="214178644"/>
    <x v="231"/>
    <x v="0"/>
    <x v="0"/>
    <n v="39"/>
    <s v="month"/>
    <x v="0"/>
    <n v="1"/>
  </r>
  <r>
    <n v="214202809"/>
    <x v="231"/>
    <x v="288"/>
    <x v="0"/>
    <n v="39"/>
    <s v="month"/>
    <x v="72"/>
    <n v="1"/>
  </r>
  <r>
    <n v="214220188"/>
    <x v="232"/>
    <x v="0"/>
    <x v="0"/>
    <n v="39"/>
    <s v="month"/>
    <x v="0"/>
    <n v="2"/>
  </r>
  <r>
    <n v="212113435"/>
    <x v="232"/>
    <x v="0"/>
    <x v="0"/>
    <n v="39"/>
    <s v="month"/>
    <x v="0"/>
    <n v="2"/>
  </r>
  <r>
    <n v="213431638"/>
    <x v="232"/>
    <x v="0"/>
    <x v="0"/>
    <n v="39"/>
    <s v="month"/>
    <x v="0"/>
    <n v="2"/>
  </r>
  <r>
    <n v="214102994"/>
    <x v="232"/>
    <x v="0"/>
    <x v="0"/>
    <n v="39"/>
    <s v="month"/>
    <x v="0"/>
    <n v="2"/>
  </r>
  <r>
    <n v="177266058"/>
    <x v="232"/>
    <x v="0"/>
    <x v="0"/>
    <n v="39"/>
    <s v="month"/>
    <x v="0"/>
    <n v="2"/>
  </r>
  <r>
    <n v="116060198"/>
    <x v="232"/>
    <x v="0"/>
    <x v="0"/>
    <n v="39"/>
    <s v="month"/>
    <x v="0"/>
    <n v="2"/>
  </r>
  <r>
    <n v="214312843"/>
    <x v="232"/>
    <x v="0"/>
    <x v="0"/>
    <n v="39"/>
    <s v="month"/>
    <x v="0"/>
    <n v="2"/>
  </r>
  <r>
    <n v="156245288"/>
    <x v="232"/>
    <x v="322"/>
    <x v="0"/>
    <n v="39"/>
    <s v="month"/>
    <x v="118"/>
    <n v="2"/>
  </r>
  <r>
    <n v="148869972"/>
    <x v="232"/>
    <x v="15"/>
    <x v="0"/>
    <n v="39"/>
    <s v="month"/>
    <x v="178"/>
    <n v="2"/>
  </r>
  <r>
    <n v="156186115"/>
    <x v="232"/>
    <x v="258"/>
    <x v="0"/>
    <n v="39"/>
    <s v="month"/>
    <x v="182"/>
    <n v="2"/>
  </r>
  <r>
    <n v="207235755"/>
    <x v="232"/>
    <x v="288"/>
    <x v="0"/>
    <n v="39"/>
    <s v="month"/>
    <x v="44"/>
    <n v="2"/>
  </r>
  <r>
    <n v="169235213"/>
    <x v="232"/>
    <x v="285"/>
    <x v="0"/>
    <n v="39"/>
    <s v="month"/>
    <x v="14"/>
    <n v="2"/>
  </r>
  <r>
    <n v="213692152"/>
    <x v="232"/>
    <x v="45"/>
    <x v="0"/>
    <n v="39"/>
    <s v="month"/>
    <x v="28"/>
    <n v="2"/>
  </r>
  <r>
    <n v="214352003"/>
    <x v="232"/>
    <x v="225"/>
    <x v="0"/>
    <n v="39"/>
    <s v="month"/>
    <x v="147"/>
    <n v="2"/>
  </r>
  <r>
    <n v="139691790"/>
    <x v="233"/>
    <x v="312"/>
    <x v="0"/>
    <n v="39"/>
    <s v="month"/>
    <x v="94"/>
    <n v="3"/>
  </r>
  <r>
    <n v="210646453"/>
    <x v="233"/>
    <x v="345"/>
    <x v="0"/>
    <n v="39"/>
    <s v="month"/>
    <x v="8"/>
    <n v="3"/>
  </r>
  <r>
    <n v="206891005"/>
    <x v="233"/>
    <x v="258"/>
    <x v="0"/>
    <n v="39"/>
    <s v="month"/>
    <x v="2"/>
    <n v="3"/>
  </r>
  <r>
    <n v="212293354"/>
    <x v="233"/>
    <x v="152"/>
    <x v="0"/>
    <n v="39"/>
    <s v="month"/>
    <x v="11"/>
    <n v="3"/>
  </r>
  <r>
    <n v="214464069"/>
    <x v="234"/>
    <x v="0"/>
    <x v="0"/>
    <n v="39"/>
    <s v="month"/>
    <x v="0"/>
    <n v="4"/>
  </r>
  <r>
    <n v="214446543"/>
    <x v="234"/>
    <x v="0"/>
    <x v="0"/>
    <n v="39"/>
    <s v="month"/>
    <x v="0"/>
    <n v="4"/>
  </r>
  <r>
    <n v="212376935"/>
    <x v="234"/>
    <x v="303"/>
    <x v="0"/>
    <n v="39"/>
    <s v="month"/>
    <x v="155"/>
    <n v="4"/>
  </r>
  <r>
    <n v="173118928"/>
    <x v="234"/>
    <x v="212"/>
    <x v="0"/>
    <n v="39"/>
    <s v="month"/>
    <x v="14"/>
    <n v="4"/>
  </r>
  <r>
    <n v="214410106"/>
    <x v="234"/>
    <x v="258"/>
    <x v="0"/>
    <n v="39"/>
    <s v="month"/>
    <x v="86"/>
    <n v="4"/>
  </r>
  <r>
    <n v="214093520"/>
    <x v="234"/>
    <x v="330"/>
    <x v="0"/>
    <n v="39"/>
    <s v="month"/>
    <x v="44"/>
    <n v="4"/>
  </r>
  <r>
    <n v="214441521"/>
    <x v="234"/>
    <x v="330"/>
    <x v="0"/>
    <n v="39"/>
    <s v="month"/>
    <x v="44"/>
    <n v="4"/>
  </r>
  <r>
    <n v="214519787"/>
    <x v="235"/>
    <x v="0"/>
    <x v="0"/>
    <n v="39"/>
    <s v="month"/>
    <x v="0"/>
    <n v="5"/>
  </r>
  <r>
    <n v="213177724"/>
    <x v="235"/>
    <x v="0"/>
    <x v="0"/>
    <n v="39"/>
    <s v="month"/>
    <x v="0"/>
    <n v="5"/>
  </r>
  <r>
    <n v="213421956"/>
    <x v="235"/>
    <x v="336"/>
    <x v="1"/>
    <n v="39"/>
    <s v="month"/>
    <x v="1"/>
    <n v="5"/>
  </r>
  <r>
    <n v="151094649"/>
    <x v="235"/>
    <x v="267"/>
    <x v="0"/>
    <n v="39"/>
    <s v="month"/>
    <x v="35"/>
    <n v="5"/>
  </r>
  <r>
    <n v="160056180"/>
    <x v="235"/>
    <x v="178"/>
    <x v="0"/>
    <n v="39"/>
    <s v="month"/>
    <x v="28"/>
    <n v="5"/>
  </r>
  <r>
    <n v="166480898"/>
    <x v="235"/>
    <x v="45"/>
    <x v="0"/>
    <n v="39"/>
    <s v="month"/>
    <x v="44"/>
    <n v="5"/>
  </r>
  <r>
    <n v="182085396"/>
    <x v="235"/>
    <x v="127"/>
    <x v="0"/>
    <n v="39"/>
    <s v="month"/>
    <x v="14"/>
    <n v="5"/>
  </r>
  <r>
    <n v="214519010"/>
    <x v="235"/>
    <x v="178"/>
    <x v="0"/>
    <n v="39"/>
    <s v="month"/>
    <x v="28"/>
    <n v="5"/>
  </r>
  <r>
    <n v="148657735"/>
    <x v="235"/>
    <x v="324"/>
    <x v="0"/>
    <n v="39"/>
    <s v="month"/>
    <x v="72"/>
    <n v="5"/>
  </r>
  <r>
    <n v="214555461"/>
    <x v="236"/>
    <x v="0"/>
    <x v="0"/>
    <n v="39"/>
    <s v="month"/>
    <x v="0"/>
    <n v="6"/>
  </r>
  <r>
    <n v="148042512"/>
    <x v="236"/>
    <x v="0"/>
    <x v="0"/>
    <n v="39"/>
    <s v="month"/>
    <x v="0"/>
    <n v="6"/>
  </r>
  <r>
    <n v="214534717"/>
    <x v="236"/>
    <x v="0"/>
    <x v="0"/>
    <n v="39"/>
    <s v="month"/>
    <x v="0"/>
    <n v="6"/>
  </r>
  <r>
    <n v="211223610"/>
    <x v="236"/>
    <x v="209"/>
    <x v="0"/>
    <n v="39"/>
    <s v="month"/>
    <x v="39"/>
    <n v="6"/>
  </r>
  <r>
    <n v="214444866"/>
    <x v="236"/>
    <x v="99"/>
    <x v="0"/>
    <n v="39"/>
    <s v="month"/>
    <x v="94"/>
    <n v="6"/>
  </r>
  <r>
    <n v="206477826"/>
    <x v="236"/>
    <x v="343"/>
    <x v="0"/>
    <n v="39"/>
    <s v="month"/>
    <x v="14"/>
    <n v="6"/>
  </r>
  <r>
    <n v="214589440"/>
    <x v="236"/>
    <x v="178"/>
    <x v="0"/>
    <n v="39"/>
    <s v="month"/>
    <x v="35"/>
    <n v="6"/>
  </r>
  <r>
    <n v="214516527"/>
    <x v="236"/>
    <x v="323"/>
    <x v="0"/>
    <n v="39"/>
    <s v="month"/>
    <x v="28"/>
    <n v="6"/>
  </r>
  <r>
    <n v="158980862"/>
    <x v="236"/>
    <x v="258"/>
    <x v="0"/>
    <n v="39"/>
    <s v="month"/>
    <x v="184"/>
    <n v="6"/>
  </r>
  <r>
    <n v="144769275"/>
    <x v="236"/>
    <x v="336"/>
    <x v="0"/>
    <n v="39"/>
    <s v="month"/>
    <x v="11"/>
    <n v="6"/>
  </r>
  <r>
    <n v="214508205"/>
    <x v="236"/>
    <x v="255"/>
    <x v="0"/>
    <n v="39"/>
    <s v="month"/>
    <x v="210"/>
    <n v="6"/>
  </r>
  <r>
    <n v="156178486"/>
    <x v="237"/>
    <x v="0"/>
    <x v="0"/>
    <n v="39"/>
    <s v="month"/>
    <x v="0"/>
    <n v="7"/>
  </r>
  <r>
    <n v="214584458"/>
    <x v="237"/>
    <x v="240"/>
    <x v="0"/>
    <n v="39"/>
    <s v="month"/>
    <x v="33"/>
    <n v="7"/>
  </r>
  <r>
    <n v="181935574"/>
    <x v="238"/>
    <x v="0"/>
    <x v="0"/>
    <n v="39"/>
    <s v="month"/>
    <x v="0"/>
    <n v="1"/>
  </r>
  <r>
    <n v="153006404"/>
    <x v="238"/>
    <x v="126"/>
    <x v="0"/>
    <n v="39"/>
    <s v="month"/>
    <x v="40"/>
    <n v="1"/>
  </r>
  <r>
    <n v="214423891"/>
    <x v="238"/>
    <x v="212"/>
    <x v="0"/>
    <n v="39"/>
    <s v="month"/>
    <x v="156"/>
    <n v="1"/>
  </r>
  <r>
    <n v="214510838"/>
    <x v="238"/>
    <x v="268"/>
    <x v="0"/>
    <n v="39"/>
    <s v="month"/>
    <x v="14"/>
    <n v="1"/>
  </r>
  <r>
    <n v="211383216"/>
    <x v="238"/>
    <x v="101"/>
    <x v="0"/>
    <n v="39"/>
    <s v="month"/>
    <x v="208"/>
    <n v="1"/>
  </r>
  <r>
    <n v="214641741"/>
    <x v="238"/>
    <x v="251"/>
    <x v="0"/>
    <n v="39"/>
    <s v="month"/>
    <x v="1"/>
    <n v="1"/>
  </r>
  <r>
    <n v="214643362"/>
    <x v="238"/>
    <x v="187"/>
    <x v="0"/>
    <n v="39"/>
    <s v="month"/>
    <x v="94"/>
    <n v="1"/>
  </r>
  <r>
    <n v="214419772"/>
    <x v="239"/>
    <x v="0"/>
    <x v="0"/>
    <n v="39"/>
    <s v="month"/>
    <x v="0"/>
    <n v="2"/>
  </r>
  <r>
    <n v="213227787"/>
    <x v="239"/>
    <x v="0"/>
    <x v="0"/>
    <n v="39"/>
    <s v="month"/>
    <x v="0"/>
    <n v="2"/>
  </r>
  <r>
    <n v="214666572"/>
    <x v="239"/>
    <x v="0"/>
    <x v="0"/>
    <n v="39"/>
    <s v="month"/>
    <x v="0"/>
    <n v="2"/>
  </r>
  <r>
    <n v="126780716"/>
    <x v="239"/>
    <x v="73"/>
    <x v="0"/>
    <n v="39"/>
    <s v="month"/>
    <x v="28"/>
    <n v="2"/>
  </r>
  <r>
    <n v="214682826"/>
    <x v="239"/>
    <x v="73"/>
    <x v="0"/>
    <n v="39"/>
    <s v="month"/>
    <x v="28"/>
    <n v="2"/>
  </r>
  <r>
    <n v="212392663"/>
    <x v="239"/>
    <x v="330"/>
    <x v="0"/>
    <n v="39"/>
    <s v="month"/>
    <x v="182"/>
    <n v="2"/>
  </r>
  <r>
    <n v="147118133"/>
    <x v="239"/>
    <x v="98"/>
    <x v="0"/>
    <n v="39"/>
    <s v="month"/>
    <x v="106"/>
    <n v="2"/>
  </r>
  <r>
    <n v="157031617"/>
    <x v="240"/>
    <x v="0"/>
    <x v="0"/>
    <n v="39"/>
    <s v="month"/>
    <x v="0"/>
    <n v="3"/>
  </r>
  <r>
    <n v="211958379"/>
    <x v="240"/>
    <x v="0"/>
    <x v="0"/>
    <n v="39"/>
    <s v="month"/>
    <x v="0"/>
    <n v="3"/>
  </r>
  <r>
    <n v="152310842"/>
    <x v="240"/>
    <x v="0"/>
    <x v="0"/>
    <n v="39"/>
    <s v="month"/>
    <x v="0"/>
    <n v="3"/>
  </r>
  <r>
    <n v="214711907"/>
    <x v="240"/>
    <x v="0"/>
    <x v="0"/>
    <n v="39"/>
    <s v="month"/>
    <x v="0"/>
    <n v="3"/>
  </r>
  <r>
    <n v="150342446"/>
    <x v="240"/>
    <x v="284"/>
    <x v="0"/>
    <n v="39"/>
    <s v="month"/>
    <x v="1"/>
    <n v="3"/>
  </r>
  <r>
    <n v="214741130"/>
    <x v="240"/>
    <x v="325"/>
    <x v="0"/>
    <n v="39"/>
    <s v="month"/>
    <x v="39"/>
    <n v="3"/>
  </r>
  <r>
    <n v="214734037"/>
    <x v="240"/>
    <x v="338"/>
    <x v="0"/>
    <n v="39"/>
    <s v="month"/>
    <x v="122"/>
    <n v="3"/>
  </r>
  <r>
    <n v="214500293"/>
    <x v="240"/>
    <x v="268"/>
    <x v="0"/>
    <n v="39"/>
    <s v="month"/>
    <x v="167"/>
    <n v="3"/>
  </r>
  <r>
    <n v="214587827"/>
    <x v="240"/>
    <x v="222"/>
    <x v="0"/>
    <n v="39"/>
    <s v="month"/>
    <x v="53"/>
    <n v="3"/>
  </r>
  <r>
    <n v="214739055"/>
    <x v="240"/>
    <x v="252"/>
    <x v="0"/>
    <n v="39"/>
    <s v="month"/>
    <x v="106"/>
    <n v="3"/>
  </r>
  <r>
    <n v="163103693"/>
    <x v="240"/>
    <x v="313"/>
    <x v="0"/>
    <n v="39"/>
    <s v="month"/>
    <x v="158"/>
    <n v="3"/>
  </r>
  <r>
    <n v="214483378"/>
    <x v="241"/>
    <x v="0"/>
    <x v="0"/>
    <n v="39"/>
    <s v="month"/>
    <x v="0"/>
    <n v="4"/>
  </r>
  <r>
    <n v="157883110"/>
    <x v="241"/>
    <x v="0"/>
    <x v="0"/>
    <n v="39"/>
    <s v="month"/>
    <x v="0"/>
    <n v="4"/>
  </r>
  <r>
    <n v="132424181"/>
    <x v="241"/>
    <x v="348"/>
    <x v="0"/>
    <n v="39"/>
    <s v="month"/>
    <x v="200"/>
    <n v="4"/>
  </r>
  <r>
    <n v="214805206"/>
    <x v="241"/>
    <x v="177"/>
    <x v="0"/>
    <n v="39"/>
    <s v="month"/>
    <x v="122"/>
    <n v="4"/>
  </r>
  <r>
    <n v="214641940"/>
    <x v="241"/>
    <x v="157"/>
    <x v="0"/>
    <n v="39"/>
    <s v="month"/>
    <x v="87"/>
    <n v="4"/>
  </r>
  <r>
    <n v="206112289"/>
    <x v="241"/>
    <x v="303"/>
    <x v="0"/>
    <n v="39"/>
    <s v="month"/>
    <x v="57"/>
    <n v="4"/>
  </r>
  <r>
    <n v="214781323"/>
    <x v="241"/>
    <x v="330"/>
    <x v="0"/>
    <n v="39"/>
    <s v="month"/>
    <x v="86"/>
    <n v="4"/>
  </r>
  <r>
    <n v="214767936"/>
    <x v="241"/>
    <x v="284"/>
    <x v="0"/>
    <n v="39"/>
    <s v="month"/>
    <x v="11"/>
    <n v="4"/>
  </r>
  <r>
    <n v="182023209"/>
    <x v="241"/>
    <x v="342"/>
    <x v="0"/>
    <n v="39"/>
    <s v="month"/>
    <x v="125"/>
    <n v="4"/>
  </r>
  <r>
    <n v="148513036"/>
    <x v="242"/>
    <x v="0"/>
    <x v="0"/>
    <n v="39"/>
    <s v="month"/>
    <x v="0"/>
    <n v="5"/>
  </r>
  <r>
    <n v="157910445"/>
    <x v="242"/>
    <x v="0"/>
    <x v="0"/>
    <n v="39"/>
    <s v="month"/>
    <x v="0"/>
    <n v="5"/>
  </r>
  <r>
    <n v="213810773"/>
    <x v="242"/>
    <x v="294"/>
    <x v="0"/>
    <n v="39"/>
    <s v="month"/>
    <x v="121"/>
    <n v="5"/>
  </r>
  <r>
    <n v="154820233"/>
    <x v="242"/>
    <x v="209"/>
    <x v="0"/>
    <n v="39"/>
    <s v="month"/>
    <x v="169"/>
    <n v="5"/>
  </r>
  <r>
    <n v="214248197"/>
    <x v="242"/>
    <x v="212"/>
    <x v="0"/>
    <n v="39"/>
    <s v="month"/>
    <x v="72"/>
    <n v="5"/>
  </r>
  <r>
    <n v="214818730"/>
    <x v="242"/>
    <x v="73"/>
    <x v="0"/>
    <n v="39"/>
    <s v="month"/>
    <x v="44"/>
    <n v="5"/>
  </r>
  <r>
    <n v="186667733"/>
    <x v="242"/>
    <x v="73"/>
    <x v="0"/>
    <n v="39"/>
    <s v="month"/>
    <x v="44"/>
    <n v="5"/>
  </r>
  <r>
    <n v="214901781"/>
    <x v="243"/>
    <x v="0"/>
    <x v="0"/>
    <n v="39"/>
    <s v="month"/>
    <x v="0"/>
    <n v="6"/>
  </r>
  <r>
    <n v="214884589"/>
    <x v="243"/>
    <x v="0"/>
    <x v="0"/>
    <n v="39"/>
    <s v="month"/>
    <x v="0"/>
    <n v="6"/>
  </r>
  <r>
    <n v="210344586"/>
    <x v="243"/>
    <x v="0"/>
    <x v="0"/>
    <n v="39"/>
    <s v="month"/>
    <x v="0"/>
    <n v="6"/>
  </r>
  <r>
    <n v="214813191"/>
    <x v="243"/>
    <x v="0"/>
    <x v="0"/>
    <n v="39"/>
    <s v="month"/>
    <x v="0"/>
    <n v="6"/>
  </r>
  <r>
    <n v="214880602"/>
    <x v="243"/>
    <x v="0"/>
    <x v="0"/>
    <n v="39"/>
    <s v="month"/>
    <x v="0"/>
    <n v="6"/>
  </r>
  <r>
    <n v="186140999"/>
    <x v="243"/>
    <x v="127"/>
    <x v="0"/>
    <n v="39"/>
    <s v="month"/>
    <x v="72"/>
    <n v="6"/>
  </r>
  <r>
    <n v="214860336"/>
    <x v="243"/>
    <x v="244"/>
    <x v="0"/>
    <n v="39"/>
    <s v="month"/>
    <x v="26"/>
    <n v="6"/>
  </r>
  <r>
    <n v="138725699"/>
    <x v="243"/>
    <x v="303"/>
    <x v="0"/>
    <n v="39"/>
    <s v="month"/>
    <x v="87"/>
    <n v="6"/>
  </r>
  <r>
    <n v="132315255"/>
    <x v="243"/>
    <x v="320"/>
    <x v="0"/>
    <n v="39"/>
    <s v="month"/>
    <x v="11"/>
    <n v="6"/>
  </r>
  <r>
    <n v="208202304"/>
    <x v="243"/>
    <x v="320"/>
    <x v="0"/>
    <n v="39"/>
    <s v="month"/>
    <x v="11"/>
    <n v="6"/>
  </r>
  <r>
    <n v="214869362"/>
    <x v="243"/>
    <x v="285"/>
    <x v="0"/>
    <n v="39"/>
    <s v="month"/>
    <x v="20"/>
    <n v="6"/>
  </r>
  <r>
    <n v="207118054"/>
    <x v="244"/>
    <x v="0"/>
    <x v="0"/>
    <n v="39"/>
    <s v="month"/>
    <x v="0"/>
    <n v="7"/>
  </r>
  <r>
    <n v="214856586"/>
    <x v="244"/>
    <x v="0"/>
    <x v="0"/>
    <n v="39"/>
    <s v="month"/>
    <x v="0"/>
    <n v="7"/>
  </r>
  <r>
    <n v="201945254"/>
    <x v="244"/>
    <x v="212"/>
    <x v="0"/>
    <n v="39"/>
    <s v="month"/>
    <x v="62"/>
    <n v="7"/>
  </r>
  <r>
    <n v="134531651"/>
    <x v="245"/>
    <x v="0"/>
    <x v="0"/>
    <n v="39"/>
    <s v="month"/>
    <x v="0"/>
    <n v="1"/>
  </r>
  <r>
    <n v="204865394"/>
    <x v="245"/>
    <x v="0"/>
    <x v="0"/>
    <n v="39"/>
    <s v="month"/>
    <x v="0"/>
    <n v="1"/>
  </r>
  <r>
    <n v="158906669"/>
    <x v="245"/>
    <x v="0"/>
    <x v="0"/>
    <n v="39"/>
    <s v="month"/>
    <x v="0"/>
    <n v="1"/>
  </r>
  <r>
    <n v="125591366"/>
    <x v="245"/>
    <x v="310"/>
    <x v="0"/>
    <n v="39"/>
    <s v="month"/>
    <x v="53"/>
    <n v="1"/>
  </r>
  <r>
    <n v="214839844"/>
    <x v="245"/>
    <x v="160"/>
    <x v="0"/>
    <n v="39"/>
    <s v="month"/>
    <x v="94"/>
    <n v="1"/>
  </r>
  <r>
    <n v="214939612"/>
    <x v="245"/>
    <x v="244"/>
    <x v="0"/>
    <n v="39"/>
    <s v="month"/>
    <x v="110"/>
    <n v="1"/>
  </r>
  <r>
    <n v="204670100"/>
    <x v="245"/>
    <x v="346"/>
    <x v="0"/>
    <n v="39"/>
    <s v="month"/>
    <x v="39"/>
    <n v="1"/>
  </r>
  <r>
    <n v="214830539"/>
    <x v="245"/>
    <x v="69"/>
    <x v="0"/>
    <n v="39"/>
    <s v="month"/>
    <x v="87"/>
    <n v="1"/>
  </r>
  <r>
    <n v="185952990"/>
    <x v="245"/>
    <x v="157"/>
    <x v="0"/>
    <n v="39"/>
    <s v="month"/>
    <x v="36"/>
    <n v="1"/>
  </r>
  <r>
    <n v="214936311"/>
    <x v="245"/>
    <x v="235"/>
    <x v="0"/>
    <n v="39"/>
    <s v="month"/>
    <x v="11"/>
    <n v="1"/>
  </r>
  <r>
    <n v="214620392"/>
    <x v="245"/>
    <x v="160"/>
    <x v="0"/>
    <n v="39"/>
    <s v="month"/>
    <x v="94"/>
    <n v="1"/>
  </r>
  <r>
    <n v="157935884"/>
    <x v="246"/>
    <x v="0"/>
    <x v="0"/>
    <n v="39"/>
    <s v="month"/>
    <x v="0"/>
    <n v="2"/>
  </r>
  <r>
    <n v="214945706"/>
    <x v="246"/>
    <x v="0"/>
    <x v="0"/>
    <n v="39"/>
    <s v="month"/>
    <x v="0"/>
    <n v="2"/>
  </r>
  <r>
    <n v="214999374"/>
    <x v="246"/>
    <x v="0"/>
    <x v="0"/>
    <n v="39"/>
    <s v="month"/>
    <x v="0"/>
    <n v="2"/>
  </r>
  <r>
    <n v="214986467"/>
    <x v="246"/>
    <x v="0"/>
    <x v="0"/>
    <n v="39"/>
    <s v="month"/>
    <x v="0"/>
    <n v="2"/>
  </r>
  <r>
    <n v="214984741"/>
    <x v="246"/>
    <x v="0"/>
    <x v="0"/>
    <n v="39"/>
    <s v="month"/>
    <x v="0"/>
    <n v="2"/>
  </r>
  <r>
    <n v="214993166"/>
    <x v="246"/>
    <x v="0"/>
    <x v="0"/>
    <n v="39"/>
    <s v="month"/>
    <x v="0"/>
    <n v="2"/>
  </r>
  <r>
    <n v="203116697"/>
    <x v="246"/>
    <x v="0"/>
    <x v="0"/>
    <n v="39"/>
    <s v="month"/>
    <x v="0"/>
    <n v="2"/>
  </r>
  <r>
    <n v="214906741"/>
    <x v="246"/>
    <x v="0"/>
    <x v="0"/>
    <n v="39"/>
    <s v="month"/>
    <x v="0"/>
    <n v="2"/>
  </r>
  <r>
    <n v="128977818"/>
    <x v="246"/>
    <x v="349"/>
    <x v="0"/>
    <n v="39"/>
    <s v="month"/>
    <x v="147"/>
    <n v="2"/>
  </r>
  <r>
    <n v="209743418"/>
    <x v="246"/>
    <x v="96"/>
    <x v="0"/>
    <n v="39"/>
    <s v="month"/>
    <x v="1"/>
    <n v="2"/>
  </r>
  <r>
    <n v="209743418"/>
    <x v="246"/>
    <x v="341"/>
    <x v="0"/>
    <n v="39"/>
    <s v="month"/>
    <x v="94"/>
    <n v="2"/>
  </r>
  <r>
    <n v="130868671"/>
    <x v="246"/>
    <x v="69"/>
    <x v="0"/>
    <n v="39"/>
    <s v="month"/>
    <x v="14"/>
    <n v="2"/>
  </r>
  <r>
    <n v="146963394"/>
    <x v="246"/>
    <x v="255"/>
    <x v="0"/>
    <n v="39"/>
    <s v="month"/>
    <x v="110"/>
    <n v="2"/>
  </r>
  <r>
    <n v="214960770"/>
    <x v="246"/>
    <x v="244"/>
    <x v="0"/>
    <n v="39"/>
    <s v="month"/>
    <x v="109"/>
    <n v="2"/>
  </r>
  <r>
    <n v="207344872"/>
    <x v="246"/>
    <x v="298"/>
    <x v="0"/>
    <n v="39"/>
    <s v="month"/>
    <x v="35"/>
    <n v="2"/>
  </r>
  <r>
    <n v="202925989"/>
    <x v="246"/>
    <x v="273"/>
    <x v="0"/>
    <n v="39"/>
    <s v="month"/>
    <x v="87"/>
    <n v="2"/>
  </r>
  <r>
    <n v="214991976"/>
    <x v="246"/>
    <x v="311"/>
    <x v="0"/>
    <n v="39"/>
    <s v="month"/>
    <x v="19"/>
    <n v="2"/>
  </r>
  <r>
    <n v="211917633"/>
    <x v="246"/>
    <x v="45"/>
    <x v="0"/>
    <n v="39"/>
    <s v="month"/>
    <x v="118"/>
    <n v="2"/>
  </r>
  <r>
    <n v="214623264"/>
    <x v="246"/>
    <x v="348"/>
    <x v="0"/>
    <n v="39"/>
    <s v="month"/>
    <x v="39"/>
    <n v="2"/>
  </r>
  <r>
    <n v="205339362"/>
    <x v="246"/>
    <x v="341"/>
    <x v="0"/>
    <n v="39"/>
    <s v="month"/>
    <x v="94"/>
    <n v="2"/>
  </r>
  <r>
    <n v="214956352"/>
    <x v="247"/>
    <x v="0"/>
    <x v="0"/>
    <n v="39"/>
    <s v="month"/>
    <x v="0"/>
    <n v="3"/>
  </r>
  <r>
    <n v="196061402"/>
    <x v="247"/>
    <x v="0"/>
    <x v="0"/>
    <n v="39"/>
    <s v="month"/>
    <x v="0"/>
    <n v="3"/>
  </r>
  <r>
    <n v="215019022"/>
    <x v="247"/>
    <x v="0"/>
    <x v="0"/>
    <n v="39"/>
    <s v="month"/>
    <x v="0"/>
    <n v="3"/>
  </r>
  <r>
    <n v="185517087"/>
    <x v="247"/>
    <x v="0"/>
    <x v="0"/>
    <n v="39"/>
    <s v="month"/>
    <x v="0"/>
    <n v="3"/>
  </r>
  <r>
    <n v="151513254"/>
    <x v="247"/>
    <x v="96"/>
    <x v="0"/>
    <n v="39"/>
    <s v="month"/>
    <x v="11"/>
    <n v="3"/>
  </r>
  <r>
    <n v="214952558"/>
    <x v="247"/>
    <x v="15"/>
    <x v="1"/>
    <n v="39"/>
    <s v="month"/>
    <x v="1"/>
    <n v="3"/>
  </r>
  <r>
    <n v="139339380"/>
    <x v="247"/>
    <x v="180"/>
    <x v="0"/>
    <n v="39"/>
    <s v="month"/>
    <x v="57"/>
    <n v="3"/>
  </r>
  <r>
    <n v="208188866"/>
    <x v="247"/>
    <x v="270"/>
    <x v="0"/>
    <n v="39"/>
    <s v="month"/>
    <x v="28"/>
    <n v="3"/>
  </r>
  <r>
    <n v="150342446"/>
    <x v="247"/>
    <x v="291"/>
    <x v="0"/>
    <n v="39"/>
    <s v="month"/>
    <x v="87"/>
    <n v="3"/>
  </r>
  <r>
    <n v="188748372"/>
    <x v="247"/>
    <x v="291"/>
    <x v="0"/>
    <n v="39"/>
    <s v="month"/>
    <x v="87"/>
    <n v="3"/>
  </r>
  <r>
    <n v="215034356"/>
    <x v="247"/>
    <x v="96"/>
    <x v="0"/>
    <n v="39"/>
    <s v="month"/>
    <x v="11"/>
    <n v="3"/>
  </r>
  <r>
    <n v="145013444"/>
    <x v="247"/>
    <x v="323"/>
    <x v="0"/>
    <n v="39"/>
    <s v="month"/>
    <x v="40"/>
    <n v="3"/>
  </r>
  <r>
    <n v="164548755"/>
    <x v="247"/>
    <x v="249"/>
    <x v="0"/>
    <n v="39"/>
    <s v="month"/>
    <x v="39"/>
    <n v="3"/>
  </r>
  <r>
    <n v="193315330"/>
    <x v="247"/>
    <x v="55"/>
    <x v="0"/>
    <n v="39"/>
    <s v="month"/>
    <x v="106"/>
    <n v="3"/>
  </r>
  <r>
    <n v="147592201"/>
    <x v="248"/>
    <x v="0"/>
    <x v="0"/>
    <n v="39"/>
    <s v="month"/>
    <x v="0"/>
    <n v="4"/>
  </r>
  <r>
    <n v="192068317"/>
    <x v="248"/>
    <x v="0"/>
    <x v="0"/>
    <n v="39"/>
    <s v="month"/>
    <x v="0"/>
    <n v="4"/>
  </r>
  <r>
    <n v="214396083"/>
    <x v="248"/>
    <x v="0"/>
    <x v="0"/>
    <n v="39"/>
    <s v="month"/>
    <x v="0"/>
    <n v="4"/>
  </r>
  <r>
    <n v="214698924"/>
    <x v="248"/>
    <x v="15"/>
    <x v="0"/>
    <n v="39"/>
    <s v="month"/>
    <x v="11"/>
    <n v="4"/>
  </r>
  <r>
    <n v="153402484"/>
    <x v="248"/>
    <x v="270"/>
    <x v="0"/>
    <n v="39"/>
    <s v="month"/>
    <x v="35"/>
    <n v="4"/>
  </r>
  <r>
    <n v="214809412"/>
    <x v="248"/>
    <x v="252"/>
    <x v="0"/>
    <n v="39"/>
    <s v="month"/>
    <x v="53"/>
    <n v="4"/>
  </r>
  <r>
    <n v="215062365"/>
    <x v="248"/>
    <x v="204"/>
    <x v="0"/>
    <n v="39"/>
    <s v="month"/>
    <x v="93"/>
    <n v="4"/>
  </r>
  <r>
    <n v="135185873"/>
    <x v="249"/>
    <x v="0"/>
    <x v="0"/>
    <n v="39"/>
    <s v="month"/>
    <x v="0"/>
    <n v="5"/>
  </r>
  <r>
    <n v="144898968"/>
    <x v="249"/>
    <x v="0"/>
    <x v="0"/>
    <n v="39"/>
    <s v="month"/>
    <x v="0"/>
    <n v="5"/>
  </r>
  <r>
    <n v="214973231"/>
    <x v="249"/>
    <x v="0"/>
    <x v="0"/>
    <n v="39"/>
    <s v="month"/>
    <x v="0"/>
    <n v="5"/>
  </r>
  <r>
    <n v="214971897"/>
    <x v="249"/>
    <x v="0"/>
    <x v="0"/>
    <n v="39"/>
    <s v="month"/>
    <x v="0"/>
    <n v="5"/>
  </r>
  <r>
    <n v="134919488"/>
    <x v="249"/>
    <x v="307"/>
    <x v="0"/>
    <n v="39"/>
    <s v="month"/>
    <x v="138"/>
    <n v="5"/>
  </r>
  <r>
    <n v="214912916"/>
    <x v="249"/>
    <x v="186"/>
    <x v="0"/>
    <n v="39"/>
    <s v="month"/>
    <x v="28"/>
    <n v="5"/>
  </r>
  <r>
    <n v="215138344"/>
    <x v="249"/>
    <x v="212"/>
    <x v="0"/>
    <n v="39"/>
    <s v="month"/>
    <x v="2"/>
    <n v="5"/>
  </r>
  <r>
    <n v="215132378"/>
    <x v="249"/>
    <x v="304"/>
    <x v="0"/>
    <n v="39"/>
    <s v="month"/>
    <x v="9"/>
    <n v="5"/>
  </r>
  <r>
    <n v="206145911"/>
    <x v="249"/>
    <x v="322"/>
    <x v="0"/>
    <n v="39"/>
    <s v="month"/>
    <x v="11"/>
    <n v="5"/>
  </r>
  <r>
    <n v="215146368"/>
    <x v="249"/>
    <x v="171"/>
    <x v="0"/>
    <n v="39"/>
    <s v="month"/>
    <x v="63"/>
    <n v="5"/>
  </r>
  <r>
    <n v="133199506"/>
    <x v="250"/>
    <x v="0"/>
    <x v="0"/>
    <n v="39"/>
    <s v="month"/>
    <x v="0"/>
    <n v="6"/>
  </r>
  <r>
    <n v="202763494"/>
    <x v="250"/>
    <x v="0"/>
    <x v="0"/>
    <n v="39"/>
    <s v="month"/>
    <x v="0"/>
    <n v="6"/>
  </r>
  <r>
    <n v="215113205"/>
    <x v="250"/>
    <x v="0"/>
    <x v="0"/>
    <n v="39"/>
    <s v="month"/>
    <x v="0"/>
    <n v="6"/>
  </r>
  <r>
    <n v="147097108"/>
    <x v="250"/>
    <x v="0"/>
    <x v="0"/>
    <n v="39"/>
    <s v="month"/>
    <x v="0"/>
    <n v="6"/>
  </r>
  <r>
    <n v="186692270"/>
    <x v="250"/>
    <x v="0"/>
    <x v="0"/>
    <n v="39"/>
    <s v="month"/>
    <x v="0"/>
    <n v="6"/>
  </r>
  <r>
    <n v="215169444"/>
    <x v="250"/>
    <x v="0"/>
    <x v="0"/>
    <n v="39"/>
    <s v="month"/>
    <x v="0"/>
    <n v="6"/>
  </r>
  <r>
    <n v="114992353"/>
    <x v="250"/>
    <x v="332"/>
    <x v="0"/>
    <n v="39"/>
    <s v="month"/>
    <x v="166"/>
    <n v="6"/>
  </r>
  <r>
    <n v="212339137"/>
    <x v="250"/>
    <x v="174"/>
    <x v="0"/>
    <n v="39"/>
    <s v="month"/>
    <x v="1"/>
    <n v="6"/>
  </r>
  <r>
    <n v="175564124"/>
    <x v="250"/>
    <x v="343"/>
    <x v="0"/>
    <n v="39"/>
    <s v="month"/>
    <x v="182"/>
    <n v="6"/>
  </r>
  <r>
    <n v="174646950"/>
    <x v="250"/>
    <x v="338"/>
    <x v="0"/>
    <n v="39"/>
    <s v="month"/>
    <x v="87"/>
    <n v="6"/>
  </r>
  <r>
    <n v="215075697"/>
    <x v="250"/>
    <x v="186"/>
    <x v="0"/>
    <n v="39"/>
    <s v="month"/>
    <x v="35"/>
    <n v="6"/>
  </r>
  <r>
    <n v="215149530"/>
    <x v="250"/>
    <x v="187"/>
    <x v="0"/>
    <n v="39"/>
    <s v="month"/>
    <x v="78"/>
    <n v="6"/>
  </r>
  <r>
    <n v="215226464"/>
    <x v="251"/>
    <x v="0"/>
    <x v="0"/>
    <n v="39"/>
    <s v="month"/>
    <x v="0"/>
    <n v="7"/>
  </r>
  <r>
    <n v="215221354"/>
    <x v="251"/>
    <x v="0"/>
    <x v="0"/>
    <n v="39"/>
    <s v="month"/>
    <x v="0"/>
    <n v="7"/>
  </r>
  <r>
    <n v="215031638"/>
    <x v="251"/>
    <x v="0"/>
    <x v="0"/>
    <n v="39"/>
    <s v="month"/>
    <x v="0"/>
    <n v="7"/>
  </r>
  <r>
    <n v="182019861"/>
    <x v="252"/>
    <x v="0"/>
    <x v="0"/>
    <n v="39"/>
    <s v="month"/>
    <x v="0"/>
    <n v="1"/>
  </r>
  <r>
    <n v="210072231"/>
    <x v="252"/>
    <x v="0"/>
    <x v="0"/>
    <n v="39"/>
    <s v="month"/>
    <x v="0"/>
    <n v="1"/>
  </r>
  <r>
    <n v="127328847"/>
    <x v="252"/>
    <x v="237"/>
    <x v="0"/>
    <n v="39"/>
    <s v="month"/>
    <x v="1"/>
    <n v="1"/>
  </r>
  <r>
    <n v="155566052"/>
    <x v="252"/>
    <x v="303"/>
    <x v="0"/>
    <n v="39"/>
    <s v="month"/>
    <x v="72"/>
    <n v="1"/>
  </r>
  <r>
    <n v="151513254"/>
    <x v="252"/>
    <x v="177"/>
    <x v="0"/>
    <n v="39"/>
    <s v="month"/>
    <x v="14"/>
    <n v="1"/>
  </r>
  <r>
    <n v="152236400"/>
    <x v="252"/>
    <x v="241"/>
    <x v="0"/>
    <n v="39"/>
    <s v="month"/>
    <x v="95"/>
    <n v="1"/>
  </r>
  <r>
    <n v="215030324"/>
    <x v="252"/>
    <x v="332"/>
    <x v="0"/>
    <n v="39"/>
    <s v="month"/>
    <x v="77"/>
    <n v="1"/>
  </r>
  <r>
    <n v="206087650"/>
    <x v="252"/>
    <x v="350"/>
    <x v="0"/>
    <n v="39"/>
    <s v="month"/>
    <x v="39"/>
    <n v="1"/>
  </r>
  <r>
    <n v="136252657"/>
    <x v="253"/>
    <x v="209"/>
    <x v="0"/>
    <n v="39"/>
    <s v="month"/>
    <x v="187"/>
    <n v="2"/>
  </r>
  <r>
    <n v="134753801"/>
    <x v="253"/>
    <x v="315"/>
    <x v="0"/>
    <n v="39"/>
    <s v="month"/>
    <x v="27"/>
    <n v="2"/>
  </r>
  <r>
    <n v="155245092"/>
    <x v="253"/>
    <x v="291"/>
    <x v="0"/>
    <n v="39"/>
    <s v="month"/>
    <x v="50"/>
    <n v="2"/>
  </r>
  <r>
    <n v="214905500"/>
    <x v="253"/>
    <x v="313"/>
    <x v="0"/>
    <n v="39"/>
    <s v="month"/>
    <x v="106"/>
    <n v="2"/>
  </r>
  <r>
    <n v="215152504"/>
    <x v="254"/>
    <x v="0"/>
    <x v="0"/>
    <n v="39"/>
    <s v="month"/>
    <x v="0"/>
    <n v="3"/>
  </r>
  <r>
    <n v="215336639"/>
    <x v="254"/>
    <x v="0"/>
    <x v="0"/>
    <n v="39"/>
    <s v="month"/>
    <x v="0"/>
    <n v="3"/>
  </r>
  <r>
    <n v="215220026"/>
    <x v="254"/>
    <x v="0"/>
    <x v="0"/>
    <n v="39"/>
    <s v="month"/>
    <x v="0"/>
    <n v="3"/>
  </r>
  <r>
    <n v="202395800"/>
    <x v="254"/>
    <x v="0"/>
    <x v="0"/>
    <n v="39"/>
    <s v="month"/>
    <x v="0"/>
    <n v="3"/>
  </r>
  <r>
    <n v="215289431"/>
    <x v="254"/>
    <x v="313"/>
    <x v="0"/>
    <n v="39"/>
    <s v="month"/>
    <x v="12"/>
    <n v="3"/>
  </r>
  <r>
    <n v="182102820"/>
    <x v="254"/>
    <x v="258"/>
    <x v="0"/>
    <n v="39"/>
    <s v="month"/>
    <x v="1"/>
    <n v="3"/>
  </r>
  <r>
    <n v="215322558"/>
    <x v="254"/>
    <x v="147"/>
    <x v="0"/>
    <n v="39"/>
    <s v="month"/>
    <x v="87"/>
    <n v="3"/>
  </r>
  <r>
    <n v="215347417"/>
    <x v="254"/>
    <x v="45"/>
    <x v="0"/>
    <n v="39"/>
    <s v="month"/>
    <x v="173"/>
    <n v="3"/>
  </r>
  <r>
    <n v="215203944"/>
    <x v="254"/>
    <x v="279"/>
    <x v="0"/>
    <n v="39"/>
    <s v="month"/>
    <x v="109"/>
    <n v="3"/>
  </r>
  <r>
    <n v="215350747"/>
    <x v="254"/>
    <x v="204"/>
    <x v="0"/>
    <n v="39"/>
    <s v="month"/>
    <x v="132"/>
    <n v="3"/>
  </r>
  <r>
    <n v="215254830"/>
    <x v="254"/>
    <x v="305"/>
    <x v="0"/>
    <n v="39"/>
    <s v="month"/>
    <x v="234"/>
    <n v="3"/>
  </r>
  <r>
    <n v="192908537"/>
    <x v="254"/>
    <x v="291"/>
    <x v="0"/>
    <n v="39"/>
    <s v="month"/>
    <x v="28"/>
    <n v="3"/>
  </r>
  <r>
    <n v="123007965"/>
    <x v="255"/>
    <x v="0"/>
    <x v="0"/>
    <n v="39"/>
    <s v="month"/>
    <x v="0"/>
    <n v="4"/>
  </r>
  <r>
    <n v="151711223"/>
    <x v="255"/>
    <x v="0"/>
    <x v="0"/>
    <n v="39"/>
    <s v="month"/>
    <x v="0"/>
    <n v="4"/>
  </r>
  <r>
    <n v="130751382"/>
    <x v="255"/>
    <x v="0"/>
    <x v="0"/>
    <n v="39"/>
    <s v="month"/>
    <x v="0"/>
    <n v="4"/>
  </r>
  <r>
    <n v="126037254"/>
    <x v="255"/>
    <x v="0"/>
    <x v="0"/>
    <n v="39"/>
    <s v="month"/>
    <x v="0"/>
    <n v="4"/>
  </r>
  <r>
    <n v="133469770"/>
    <x v="255"/>
    <x v="0"/>
    <x v="0"/>
    <n v="39"/>
    <s v="month"/>
    <x v="0"/>
    <n v="4"/>
  </r>
  <r>
    <n v="133565657"/>
    <x v="255"/>
    <x v="195"/>
    <x v="0"/>
    <n v="39"/>
    <s v="month"/>
    <x v="93"/>
    <n v="4"/>
  </r>
  <r>
    <n v="215307979"/>
    <x v="255"/>
    <x v="345"/>
    <x v="0"/>
    <n v="39"/>
    <s v="month"/>
    <x v="87"/>
    <n v="4"/>
  </r>
  <r>
    <n v="174289942"/>
    <x v="255"/>
    <x v="350"/>
    <x v="0"/>
    <n v="39"/>
    <s v="month"/>
    <x v="197"/>
    <n v="4"/>
  </r>
  <r>
    <n v="215366550"/>
    <x v="255"/>
    <x v="222"/>
    <x v="0"/>
    <n v="39"/>
    <s v="month"/>
    <x v="83"/>
    <n v="4"/>
  </r>
  <r>
    <n v="210361390"/>
    <x v="256"/>
    <x v="0"/>
    <x v="0"/>
    <n v="39"/>
    <s v="month"/>
    <x v="0"/>
    <n v="5"/>
  </r>
  <r>
    <n v="120738319"/>
    <x v="256"/>
    <x v="0"/>
    <x v="0"/>
    <n v="39"/>
    <s v="month"/>
    <x v="0"/>
    <n v="5"/>
  </r>
  <r>
    <n v="214122861"/>
    <x v="256"/>
    <x v="0"/>
    <x v="0"/>
    <n v="39"/>
    <s v="month"/>
    <x v="0"/>
    <n v="5"/>
  </r>
  <r>
    <n v="214793162"/>
    <x v="256"/>
    <x v="0"/>
    <x v="0"/>
    <n v="39"/>
    <s v="month"/>
    <x v="0"/>
    <n v="5"/>
  </r>
  <r>
    <n v="215420480"/>
    <x v="256"/>
    <x v="349"/>
    <x v="0"/>
    <n v="39"/>
    <s v="month"/>
    <x v="65"/>
    <n v="5"/>
  </r>
  <r>
    <n v="215415792"/>
    <x v="256"/>
    <x v="171"/>
    <x v="1"/>
    <n v="39"/>
    <s v="month"/>
    <x v="1"/>
    <n v="5"/>
  </r>
  <r>
    <n v="152705871"/>
    <x v="256"/>
    <x v="45"/>
    <x v="0"/>
    <n v="39"/>
    <s v="month"/>
    <x v="42"/>
    <n v="5"/>
  </r>
  <r>
    <n v="168265029"/>
    <x v="256"/>
    <x v="285"/>
    <x v="0"/>
    <n v="39"/>
    <s v="month"/>
    <x v="214"/>
    <n v="5"/>
  </r>
  <r>
    <n v="215428908"/>
    <x v="256"/>
    <x v="338"/>
    <x v="0"/>
    <n v="39"/>
    <s v="month"/>
    <x v="50"/>
    <n v="5"/>
  </r>
  <r>
    <n v="215189952"/>
    <x v="256"/>
    <x v="3"/>
    <x v="0"/>
    <n v="39"/>
    <s v="month"/>
    <x v="190"/>
    <n v="5"/>
  </r>
  <r>
    <n v="208168256"/>
    <x v="256"/>
    <x v="180"/>
    <x v="0"/>
    <n v="39"/>
    <s v="month"/>
    <x v="28"/>
    <n v="5"/>
  </r>
  <r>
    <n v="163193072"/>
    <x v="257"/>
    <x v="0"/>
    <x v="0"/>
    <n v="39"/>
    <s v="month"/>
    <x v="0"/>
    <n v="6"/>
  </r>
  <r>
    <n v="153449481"/>
    <x v="257"/>
    <x v="126"/>
    <x v="0"/>
    <n v="39"/>
    <s v="month"/>
    <x v="1"/>
    <n v="6"/>
  </r>
  <r>
    <n v="215384745"/>
    <x v="257"/>
    <x v="180"/>
    <x v="0"/>
    <n v="39"/>
    <s v="month"/>
    <x v="35"/>
    <n v="6"/>
  </r>
  <r>
    <n v="160904253"/>
    <x v="257"/>
    <x v="321"/>
    <x v="0"/>
    <n v="39"/>
    <s v="month"/>
    <x v="87"/>
    <n v="6"/>
  </r>
  <r>
    <n v="215476119"/>
    <x v="257"/>
    <x v="321"/>
    <x v="0"/>
    <n v="39"/>
    <s v="month"/>
    <x v="87"/>
    <n v="6"/>
  </r>
  <r>
    <n v="214624328"/>
    <x v="257"/>
    <x v="69"/>
    <x v="0"/>
    <n v="39"/>
    <s v="month"/>
    <x v="20"/>
    <n v="6"/>
  </r>
  <r>
    <n v="215463105"/>
    <x v="257"/>
    <x v="267"/>
    <x v="0"/>
    <n v="39"/>
    <s v="month"/>
    <x v="63"/>
    <n v="6"/>
  </r>
  <r>
    <n v="187368519"/>
    <x v="257"/>
    <x v="262"/>
    <x v="0"/>
    <n v="39"/>
    <s v="month"/>
    <x v="106"/>
    <n v="6"/>
  </r>
  <r>
    <n v="206139986"/>
    <x v="257"/>
    <x v="314"/>
    <x v="0"/>
    <n v="39"/>
    <s v="month"/>
    <x v="8"/>
    <n v="6"/>
  </r>
  <r>
    <n v="215473481"/>
    <x v="257"/>
    <x v="346"/>
    <x v="0"/>
    <n v="39"/>
    <s v="month"/>
    <x v="109"/>
    <n v="6"/>
  </r>
  <r>
    <n v="214967111"/>
    <x v="258"/>
    <x v="0"/>
    <x v="0"/>
    <n v="39"/>
    <s v="month"/>
    <x v="0"/>
    <n v="7"/>
  </r>
  <r>
    <n v="215472324"/>
    <x v="258"/>
    <x v="293"/>
    <x v="0"/>
    <n v="39"/>
    <s v="month"/>
    <x v="87"/>
    <n v="7"/>
  </r>
  <r>
    <n v="146557284"/>
    <x v="258"/>
    <x v="173"/>
    <x v="0"/>
    <n v="39"/>
    <s v="month"/>
    <x v="50"/>
    <n v="7"/>
  </r>
  <r>
    <n v="215486098"/>
    <x v="259"/>
    <x v="0"/>
    <x v="0"/>
    <n v="39"/>
    <s v="month"/>
    <x v="0"/>
    <n v="1"/>
  </r>
  <r>
    <n v="119436804"/>
    <x v="259"/>
    <x v="0"/>
    <x v="0"/>
    <n v="39"/>
    <s v="month"/>
    <x v="0"/>
    <n v="1"/>
  </r>
  <r>
    <n v="127100688"/>
    <x v="259"/>
    <x v="288"/>
    <x v="0"/>
    <n v="39"/>
    <s v="month"/>
    <x v="1"/>
    <n v="1"/>
  </r>
  <r>
    <n v="134524378"/>
    <x v="259"/>
    <x v="288"/>
    <x v="0"/>
    <n v="39"/>
    <s v="month"/>
    <x v="1"/>
    <n v="1"/>
  </r>
  <r>
    <n v="134652589"/>
    <x v="259"/>
    <x v="326"/>
    <x v="0"/>
    <n v="39"/>
    <s v="month"/>
    <x v="11"/>
    <n v="1"/>
  </r>
  <r>
    <n v="214134251"/>
    <x v="259"/>
    <x v="288"/>
    <x v="1"/>
    <n v="39"/>
    <s v="month"/>
    <x v="1"/>
    <n v="1"/>
  </r>
  <r>
    <n v="215565049"/>
    <x v="259"/>
    <x v="326"/>
    <x v="0"/>
    <n v="39"/>
    <s v="month"/>
    <x v="11"/>
    <n v="1"/>
  </r>
  <r>
    <n v="215606026"/>
    <x v="259"/>
    <x v="240"/>
    <x v="0"/>
    <n v="39"/>
    <s v="month"/>
    <x v="8"/>
    <n v="1"/>
  </r>
  <r>
    <n v="215678881"/>
    <x v="260"/>
    <x v="0"/>
    <x v="0"/>
    <n v="39"/>
    <s v="month"/>
    <x v="0"/>
    <n v="2"/>
  </r>
  <r>
    <n v="212356610"/>
    <x v="260"/>
    <x v="0"/>
    <x v="0"/>
    <n v="39"/>
    <s v="month"/>
    <x v="0"/>
    <n v="2"/>
  </r>
  <r>
    <n v="215336118"/>
    <x v="260"/>
    <x v="0"/>
    <x v="0"/>
    <n v="39"/>
    <s v="month"/>
    <x v="0"/>
    <n v="2"/>
  </r>
  <r>
    <n v="215664306"/>
    <x v="260"/>
    <x v="0"/>
    <x v="0"/>
    <n v="39"/>
    <s v="month"/>
    <x v="0"/>
    <n v="2"/>
  </r>
  <r>
    <n v="215643802"/>
    <x v="260"/>
    <x v="0"/>
    <x v="0"/>
    <n v="39"/>
    <s v="month"/>
    <x v="0"/>
    <n v="2"/>
  </r>
  <r>
    <n v="206177720"/>
    <x v="260"/>
    <x v="309"/>
    <x v="1"/>
    <n v="39"/>
    <s v="month"/>
    <x v="1"/>
    <n v="2"/>
  </r>
  <r>
    <n v="215691994"/>
    <x v="260"/>
    <x v="190"/>
    <x v="0"/>
    <n v="39"/>
    <s v="month"/>
    <x v="53"/>
    <n v="2"/>
  </r>
  <r>
    <n v="215653406"/>
    <x v="261"/>
    <x v="0"/>
    <x v="0"/>
    <n v="39"/>
    <s v="month"/>
    <x v="0"/>
    <n v="3"/>
  </r>
  <r>
    <n v="215534470"/>
    <x v="261"/>
    <x v="330"/>
    <x v="0"/>
    <n v="39"/>
    <s v="month"/>
    <x v="1"/>
    <n v="3"/>
  </r>
  <r>
    <n v="150751482"/>
    <x v="261"/>
    <x v="240"/>
    <x v="0"/>
    <n v="39"/>
    <s v="month"/>
    <x v="27"/>
    <n v="3"/>
  </r>
  <r>
    <n v="208601341"/>
    <x v="261"/>
    <x v="341"/>
    <x v="0"/>
    <n v="39"/>
    <s v="month"/>
    <x v="192"/>
    <n v="3"/>
  </r>
  <r>
    <n v="215473479"/>
    <x v="261"/>
    <x v="321"/>
    <x v="0"/>
    <n v="39"/>
    <s v="month"/>
    <x v="36"/>
    <n v="3"/>
  </r>
  <r>
    <n v="215646044"/>
    <x v="261"/>
    <x v="173"/>
    <x v="0"/>
    <n v="39"/>
    <s v="month"/>
    <x v="72"/>
    <n v="3"/>
  </r>
  <r>
    <n v="215686983"/>
    <x v="261"/>
    <x v="321"/>
    <x v="0"/>
    <n v="39"/>
    <s v="month"/>
    <x v="36"/>
    <n v="3"/>
  </r>
  <r>
    <n v="215704655"/>
    <x v="262"/>
    <x v="0"/>
    <x v="0"/>
    <n v="39"/>
    <s v="month"/>
    <x v="0"/>
    <n v="4"/>
  </r>
  <r>
    <n v="131984682"/>
    <x v="262"/>
    <x v="325"/>
    <x v="0"/>
    <n v="39"/>
    <s v="month"/>
    <x v="192"/>
    <n v="4"/>
  </r>
  <r>
    <n v="214698924"/>
    <x v="262"/>
    <x v="293"/>
    <x v="0"/>
    <n v="39"/>
    <s v="month"/>
    <x v="36"/>
    <n v="4"/>
  </r>
  <r>
    <n v="183886863"/>
    <x v="262"/>
    <x v="330"/>
    <x v="0"/>
    <n v="39"/>
    <s v="month"/>
    <x v="11"/>
    <n v="4"/>
  </r>
  <r>
    <n v="215869320"/>
    <x v="263"/>
    <x v="0"/>
    <x v="0"/>
    <n v="39"/>
    <s v="month"/>
    <x v="0"/>
    <n v="5"/>
  </r>
  <r>
    <n v="215616284"/>
    <x v="263"/>
    <x v="0"/>
    <x v="0"/>
    <n v="39"/>
    <s v="month"/>
    <x v="0"/>
    <n v="5"/>
  </r>
  <r>
    <n v="215896078"/>
    <x v="263"/>
    <x v="0"/>
    <x v="0"/>
    <n v="39"/>
    <s v="month"/>
    <x v="0"/>
    <n v="5"/>
  </r>
  <r>
    <n v="215910170"/>
    <x v="263"/>
    <x v="0"/>
    <x v="0"/>
    <n v="39"/>
    <s v="month"/>
    <x v="0"/>
    <n v="5"/>
  </r>
  <r>
    <n v="211754109"/>
    <x v="263"/>
    <x v="324"/>
    <x v="1"/>
    <n v="39"/>
    <s v="month"/>
    <x v="1"/>
    <n v="5"/>
  </r>
  <r>
    <n v="205682690"/>
    <x v="263"/>
    <x v="324"/>
    <x v="0"/>
    <n v="39"/>
    <s v="month"/>
    <x v="1"/>
    <n v="5"/>
  </r>
  <r>
    <n v="151412112"/>
    <x v="263"/>
    <x v="338"/>
    <x v="0"/>
    <n v="39"/>
    <s v="month"/>
    <x v="9"/>
    <n v="5"/>
  </r>
  <r>
    <n v="154467458"/>
    <x v="263"/>
    <x v="3"/>
    <x v="0"/>
    <n v="39"/>
    <s v="month"/>
    <x v="167"/>
    <n v="5"/>
  </r>
  <r>
    <n v="212339137"/>
    <x v="263"/>
    <x v="135"/>
    <x v="0"/>
    <n v="39"/>
    <s v="month"/>
    <x v="87"/>
    <n v="5"/>
  </r>
  <r>
    <n v="215894271"/>
    <x v="263"/>
    <x v="273"/>
    <x v="0"/>
    <n v="39"/>
    <s v="month"/>
    <x v="86"/>
    <n v="5"/>
  </r>
  <r>
    <n v="215908442"/>
    <x v="263"/>
    <x v="351"/>
    <x v="0"/>
    <n v="39"/>
    <s v="month"/>
    <x v="46"/>
    <n v="5"/>
  </r>
  <r>
    <n v="136032360"/>
    <x v="263"/>
    <x v="333"/>
    <x v="0"/>
    <n v="39"/>
    <s v="month"/>
    <x v="77"/>
    <n v="5"/>
  </r>
  <r>
    <n v="215956542"/>
    <x v="264"/>
    <x v="0"/>
    <x v="0"/>
    <n v="39"/>
    <s v="month"/>
    <x v="0"/>
    <n v="6"/>
  </r>
  <r>
    <n v="215947247"/>
    <x v="264"/>
    <x v="0"/>
    <x v="0"/>
    <n v="39"/>
    <s v="month"/>
    <x v="0"/>
    <n v="6"/>
  </r>
  <r>
    <n v="122830574"/>
    <x v="264"/>
    <x v="0"/>
    <x v="0"/>
    <n v="39"/>
    <s v="month"/>
    <x v="0"/>
    <n v="6"/>
  </r>
  <r>
    <n v="206904025"/>
    <x v="264"/>
    <x v="267"/>
    <x v="1"/>
    <n v="39"/>
    <s v="month"/>
    <x v="1"/>
    <n v="6"/>
  </r>
  <r>
    <n v="153396366"/>
    <x v="264"/>
    <x v="293"/>
    <x v="0"/>
    <n v="39"/>
    <s v="month"/>
    <x v="50"/>
    <n v="6"/>
  </r>
  <r>
    <n v="200304509"/>
    <x v="264"/>
    <x v="306"/>
    <x v="0"/>
    <n v="39"/>
    <s v="month"/>
    <x v="2"/>
    <n v="6"/>
  </r>
  <r>
    <n v="215867874"/>
    <x v="264"/>
    <x v="180"/>
    <x v="0"/>
    <n v="39"/>
    <s v="month"/>
    <x v="182"/>
    <n v="6"/>
  </r>
  <r>
    <n v="215869887"/>
    <x v="264"/>
    <x v="186"/>
    <x v="0"/>
    <n v="39"/>
    <s v="month"/>
    <x v="178"/>
    <n v="6"/>
  </r>
  <r>
    <n v="134652589"/>
    <x v="264"/>
    <x v="157"/>
    <x v="0"/>
    <n v="39"/>
    <s v="month"/>
    <x v="134"/>
    <n v="6"/>
  </r>
  <r>
    <n v="215759517"/>
    <x v="264"/>
    <x v="352"/>
    <x v="0"/>
    <n v="39"/>
    <s v="month"/>
    <x v="106"/>
    <n v="6"/>
  </r>
  <r>
    <n v="152004313"/>
    <x v="264"/>
    <x v="255"/>
    <x v="0"/>
    <n v="39"/>
    <s v="month"/>
    <x v="179"/>
    <n v="6"/>
  </r>
  <r>
    <n v="215931788"/>
    <x v="264"/>
    <x v="293"/>
    <x v="0"/>
    <n v="39"/>
    <s v="month"/>
    <x v="50"/>
    <n v="6"/>
  </r>
  <r>
    <n v="215792692"/>
    <x v="264"/>
    <x v="344"/>
    <x v="0"/>
    <n v="39"/>
    <s v="month"/>
    <x v="8"/>
    <n v="6"/>
  </r>
  <r>
    <n v="205507364"/>
    <x v="264"/>
    <x v="353"/>
    <x v="0"/>
    <n v="39"/>
    <s v="month"/>
    <x v="94"/>
    <n v="6"/>
  </r>
  <r>
    <n v="130016916"/>
    <x v="264"/>
    <x v="353"/>
    <x v="0"/>
    <n v="39"/>
    <s v="month"/>
    <x v="94"/>
    <n v="6"/>
  </r>
  <r>
    <n v="174991614"/>
    <x v="265"/>
    <x v="0"/>
    <x v="0"/>
    <n v="39"/>
    <s v="month"/>
    <x v="0"/>
    <n v="7"/>
  </r>
  <r>
    <n v="118197872"/>
    <x v="265"/>
    <x v="0"/>
    <x v="0"/>
    <n v="39"/>
    <s v="month"/>
    <x v="0"/>
    <n v="7"/>
  </r>
  <r>
    <n v="215906516"/>
    <x v="265"/>
    <x v="0"/>
    <x v="0"/>
    <n v="39"/>
    <s v="month"/>
    <x v="0"/>
    <n v="7"/>
  </r>
  <r>
    <n v="116197941"/>
    <x v="265"/>
    <x v="204"/>
    <x v="0"/>
    <n v="39"/>
    <s v="month"/>
    <x v="39"/>
    <n v="7"/>
  </r>
  <r>
    <n v="215973039"/>
    <x v="265"/>
    <x v="127"/>
    <x v="0"/>
    <n v="39"/>
    <s v="month"/>
    <x v="42"/>
    <n v="7"/>
  </r>
  <r>
    <n v="147761700"/>
    <x v="265"/>
    <x v="308"/>
    <x v="0"/>
    <n v="39"/>
    <s v="month"/>
    <x v="71"/>
    <n v="7"/>
  </r>
  <r>
    <n v="215943650"/>
    <x v="265"/>
    <x v="255"/>
    <x v="0"/>
    <n v="39"/>
    <s v="month"/>
    <x v="87"/>
    <n v="7"/>
  </r>
  <r>
    <n v="157259062"/>
    <x v="265"/>
    <x v="255"/>
    <x v="0"/>
    <n v="39"/>
    <s v="month"/>
    <x v="87"/>
    <n v="7"/>
  </r>
  <r>
    <n v="216001506"/>
    <x v="265"/>
    <x v="353"/>
    <x v="0"/>
    <n v="39"/>
    <s v="month"/>
    <x v="8"/>
    <n v="7"/>
  </r>
  <r>
    <n v="199306900"/>
    <x v="265"/>
    <x v="302"/>
    <x v="0"/>
    <n v="39"/>
    <s v="month"/>
    <x v="106"/>
    <n v="7"/>
  </r>
  <r>
    <n v="156245288"/>
    <x v="266"/>
    <x v="0"/>
    <x v="0"/>
    <n v="39"/>
    <s v="month"/>
    <x v="0"/>
    <n v="1"/>
  </r>
  <r>
    <n v="211904765"/>
    <x v="266"/>
    <x v="0"/>
    <x v="0"/>
    <n v="39"/>
    <s v="month"/>
    <x v="0"/>
    <n v="1"/>
  </r>
  <r>
    <n v="215832805"/>
    <x v="266"/>
    <x v="0"/>
    <x v="0"/>
    <n v="39"/>
    <s v="month"/>
    <x v="0"/>
    <n v="1"/>
  </r>
  <r>
    <n v="156403612"/>
    <x v="267"/>
    <x v="0"/>
    <x v="0"/>
    <n v="39"/>
    <s v="month"/>
    <x v="0"/>
    <n v="2"/>
  </r>
  <r>
    <n v="216062001"/>
    <x v="267"/>
    <x v="0"/>
    <x v="0"/>
    <n v="39"/>
    <s v="month"/>
    <x v="0"/>
    <n v="2"/>
  </r>
  <r>
    <n v="216083936"/>
    <x v="267"/>
    <x v="0"/>
    <x v="0"/>
    <n v="39"/>
    <s v="month"/>
    <x v="0"/>
    <n v="2"/>
  </r>
  <r>
    <n v="215568210"/>
    <x v="267"/>
    <x v="331"/>
    <x v="0"/>
    <n v="39"/>
    <s v="month"/>
    <x v="53"/>
    <n v="2"/>
  </r>
  <r>
    <n v="181480437"/>
    <x v="267"/>
    <x v="244"/>
    <x v="0"/>
    <n v="39"/>
    <s v="month"/>
    <x v="167"/>
    <n v="2"/>
  </r>
  <r>
    <n v="147197398"/>
    <x v="268"/>
    <x v="0"/>
    <x v="0"/>
    <n v="39"/>
    <s v="month"/>
    <x v="0"/>
    <n v="3"/>
  </r>
  <r>
    <n v="212051648"/>
    <x v="268"/>
    <x v="0"/>
    <x v="0"/>
    <n v="39"/>
    <s v="month"/>
    <x v="0"/>
    <n v="3"/>
  </r>
  <r>
    <n v="216141502"/>
    <x v="268"/>
    <x v="0"/>
    <x v="0"/>
    <n v="39"/>
    <s v="month"/>
    <x v="0"/>
    <n v="3"/>
  </r>
  <r>
    <n v="216136975"/>
    <x v="268"/>
    <x v="0"/>
    <x v="0"/>
    <n v="39"/>
    <s v="month"/>
    <x v="0"/>
    <n v="3"/>
  </r>
  <r>
    <n v="213240907"/>
    <x v="268"/>
    <x v="0"/>
    <x v="0"/>
    <n v="39"/>
    <s v="month"/>
    <x v="0"/>
    <n v="3"/>
  </r>
  <r>
    <n v="204739496"/>
    <x v="268"/>
    <x v="302"/>
    <x v="0"/>
    <n v="39"/>
    <s v="month"/>
    <x v="126"/>
    <n v="3"/>
  </r>
  <r>
    <n v="203366396"/>
    <x v="268"/>
    <x v="285"/>
    <x v="0"/>
    <n v="39"/>
    <s v="month"/>
    <x v="1"/>
    <n v="3"/>
  </r>
  <r>
    <n v="216136446"/>
    <x v="268"/>
    <x v="99"/>
    <x v="0"/>
    <n v="39"/>
    <s v="month"/>
    <x v="72"/>
    <n v="3"/>
  </r>
  <r>
    <n v="216139586"/>
    <x v="268"/>
    <x v="187"/>
    <x v="0"/>
    <n v="39"/>
    <s v="month"/>
    <x v="28"/>
    <n v="3"/>
  </r>
  <r>
    <n v="216126416"/>
    <x v="268"/>
    <x v="343"/>
    <x v="0"/>
    <n v="39"/>
    <s v="month"/>
    <x v="225"/>
    <n v="3"/>
  </r>
  <r>
    <n v="216181144"/>
    <x v="268"/>
    <x v="160"/>
    <x v="0"/>
    <n v="39"/>
    <s v="month"/>
    <x v="87"/>
    <n v="3"/>
  </r>
  <r>
    <n v="216100714"/>
    <x v="268"/>
    <x v="305"/>
    <x v="0"/>
    <n v="39"/>
    <s v="month"/>
    <x v="70"/>
    <n v="3"/>
  </r>
  <r>
    <n v="216155144"/>
    <x v="268"/>
    <x v="354"/>
    <x v="0"/>
    <n v="39"/>
    <s v="month"/>
    <x v="94"/>
    <n v="3"/>
  </r>
  <r>
    <n v="190978347"/>
    <x v="268"/>
    <x v="98"/>
    <x v="0"/>
    <n v="39"/>
    <s v="month"/>
    <x v="144"/>
    <n v="3"/>
  </r>
  <r>
    <n v="215653713"/>
    <x v="268"/>
    <x v="279"/>
    <x v="0"/>
    <n v="39"/>
    <s v="month"/>
    <x v="190"/>
    <n v="3"/>
  </r>
  <r>
    <n v="215185569"/>
    <x v="268"/>
    <x v="355"/>
    <x v="0"/>
    <n v="39"/>
    <s v="month"/>
    <x v="53"/>
    <n v="3"/>
  </r>
  <r>
    <n v="215488799"/>
    <x v="269"/>
    <x v="0"/>
    <x v="0"/>
    <n v="39"/>
    <s v="month"/>
    <x v="0"/>
    <n v="4"/>
  </r>
  <r>
    <n v="216170130"/>
    <x v="269"/>
    <x v="0"/>
    <x v="0"/>
    <n v="39"/>
    <s v="month"/>
    <x v="0"/>
    <n v="4"/>
  </r>
  <r>
    <n v="215723337"/>
    <x v="269"/>
    <x v="0"/>
    <x v="0"/>
    <n v="39"/>
    <s v="month"/>
    <x v="0"/>
    <n v="4"/>
  </r>
  <r>
    <n v="148568942"/>
    <x v="269"/>
    <x v="0"/>
    <x v="0"/>
    <n v="39"/>
    <s v="month"/>
    <x v="0"/>
    <n v="4"/>
  </r>
  <r>
    <n v="215102456"/>
    <x v="269"/>
    <x v="0"/>
    <x v="0"/>
    <n v="39"/>
    <s v="month"/>
    <x v="0"/>
    <n v="4"/>
  </r>
  <r>
    <n v="216017581"/>
    <x v="269"/>
    <x v="0"/>
    <x v="0"/>
    <n v="39"/>
    <s v="month"/>
    <x v="0"/>
    <n v="4"/>
  </r>
  <r>
    <n v="153438676"/>
    <x v="269"/>
    <x v="0"/>
    <x v="0"/>
    <n v="39"/>
    <s v="month"/>
    <x v="0"/>
    <n v="4"/>
  </r>
  <r>
    <n v="213190132"/>
    <x v="269"/>
    <x v="0"/>
    <x v="0"/>
    <n v="39"/>
    <s v="month"/>
    <x v="0"/>
    <n v="4"/>
  </r>
  <r>
    <n v="216218992"/>
    <x v="269"/>
    <x v="335"/>
    <x v="0"/>
    <n v="39"/>
    <s v="month"/>
    <x v="77"/>
    <n v="4"/>
  </r>
  <r>
    <n v="216210442"/>
    <x v="269"/>
    <x v="273"/>
    <x v="0"/>
    <n v="39"/>
    <s v="month"/>
    <x v="134"/>
    <n v="4"/>
  </r>
  <r>
    <n v="129447970"/>
    <x v="269"/>
    <x v="302"/>
    <x v="0"/>
    <n v="39"/>
    <s v="month"/>
    <x v="137"/>
    <n v="4"/>
  </r>
  <r>
    <n v="216221115"/>
    <x v="269"/>
    <x v="135"/>
    <x v="0"/>
    <n v="39"/>
    <s v="month"/>
    <x v="50"/>
    <n v="4"/>
  </r>
  <r>
    <n v="215911675"/>
    <x v="269"/>
    <x v="160"/>
    <x v="0"/>
    <n v="39"/>
    <s v="month"/>
    <x v="14"/>
    <n v="4"/>
  </r>
  <r>
    <n v="215908254"/>
    <x v="269"/>
    <x v="173"/>
    <x v="0"/>
    <n v="39"/>
    <s v="month"/>
    <x v="86"/>
    <n v="4"/>
  </r>
  <r>
    <n v="214610994"/>
    <x v="269"/>
    <x v="3"/>
    <x v="0"/>
    <n v="39"/>
    <s v="month"/>
    <x v="72"/>
    <n v="4"/>
  </r>
  <r>
    <n v="143272167"/>
    <x v="269"/>
    <x v="290"/>
    <x v="0"/>
    <n v="39"/>
    <s v="month"/>
    <x v="106"/>
    <n v="4"/>
  </r>
  <r>
    <n v="216340651"/>
    <x v="270"/>
    <x v="0"/>
    <x v="0"/>
    <n v="39"/>
    <s v="month"/>
    <x v="0"/>
    <n v="5"/>
  </r>
  <r>
    <n v="153573832"/>
    <x v="270"/>
    <x v="0"/>
    <x v="0"/>
    <n v="39"/>
    <s v="month"/>
    <x v="0"/>
    <n v="5"/>
  </r>
  <r>
    <n v="138312982"/>
    <x v="270"/>
    <x v="0"/>
    <x v="0"/>
    <n v="39"/>
    <s v="month"/>
    <x v="0"/>
    <n v="5"/>
  </r>
  <r>
    <n v="216365777"/>
    <x v="270"/>
    <x v="0"/>
    <x v="0"/>
    <n v="39"/>
    <s v="month"/>
    <x v="0"/>
    <n v="5"/>
  </r>
  <r>
    <n v="216272792"/>
    <x v="270"/>
    <x v="349"/>
    <x v="0"/>
    <n v="39"/>
    <s v="month"/>
    <x v="66"/>
    <n v="5"/>
  </r>
  <r>
    <n v="167174814"/>
    <x v="270"/>
    <x v="186"/>
    <x v="0"/>
    <n v="39"/>
    <s v="month"/>
    <x v="79"/>
    <n v="5"/>
  </r>
  <r>
    <n v="216329176"/>
    <x v="270"/>
    <x v="341"/>
    <x v="0"/>
    <n v="39"/>
    <s v="month"/>
    <x v="14"/>
    <n v="5"/>
  </r>
  <r>
    <n v="147320092"/>
    <x v="270"/>
    <x v="255"/>
    <x v="0"/>
    <n v="39"/>
    <s v="month"/>
    <x v="156"/>
    <n v="5"/>
  </r>
  <r>
    <n v="157974600"/>
    <x v="270"/>
    <x v="69"/>
    <x v="0"/>
    <n v="39"/>
    <s v="month"/>
    <x v="214"/>
    <n v="5"/>
  </r>
  <r>
    <n v="200955808"/>
    <x v="270"/>
    <x v="340"/>
    <x v="0"/>
    <n v="39"/>
    <s v="month"/>
    <x v="35"/>
    <n v="5"/>
  </r>
  <r>
    <n v="216332850"/>
    <x v="270"/>
    <x v="222"/>
    <x v="0"/>
    <n v="39"/>
    <s v="month"/>
    <x v="94"/>
    <n v="5"/>
  </r>
  <r>
    <n v="149986818"/>
    <x v="271"/>
    <x v="0"/>
    <x v="0"/>
    <n v="39"/>
    <s v="month"/>
    <x v="0"/>
    <n v="6"/>
  </r>
  <r>
    <n v="132579012"/>
    <x v="271"/>
    <x v="0"/>
    <x v="0"/>
    <n v="39"/>
    <s v="month"/>
    <x v="0"/>
    <n v="6"/>
  </r>
  <r>
    <n v="155529346"/>
    <x v="271"/>
    <x v="356"/>
    <x v="0"/>
    <n v="39"/>
    <s v="month"/>
    <x v="166"/>
    <n v="6"/>
  </r>
  <r>
    <n v="153085868"/>
    <x v="271"/>
    <x v="3"/>
    <x v="0"/>
    <n v="39"/>
    <s v="month"/>
    <x v="62"/>
    <n v="6"/>
  </r>
  <r>
    <n v="156702204"/>
    <x v="271"/>
    <x v="135"/>
    <x v="0"/>
    <n v="39"/>
    <s v="month"/>
    <x v="35"/>
    <n v="6"/>
  </r>
  <r>
    <n v="158177676"/>
    <x v="271"/>
    <x v="293"/>
    <x v="0"/>
    <n v="39"/>
    <s v="month"/>
    <x v="9"/>
    <n v="6"/>
  </r>
  <r>
    <n v="216423972"/>
    <x v="271"/>
    <x v="346"/>
    <x v="0"/>
    <n v="39"/>
    <s v="month"/>
    <x v="190"/>
    <n v="6"/>
  </r>
  <r>
    <n v="216533259"/>
    <x v="272"/>
    <x v="0"/>
    <x v="0"/>
    <n v="39"/>
    <s v="month"/>
    <x v="0"/>
    <n v="7"/>
  </r>
  <r>
    <n v="204953211"/>
    <x v="272"/>
    <x v="0"/>
    <x v="0"/>
    <n v="39"/>
    <s v="month"/>
    <x v="0"/>
    <n v="7"/>
  </r>
  <r>
    <n v="149112756"/>
    <x v="272"/>
    <x v="0"/>
    <x v="0"/>
    <n v="39"/>
    <s v="month"/>
    <x v="0"/>
    <n v="7"/>
  </r>
  <r>
    <n v="216674420"/>
    <x v="272"/>
    <x v="343"/>
    <x v="1"/>
    <n v="39"/>
    <s v="month"/>
    <x v="1"/>
    <n v="7"/>
  </r>
  <r>
    <n v="148225450"/>
    <x v="272"/>
    <x v="3"/>
    <x v="0"/>
    <n v="39"/>
    <s v="month"/>
    <x v="20"/>
    <n v="7"/>
  </r>
  <r>
    <n v="216720172"/>
    <x v="272"/>
    <x v="177"/>
    <x v="0"/>
    <n v="39"/>
    <s v="month"/>
    <x v="118"/>
    <n v="7"/>
  </r>
  <r>
    <n v="204750804"/>
    <x v="272"/>
    <x v="293"/>
    <x v="0"/>
    <n v="39"/>
    <s v="month"/>
    <x v="15"/>
    <n v="7"/>
  </r>
  <r>
    <n v="147798395"/>
    <x v="273"/>
    <x v="0"/>
    <x v="0"/>
    <n v="39"/>
    <s v="month"/>
    <x v="0"/>
    <n v="1"/>
  </r>
  <r>
    <n v="216560949"/>
    <x v="273"/>
    <x v="209"/>
    <x v="0"/>
    <n v="39"/>
    <s v="month"/>
    <x v="28"/>
    <n v="1"/>
  </r>
  <r>
    <n v="216743053"/>
    <x v="273"/>
    <x v="346"/>
    <x v="0"/>
    <n v="39"/>
    <s v="month"/>
    <x v="57"/>
    <n v="1"/>
  </r>
  <r>
    <n v="149040748"/>
    <x v="274"/>
    <x v="0"/>
    <x v="0"/>
    <n v="39"/>
    <s v="month"/>
    <x v="0"/>
    <n v="2"/>
  </r>
  <r>
    <n v="206939746"/>
    <x v="274"/>
    <x v="0"/>
    <x v="0"/>
    <n v="39"/>
    <s v="month"/>
    <x v="0"/>
    <n v="2"/>
  </r>
  <r>
    <n v="216845223"/>
    <x v="274"/>
    <x v="0"/>
    <x v="0"/>
    <n v="39"/>
    <s v="month"/>
    <x v="0"/>
    <n v="2"/>
  </r>
  <r>
    <n v="124876382"/>
    <x v="274"/>
    <x v="328"/>
    <x v="0"/>
    <n v="39"/>
    <s v="month"/>
    <x v="39"/>
    <n v="2"/>
  </r>
  <r>
    <n v="168485609"/>
    <x v="274"/>
    <x v="339"/>
    <x v="0"/>
    <n v="39"/>
    <s v="month"/>
    <x v="83"/>
    <n v="2"/>
  </r>
  <r>
    <n v="216888206"/>
    <x v="274"/>
    <x v="302"/>
    <x v="0"/>
    <n v="39"/>
    <s v="month"/>
    <x v="97"/>
    <n v="2"/>
  </r>
  <r>
    <n v="216957502"/>
    <x v="275"/>
    <x v="0"/>
    <x v="0"/>
    <n v="39"/>
    <s v="month"/>
    <x v="0"/>
    <n v="3"/>
  </r>
  <r>
    <n v="215840282"/>
    <x v="275"/>
    <x v="0"/>
    <x v="0"/>
    <n v="39"/>
    <s v="month"/>
    <x v="0"/>
    <n v="3"/>
  </r>
  <r>
    <n v="216311456"/>
    <x v="275"/>
    <x v="0"/>
    <x v="0"/>
    <n v="39"/>
    <s v="month"/>
    <x v="0"/>
    <n v="3"/>
  </r>
  <r>
    <n v="155088727"/>
    <x v="275"/>
    <x v="0"/>
    <x v="0"/>
    <n v="39"/>
    <s v="month"/>
    <x v="0"/>
    <n v="3"/>
  </r>
  <r>
    <n v="216925191"/>
    <x v="275"/>
    <x v="232"/>
    <x v="0"/>
    <n v="39"/>
    <s v="month"/>
    <x v="42"/>
    <n v="3"/>
  </r>
  <r>
    <n v="216924741"/>
    <x v="275"/>
    <x v="313"/>
    <x v="0"/>
    <n v="39"/>
    <s v="month"/>
    <x v="148"/>
    <n v="3"/>
  </r>
  <r>
    <n v="194347007"/>
    <x v="275"/>
    <x v="148"/>
    <x v="0"/>
    <n v="39"/>
    <s v="month"/>
    <x v="14"/>
    <n v="3"/>
  </r>
  <r>
    <n v="217067696"/>
    <x v="276"/>
    <x v="0"/>
    <x v="0"/>
    <n v="39"/>
    <s v="month"/>
    <x v="0"/>
    <n v="4"/>
  </r>
  <r>
    <n v="217012406"/>
    <x v="276"/>
    <x v="0"/>
    <x v="0"/>
    <n v="39"/>
    <s v="month"/>
    <x v="0"/>
    <n v="4"/>
  </r>
  <r>
    <n v="216345770"/>
    <x v="276"/>
    <x v="0"/>
    <x v="0"/>
    <n v="39"/>
    <s v="month"/>
    <x v="0"/>
    <n v="4"/>
  </r>
  <r>
    <n v="215654770"/>
    <x v="276"/>
    <x v="0"/>
    <x v="0"/>
    <n v="39"/>
    <s v="month"/>
    <x v="0"/>
    <n v="4"/>
  </r>
  <r>
    <n v="217044528"/>
    <x v="276"/>
    <x v="0"/>
    <x v="0"/>
    <n v="39"/>
    <s v="month"/>
    <x v="0"/>
    <n v="4"/>
  </r>
  <r>
    <n v="217031352"/>
    <x v="276"/>
    <x v="0"/>
    <x v="0"/>
    <n v="39"/>
    <s v="month"/>
    <x v="0"/>
    <n v="4"/>
  </r>
  <r>
    <n v="146450388"/>
    <x v="276"/>
    <x v="0"/>
    <x v="0"/>
    <n v="39"/>
    <s v="month"/>
    <x v="0"/>
    <n v="4"/>
  </r>
  <r>
    <n v="153374748"/>
    <x v="276"/>
    <x v="335"/>
    <x v="0"/>
    <n v="39"/>
    <s v="month"/>
    <x v="93"/>
    <n v="4"/>
  </r>
  <r>
    <n v="217065874"/>
    <x v="276"/>
    <x v="3"/>
    <x v="0"/>
    <n v="39"/>
    <s v="month"/>
    <x v="2"/>
    <n v="4"/>
  </r>
  <r>
    <n v="216622895"/>
    <x v="276"/>
    <x v="332"/>
    <x v="0"/>
    <n v="39"/>
    <s v="month"/>
    <x v="39"/>
    <n v="4"/>
  </r>
  <r>
    <n v="216907852"/>
    <x v="276"/>
    <x v="325"/>
    <x v="0"/>
    <n v="39"/>
    <s v="month"/>
    <x v="50"/>
    <n v="4"/>
  </r>
  <r>
    <n v="217054126"/>
    <x v="277"/>
    <x v="0"/>
    <x v="0"/>
    <n v="39"/>
    <s v="month"/>
    <x v="0"/>
    <n v="5"/>
  </r>
  <r>
    <n v="206001231"/>
    <x v="277"/>
    <x v="0"/>
    <x v="0"/>
    <n v="39"/>
    <s v="month"/>
    <x v="0"/>
    <n v="5"/>
  </r>
  <r>
    <n v="216925136"/>
    <x v="277"/>
    <x v="0"/>
    <x v="0"/>
    <n v="39"/>
    <s v="month"/>
    <x v="0"/>
    <n v="5"/>
  </r>
  <r>
    <n v="217094352"/>
    <x v="277"/>
    <x v="135"/>
    <x v="0"/>
    <n v="39"/>
    <s v="month"/>
    <x v="15"/>
    <n v="5"/>
  </r>
  <r>
    <n v="206891818"/>
    <x v="277"/>
    <x v="99"/>
    <x v="0"/>
    <n v="39"/>
    <s v="month"/>
    <x v="40"/>
    <n v="5"/>
  </r>
  <r>
    <n v="217084888"/>
    <x v="277"/>
    <x v="308"/>
    <x v="0"/>
    <n v="39"/>
    <s v="month"/>
    <x v="11"/>
    <n v="5"/>
  </r>
  <r>
    <n v="216624401"/>
    <x v="277"/>
    <x v="99"/>
    <x v="0"/>
    <n v="39"/>
    <s v="month"/>
    <x v="40"/>
    <n v="5"/>
  </r>
  <r>
    <n v="216795282"/>
    <x v="277"/>
    <x v="205"/>
    <x v="0"/>
    <n v="39"/>
    <s v="month"/>
    <x v="19"/>
    <n v="5"/>
  </r>
  <r>
    <n v="174646924"/>
    <x v="278"/>
    <x v="0"/>
    <x v="0"/>
    <n v="39"/>
    <s v="month"/>
    <x v="0"/>
    <n v="6"/>
  </r>
  <r>
    <n v="217123644"/>
    <x v="278"/>
    <x v="0"/>
    <x v="0"/>
    <n v="39"/>
    <s v="month"/>
    <x v="0"/>
    <n v="6"/>
  </r>
  <r>
    <n v="217104490"/>
    <x v="278"/>
    <x v="0"/>
    <x v="0"/>
    <n v="39"/>
    <s v="month"/>
    <x v="0"/>
    <n v="6"/>
  </r>
  <r>
    <n v="153349708"/>
    <x v="278"/>
    <x v="0"/>
    <x v="0"/>
    <n v="39"/>
    <s v="month"/>
    <x v="0"/>
    <n v="6"/>
  </r>
  <r>
    <n v="153876204"/>
    <x v="278"/>
    <x v="157"/>
    <x v="0"/>
    <n v="39"/>
    <s v="month"/>
    <x v="1"/>
    <n v="6"/>
  </r>
  <r>
    <n v="132442956"/>
    <x v="278"/>
    <x v="176"/>
    <x v="0"/>
    <n v="39"/>
    <s v="month"/>
    <x v="78"/>
    <n v="6"/>
  </r>
  <r>
    <n v="130331160"/>
    <x v="278"/>
    <x v="135"/>
    <x v="0"/>
    <n v="39"/>
    <s v="month"/>
    <x v="182"/>
    <n v="6"/>
  </r>
  <r>
    <n v="216225148"/>
    <x v="278"/>
    <x v="270"/>
    <x v="0"/>
    <n v="39"/>
    <s v="month"/>
    <x v="11"/>
    <n v="6"/>
  </r>
  <r>
    <n v="161187748"/>
    <x v="278"/>
    <x v="329"/>
    <x v="0"/>
    <n v="39"/>
    <s v="month"/>
    <x v="19"/>
    <n v="6"/>
  </r>
  <r>
    <n v="217137211"/>
    <x v="278"/>
    <x v="249"/>
    <x v="0"/>
    <n v="39"/>
    <s v="month"/>
    <x v="14"/>
    <n v="6"/>
  </r>
  <r>
    <n v="180796559"/>
    <x v="278"/>
    <x v="249"/>
    <x v="0"/>
    <n v="39"/>
    <s v="month"/>
    <x v="14"/>
    <n v="6"/>
  </r>
  <r>
    <n v="168200039"/>
    <x v="279"/>
    <x v="186"/>
    <x v="0"/>
    <n v="39"/>
    <s v="month"/>
    <x v="1"/>
    <n v="7"/>
  </r>
  <r>
    <n v="217110396"/>
    <x v="279"/>
    <x v="345"/>
    <x v="0"/>
    <n v="39"/>
    <s v="month"/>
    <x v="10"/>
    <n v="7"/>
  </r>
  <r>
    <n v="217159016"/>
    <x v="279"/>
    <x v="301"/>
    <x v="0"/>
    <n v="39"/>
    <s v="month"/>
    <x v="169"/>
    <n v="7"/>
  </r>
  <r>
    <n v="217215106"/>
    <x v="280"/>
    <x v="0"/>
    <x v="0"/>
    <n v="39"/>
    <s v="month"/>
    <x v="0"/>
    <n v="1"/>
  </r>
  <r>
    <n v="129819604"/>
    <x v="280"/>
    <x v="314"/>
    <x v="0"/>
    <n v="39"/>
    <s v="month"/>
    <x v="14"/>
    <n v="1"/>
  </r>
  <r>
    <n v="217208086"/>
    <x v="280"/>
    <x v="353"/>
    <x v="0"/>
    <n v="39"/>
    <s v="month"/>
    <x v="19"/>
    <n v="1"/>
  </r>
  <r>
    <n v="215534470"/>
    <x v="280"/>
    <x v="314"/>
    <x v="0"/>
    <n v="39"/>
    <s v="month"/>
    <x v="14"/>
    <n v="1"/>
  </r>
  <r>
    <n v="217277033"/>
    <x v="281"/>
    <x v="0"/>
    <x v="0"/>
    <n v="39"/>
    <s v="month"/>
    <x v="0"/>
    <n v="2"/>
  </r>
  <r>
    <n v="136199071"/>
    <x v="281"/>
    <x v="0"/>
    <x v="0"/>
    <n v="39"/>
    <s v="month"/>
    <x v="0"/>
    <n v="2"/>
  </r>
  <r>
    <n v="217102618"/>
    <x v="281"/>
    <x v="0"/>
    <x v="0"/>
    <n v="39"/>
    <s v="month"/>
    <x v="0"/>
    <n v="2"/>
  </r>
  <r>
    <n v="217252136"/>
    <x v="281"/>
    <x v="0"/>
    <x v="0"/>
    <n v="39"/>
    <s v="month"/>
    <x v="0"/>
    <n v="2"/>
  </r>
  <r>
    <n v="215856743"/>
    <x v="281"/>
    <x v="0"/>
    <x v="0"/>
    <n v="39"/>
    <s v="month"/>
    <x v="0"/>
    <n v="2"/>
  </r>
  <r>
    <n v="217260184"/>
    <x v="281"/>
    <x v="232"/>
    <x v="1"/>
    <n v="39"/>
    <s v="month"/>
    <x v="1"/>
    <n v="2"/>
  </r>
  <r>
    <n v="140371292"/>
    <x v="281"/>
    <x v="337"/>
    <x v="0"/>
    <n v="39"/>
    <s v="month"/>
    <x v="44"/>
    <n v="2"/>
  </r>
  <r>
    <n v="164903790"/>
    <x v="281"/>
    <x v="240"/>
    <x v="0"/>
    <n v="39"/>
    <s v="month"/>
    <x v="87"/>
    <n v="2"/>
  </r>
  <r>
    <n v="217206158"/>
    <x v="281"/>
    <x v="301"/>
    <x v="0"/>
    <n v="39"/>
    <s v="month"/>
    <x v="8"/>
    <n v="2"/>
  </r>
  <r>
    <n v="215180470"/>
    <x v="281"/>
    <x v="310"/>
    <x v="0"/>
    <n v="39"/>
    <s v="month"/>
    <x v="13"/>
    <n v="2"/>
  </r>
  <r>
    <n v="217246611"/>
    <x v="281"/>
    <x v="241"/>
    <x v="0"/>
    <n v="39"/>
    <s v="month"/>
    <x v="15"/>
    <n v="2"/>
  </r>
  <r>
    <n v="217080066"/>
    <x v="281"/>
    <x v="315"/>
    <x v="0"/>
    <n v="39"/>
    <s v="month"/>
    <x v="35"/>
    <n v="2"/>
  </r>
  <r>
    <n v="214510838"/>
    <x v="282"/>
    <x v="0"/>
    <x v="0"/>
    <n v="39"/>
    <s v="month"/>
    <x v="0"/>
    <n v="3"/>
  </r>
  <r>
    <n v="217241338"/>
    <x v="282"/>
    <x v="0"/>
    <x v="0"/>
    <n v="39"/>
    <s v="month"/>
    <x v="0"/>
    <n v="3"/>
  </r>
  <r>
    <n v="215447681"/>
    <x v="282"/>
    <x v="0"/>
    <x v="0"/>
    <n v="39"/>
    <s v="month"/>
    <x v="0"/>
    <n v="3"/>
  </r>
  <r>
    <n v="214746385"/>
    <x v="282"/>
    <x v="0"/>
    <x v="0"/>
    <n v="39"/>
    <s v="month"/>
    <x v="0"/>
    <n v="3"/>
  </r>
  <r>
    <n v="217279595"/>
    <x v="282"/>
    <x v="0"/>
    <x v="0"/>
    <n v="39"/>
    <s v="month"/>
    <x v="0"/>
    <n v="3"/>
  </r>
  <r>
    <n v="138725699"/>
    <x v="282"/>
    <x v="69"/>
    <x v="0"/>
    <n v="39"/>
    <s v="month"/>
    <x v="1"/>
    <n v="3"/>
  </r>
  <r>
    <n v="199464176"/>
    <x v="282"/>
    <x v="296"/>
    <x v="0"/>
    <n v="39"/>
    <s v="month"/>
    <x v="122"/>
    <n v="3"/>
  </r>
  <r>
    <n v="217269788"/>
    <x v="282"/>
    <x v="350"/>
    <x v="0"/>
    <n v="39"/>
    <s v="month"/>
    <x v="87"/>
    <n v="3"/>
  </r>
  <r>
    <n v="217210206"/>
    <x v="282"/>
    <x v="209"/>
    <x v="0"/>
    <n v="39"/>
    <s v="month"/>
    <x v="2"/>
    <n v="3"/>
  </r>
  <r>
    <n v="217276264"/>
    <x v="283"/>
    <x v="0"/>
    <x v="0"/>
    <n v="39"/>
    <s v="month"/>
    <x v="0"/>
    <n v="4"/>
  </r>
  <r>
    <n v="217242854"/>
    <x v="283"/>
    <x v="0"/>
    <x v="0"/>
    <n v="39"/>
    <s v="month"/>
    <x v="0"/>
    <n v="4"/>
  </r>
  <r>
    <n v="140062581"/>
    <x v="283"/>
    <x v="273"/>
    <x v="0"/>
    <n v="39"/>
    <s v="month"/>
    <x v="1"/>
    <n v="4"/>
  </r>
  <r>
    <n v="217340338"/>
    <x v="283"/>
    <x v="69"/>
    <x v="1"/>
    <n v="39"/>
    <s v="month"/>
    <x v="11"/>
    <n v="4"/>
  </r>
  <r>
    <n v="157435806"/>
    <x v="283"/>
    <x v="346"/>
    <x v="0"/>
    <n v="39"/>
    <s v="month"/>
    <x v="35"/>
    <n v="4"/>
  </r>
  <r>
    <n v="217358299"/>
    <x v="283"/>
    <x v="301"/>
    <x v="0"/>
    <n v="39"/>
    <s v="month"/>
    <x v="27"/>
    <n v="4"/>
  </r>
  <r>
    <n v="217330046"/>
    <x v="283"/>
    <x v="340"/>
    <x v="0"/>
    <n v="39"/>
    <s v="month"/>
    <x v="118"/>
    <n v="4"/>
  </r>
  <r>
    <n v="216945894"/>
    <x v="284"/>
    <x v="0"/>
    <x v="0"/>
    <n v="39"/>
    <s v="month"/>
    <x v="0"/>
    <n v="5"/>
  </r>
  <r>
    <n v="150178354"/>
    <x v="284"/>
    <x v="0"/>
    <x v="0"/>
    <n v="39"/>
    <s v="month"/>
    <x v="0"/>
    <n v="5"/>
  </r>
  <r>
    <n v="153942818"/>
    <x v="284"/>
    <x v="0"/>
    <x v="0"/>
    <n v="39"/>
    <s v="month"/>
    <x v="0"/>
    <n v="5"/>
  </r>
  <r>
    <n v="150728848"/>
    <x v="284"/>
    <x v="0"/>
    <x v="0"/>
    <n v="39"/>
    <s v="month"/>
    <x v="0"/>
    <n v="5"/>
  </r>
  <r>
    <n v="138725699"/>
    <x v="284"/>
    <x v="0"/>
    <x v="0"/>
    <n v="39"/>
    <s v="month"/>
    <x v="0"/>
    <n v="5"/>
  </r>
  <r>
    <n v="217207926"/>
    <x v="284"/>
    <x v="0"/>
    <x v="0"/>
    <n v="39"/>
    <s v="month"/>
    <x v="0"/>
    <n v="5"/>
  </r>
  <r>
    <n v="217370233"/>
    <x v="284"/>
    <x v="0"/>
    <x v="0"/>
    <n v="39"/>
    <s v="month"/>
    <x v="0"/>
    <n v="5"/>
  </r>
  <r>
    <n v="205464540"/>
    <x v="284"/>
    <x v="357"/>
    <x v="0"/>
    <n v="39"/>
    <s v="month"/>
    <x v="14"/>
    <n v="5"/>
  </r>
  <r>
    <n v="167403892"/>
    <x v="284"/>
    <x v="313"/>
    <x v="0"/>
    <n v="39"/>
    <s v="month"/>
    <x v="39"/>
    <n v="5"/>
  </r>
  <r>
    <n v="217326821"/>
    <x v="284"/>
    <x v="313"/>
    <x v="0"/>
    <n v="39"/>
    <s v="month"/>
    <x v="39"/>
    <n v="5"/>
  </r>
  <r>
    <n v="214918906"/>
    <x v="284"/>
    <x v="357"/>
    <x v="0"/>
    <n v="39"/>
    <s v="month"/>
    <x v="14"/>
    <n v="5"/>
  </r>
  <r>
    <n v="216983668"/>
    <x v="284"/>
    <x v="348"/>
    <x v="0"/>
    <n v="39"/>
    <s v="month"/>
    <x v="35"/>
    <n v="5"/>
  </r>
  <r>
    <n v="217454204"/>
    <x v="285"/>
    <x v="0"/>
    <x v="0"/>
    <n v="39"/>
    <s v="month"/>
    <x v="0"/>
    <n v="6"/>
  </r>
  <r>
    <n v="206049284"/>
    <x v="285"/>
    <x v="0"/>
    <x v="0"/>
    <n v="39"/>
    <s v="month"/>
    <x v="0"/>
    <n v="6"/>
  </r>
  <r>
    <n v="132852439"/>
    <x v="285"/>
    <x v="0"/>
    <x v="0"/>
    <n v="39"/>
    <s v="month"/>
    <x v="0"/>
    <n v="6"/>
  </r>
  <r>
    <n v="217233198"/>
    <x v="285"/>
    <x v="0"/>
    <x v="0"/>
    <n v="39"/>
    <s v="month"/>
    <x v="0"/>
    <n v="6"/>
  </r>
  <r>
    <n v="188197564"/>
    <x v="285"/>
    <x v="306"/>
    <x v="0"/>
    <n v="39"/>
    <s v="month"/>
    <x v="1"/>
    <n v="6"/>
  </r>
  <r>
    <n v="146952862"/>
    <x v="285"/>
    <x v="315"/>
    <x v="0"/>
    <n v="39"/>
    <s v="month"/>
    <x v="20"/>
    <n v="6"/>
  </r>
  <r>
    <n v="152846561"/>
    <x v="285"/>
    <x v="205"/>
    <x v="0"/>
    <n v="39"/>
    <s v="month"/>
    <x v="14"/>
    <n v="6"/>
  </r>
  <r>
    <n v="132867770"/>
    <x v="285"/>
    <x v="329"/>
    <x v="0"/>
    <n v="39"/>
    <s v="month"/>
    <x v="87"/>
    <n v="6"/>
  </r>
  <r>
    <n v="206370330"/>
    <x v="285"/>
    <x v="334"/>
    <x v="0"/>
    <n v="39"/>
    <s v="month"/>
    <x v="8"/>
    <n v="6"/>
  </r>
  <r>
    <n v="217438230"/>
    <x v="285"/>
    <x v="148"/>
    <x v="0"/>
    <n v="39"/>
    <s v="month"/>
    <x v="62"/>
    <n v="6"/>
  </r>
  <r>
    <n v="217426939"/>
    <x v="285"/>
    <x v="249"/>
    <x v="0"/>
    <n v="39"/>
    <s v="month"/>
    <x v="35"/>
    <n v="6"/>
  </r>
  <r>
    <n v="205785520"/>
    <x v="286"/>
    <x v="0"/>
    <x v="0"/>
    <n v="39"/>
    <s v="month"/>
    <x v="0"/>
    <n v="7"/>
  </r>
  <r>
    <n v="154284527"/>
    <x v="286"/>
    <x v="329"/>
    <x v="0"/>
    <n v="39"/>
    <s v="month"/>
    <x v="14"/>
    <n v="7"/>
  </r>
  <r>
    <n v="214105912"/>
    <x v="286"/>
    <x v="329"/>
    <x v="0"/>
    <n v="39"/>
    <s v="month"/>
    <x v="14"/>
    <n v="7"/>
  </r>
  <r>
    <n v="200909190"/>
    <x v="286"/>
    <x v="347"/>
    <x v="0"/>
    <n v="39"/>
    <s v="month"/>
    <x v="39"/>
    <n v="7"/>
  </r>
  <r>
    <n v="151633468"/>
    <x v="286"/>
    <x v="222"/>
    <x v="0"/>
    <n v="39"/>
    <s v="month"/>
    <x v="19"/>
    <n v="7"/>
  </r>
  <r>
    <n v="207010976"/>
    <x v="286"/>
    <x v="347"/>
    <x v="0"/>
    <n v="39"/>
    <s v="month"/>
    <x v="39"/>
    <n v="7"/>
  </r>
  <r>
    <n v="217487776"/>
    <x v="286"/>
    <x v="240"/>
    <x v="0"/>
    <n v="39"/>
    <s v="month"/>
    <x v="156"/>
    <n v="7"/>
  </r>
  <r>
    <n v="217484551"/>
    <x v="286"/>
    <x v="329"/>
    <x v="0"/>
    <n v="39"/>
    <s v="month"/>
    <x v="14"/>
    <n v="7"/>
  </r>
  <r>
    <n v="217498202"/>
    <x v="287"/>
    <x v="0"/>
    <x v="0"/>
    <n v="39"/>
    <s v="month"/>
    <x v="0"/>
    <n v="1"/>
  </r>
  <r>
    <n v="217234603"/>
    <x v="287"/>
    <x v="0"/>
    <x v="0"/>
    <n v="39"/>
    <s v="month"/>
    <x v="0"/>
    <n v="1"/>
  </r>
  <r>
    <n v="217264148"/>
    <x v="287"/>
    <x v="0"/>
    <x v="0"/>
    <n v="39"/>
    <s v="month"/>
    <x v="0"/>
    <n v="1"/>
  </r>
  <r>
    <n v="217513366"/>
    <x v="287"/>
    <x v="0"/>
    <x v="0"/>
    <n v="39"/>
    <s v="month"/>
    <x v="0"/>
    <n v="1"/>
  </r>
  <r>
    <n v="217503737"/>
    <x v="287"/>
    <x v="0"/>
    <x v="0"/>
    <n v="39"/>
    <s v="month"/>
    <x v="0"/>
    <n v="1"/>
  </r>
  <r>
    <n v="151540809"/>
    <x v="287"/>
    <x v="0"/>
    <x v="0"/>
    <n v="39"/>
    <s v="month"/>
    <x v="0"/>
    <n v="1"/>
  </r>
  <r>
    <n v="217526421"/>
    <x v="287"/>
    <x v="262"/>
    <x v="0"/>
    <n v="39"/>
    <s v="month"/>
    <x v="88"/>
    <n v="1"/>
  </r>
  <r>
    <n v="217418580"/>
    <x v="287"/>
    <x v="346"/>
    <x v="0"/>
    <n v="39"/>
    <s v="month"/>
    <x v="20"/>
    <n v="1"/>
  </r>
  <r>
    <n v="217426015"/>
    <x v="288"/>
    <x v="0"/>
    <x v="0"/>
    <n v="39"/>
    <s v="month"/>
    <x v="0"/>
    <n v="2"/>
  </r>
  <r>
    <n v="217557584"/>
    <x v="288"/>
    <x v="0"/>
    <x v="0"/>
    <n v="39"/>
    <s v="month"/>
    <x v="0"/>
    <n v="2"/>
  </r>
  <r>
    <n v="217406489"/>
    <x v="288"/>
    <x v="0"/>
    <x v="0"/>
    <n v="39"/>
    <s v="month"/>
    <x v="0"/>
    <n v="2"/>
  </r>
  <r>
    <n v="217536534"/>
    <x v="288"/>
    <x v="0"/>
    <x v="0"/>
    <n v="39"/>
    <s v="month"/>
    <x v="0"/>
    <n v="2"/>
  </r>
  <r>
    <n v="217557082"/>
    <x v="288"/>
    <x v="0"/>
    <x v="0"/>
    <n v="39"/>
    <s v="month"/>
    <x v="0"/>
    <n v="2"/>
  </r>
  <r>
    <n v="176024207"/>
    <x v="288"/>
    <x v="307"/>
    <x v="0"/>
    <n v="39"/>
    <s v="month"/>
    <x v="78"/>
    <n v="2"/>
  </r>
  <r>
    <n v="160598122"/>
    <x v="288"/>
    <x v="353"/>
    <x v="0"/>
    <n v="39"/>
    <s v="month"/>
    <x v="14"/>
    <n v="2"/>
  </r>
  <r>
    <n v="217378430"/>
    <x v="288"/>
    <x v="310"/>
    <x v="0"/>
    <n v="39"/>
    <s v="month"/>
    <x v="122"/>
    <n v="2"/>
  </r>
  <r>
    <n v="193680187"/>
    <x v="288"/>
    <x v="177"/>
    <x v="0"/>
    <n v="39"/>
    <s v="month"/>
    <x v="1"/>
    <n v="2"/>
  </r>
  <r>
    <n v="180424442"/>
    <x v="288"/>
    <x v="353"/>
    <x v="0"/>
    <n v="39"/>
    <s v="month"/>
    <x v="14"/>
    <n v="2"/>
  </r>
  <r>
    <n v="217612796"/>
    <x v="289"/>
    <x v="0"/>
    <x v="0"/>
    <n v="39"/>
    <s v="month"/>
    <x v="0"/>
    <n v="3"/>
  </r>
  <r>
    <n v="217601263"/>
    <x v="289"/>
    <x v="0"/>
    <x v="0"/>
    <n v="39"/>
    <s v="month"/>
    <x v="0"/>
    <n v="3"/>
  </r>
  <r>
    <n v="217594148"/>
    <x v="289"/>
    <x v="0"/>
    <x v="0"/>
    <n v="39"/>
    <s v="month"/>
    <x v="0"/>
    <n v="3"/>
  </r>
  <r>
    <n v="217598396"/>
    <x v="289"/>
    <x v="0"/>
    <x v="0"/>
    <n v="39"/>
    <s v="month"/>
    <x v="0"/>
    <n v="3"/>
  </r>
  <r>
    <n v="206647130"/>
    <x v="289"/>
    <x v="0"/>
    <x v="0"/>
    <n v="39"/>
    <s v="month"/>
    <x v="0"/>
    <n v="3"/>
  </r>
  <r>
    <n v="207099222"/>
    <x v="289"/>
    <x v="0"/>
    <x v="0"/>
    <n v="39"/>
    <s v="month"/>
    <x v="0"/>
    <n v="3"/>
  </r>
  <r>
    <n v="207079318"/>
    <x v="289"/>
    <x v="0"/>
    <x v="0"/>
    <n v="39"/>
    <s v="month"/>
    <x v="0"/>
    <n v="3"/>
  </r>
  <r>
    <n v="217580362"/>
    <x v="289"/>
    <x v="0"/>
    <x v="0"/>
    <n v="39"/>
    <s v="month"/>
    <x v="0"/>
    <n v="3"/>
  </r>
  <r>
    <n v="217438678"/>
    <x v="289"/>
    <x v="0"/>
    <x v="0"/>
    <n v="39"/>
    <s v="month"/>
    <x v="0"/>
    <n v="3"/>
  </r>
  <r>
    <n v="215963364"/>
    <x v="289"/>
    <x v="173"/>
    <x v="0"/>
    <n v="39"/>
    <s v="month"/>
    <x v="1"/>
    <n v="3"/>
  </r>
  <r>
    <n v="153876204"/>
    <x v="289"/>
    <x v="205"/>
    <x v="0"/>
    <n v="39"/>
    <s v="month"/>
    <x v="156"/>
    <n v="3"/>
  </r>
  <r>
    <n v="153828803"/>
    <x v="289"/>
    <x v="311"/>
    <x v="0"/>
    <n v="39"/>
    <s v="month"/>
    <x v="208"/>
    <n v="3"/>
  </r>
  <r>
    <n v="217595865"/>
    <x v="289"/>
    <x v="282"/>
    <x v="0"/>
    <n v="39"/>
    <s v="month"/>
    <x v="14"/>
    <n v="3"/>
  </r>
  <r>
    <n v="216158153"/>
    <x v="289"/>
    <x v="329"/>
    <x v="0"/>
    <n v="39"/>
    <s v="month"/>
    <x v="36"/>
    <n v="3"/>
  </r>
  <r>
    <n v="217548173"/>
    <x v="289"/>
    <x v="265"/>
    <x v="0"/>
    <n v="39"/>
    <s v="month"/>
    <x v="72"/>
    <n v="3"/>
  </r>
  <r>
    <n v="217533118"/>
    <x v="290"/>
    <x v="0"/>
    <x v="0"/>
    <n v="39"/>
    <s v="month"/>
    <x v="0"/>
    <n v="4"/>
  </r>
  <r>
    <n v="205128906"/>
    <x v="290"/>
    <x v="0"/>
    <x v="0"/>
    <n v="39"/>
    <s v="month"/>
    <x v="0"/>
    <n v="4"/>
  </r>
  <r>
    <n v="205812132"/>
    <x v="290"/>
    <x v="0"/>
    <x v="0"/>
    <n v="39"/>
    <s v="month"/>
    <x v="0"/>
    <n v="4"/>
  </r>
  <r>
    <n v="216907554"/>
    <x v="290"/>
    <x v="0"/>
    <x v="0"/>
    <n v="39"/>
    <s v="month"/>
    <x v="0"/>
    <n v="4"/>
  </r>
  <r>
    <n v="215113542"/>
    <x v="290"/>
    <x v="0"/>
    <x v="0"/>
    <n v="39"/>
    <s v="month"/>
    <x v="0"/>
    <n v="4"/>
  </r>
  <r>
    <n v="204772797"/>
    <x v="290"/>
    <x v="0"/>
    <x v="0"/>
    <n v="39"/>
    <s v="month"/>
    <x v="0"/>
    <n v="4"/>
  </r>
  <r>
    <n v="217627630"/>
    <x v="290"/>
    <x v="0"/>
    <x v="0"/>
    <n v="39"/>
    <s v="month"/>
    <x v="0"/>
    <n v="4"/>
  </r>
  <r>
    <n v="217635272"/>
    <x v="290"/>
    <x v="0"/>
    <x v="0"/>
    <n v="39"/>
    <s v="month"/>
    <x v="0"/>
    <n v="4"/>
  </r>
  <r>
    <n v="217543308"/>
    <x v="290"/>
    <x v="311"/>
    <x v="0"/>
    <n v="39"/>
    <s v="month"/>
    <x v="1"/>
    <n v="4"/>
  </r>
  <r>
    <n v="217626870"/>
    <x v="290"/>
    <x v="311"/>
    <x v="1"/>
    <n v="39"/>
    <s v="month"/>
    <x v="1"/>
    <n v="4"/>
  </r>
  <r>
    <n v="217246912"/>
    <x v="290"/>
    <x v="311"/>
    <x v="1"/>
    <n v="39"/>
    <s v="month"/>
    <x v="1"/>
    <n v="4"/>
  </r>
  <r>
    <n v="217223132"/>
    <x v="290"/>
    <x v="63"/>
    <x v="0"/>
    <n v="39"/>
    <s v="month"/>
    <x v="27"/>
    <n v="4"/>
  </r>
  <r>
    <n v="217650160"/>
    <x v="290"/>
    <x v="195"/>
    <x v="0"/>
    <n v="39"/>
    <s v="month"/>
    <x v="43"/>
    <n v="4"/>
  </r>
  <r>
    <n v="149856123"/>
    <x v="290"/>
    <x v="316"/>
    <x v="0"/>
    <n v="39"/>
    <s v="month"/>
    <x v="20"/>
    <n v="4"/>
  </r>
  <r>
    <n v="217657148"/>
    <x v="290"/>
    <x v="187"/>
    <x v="0"/>
    <n v="39"/>
    <s v="month"/>
    <x v="173"/>
    <n v="4"/>
  </r>
  <r>
    <n v="217386658"/>
    <x v="290"/>
    <x v="344"/>
    <x v="0"/>
    <n v="39"/>
    <s v="month"/>
    <x v="36"/>
    <n v="4"/>
  </r>
  <r>
    <n v="202563999"/>
    <x v="291"/>
    <x v="0"/>
    <x v="0"/>
    <n v="39"/>
    <s v="month"/>
    <x v="0"/>
    <n v="5"/>
  </r>
  <r>
    <n v="137195650"/>
    <x v="291"/>
    <x v="0"/>
    <x v="0"/>
    <n v="39"/>
    <s v="month"/>
    <x v="0"/>
    <n v="5"/>
  </r>
  <r>
    <n v="138372112"/>
    <x v="291"/>
    <x v="0"/>
    <x v="0"/>
    <n v="39"/>
    <s v="month"/>
    <x v="0"/>
    <n v="5"/>
  </r>
  <r>
    <n v="217692419"/>
    <x v="291"/>
    <x v="0"/>
    <x v="0"/>
    <n v="39"/>
    <s v="month"/>
    <x v="0"/>
    <n v="5"/>
  </r>
  <r>
    <n v="217610905"/>
    <x v="291"/>
    <x v="0"/>
    <x v="0"/>
    <n v="39"/>
    <s v="month"/>
    <x v="0"/>
    <n v="5"/>
  </r>
  <r>
    <n v="217618558"/>
    <x v="291"/>
    <x v="0"/>
    <x v="0"/>
    <n v="39"/>
    <s v="month"/>
    <x v="0"/>
    <n v="5"/>
  </r>
  <r>
    <n v="190490555"/>
    <x v="291"/>
    <x v="0"/>
    <x v="0"/>
    <n v="39"/>
    <s v="month"/>
    <x v="0"/>
    <n v="5"/>
  </r>
  <r>
    <n v="122169020"/>
    <x v="291"/>
    <x v="147"/>
    <x v="0"/>
    <n v="39"/>
    <s v="month"/>
    <x v="1"/>
    <n v="5"/>
  </r>
  <r>
    <n v="217628239"/>
    <x v="291"/>
    <x v="147"/>
    <x v="1"/>
    <n v="39"/>
    <s v="month"/>
    <x v="1"/>
    <n v="5"/>
  </r>
  <r>
    <n v="148062219"/>
    <x v="291"/>
    <x v="265"/>
    <x v="0"/>
    <n v="39"/>
    <s v="month"/>
    <x v="62"/>
    <n v="5"/>
  </r>
  <r>
    <n v="131505988"/>
    <x v="291"/>
    <x v="241"/>
    <x v="0"/>
    <n v="39"/>
    <s v="month"/>
    <x v="10"/>
    <n v="5"/>
  </r>
  <r>
    <n v="215489398"/>
    <x v="291"/>
    <x v="311"/>
    <x v="0"/>
    <n v="39"/>
    <s v="month"/>
    <x v="11"/>
    <n v="5"/>
  </r>
  <r>
    <n v="195285936"/>
    <x v="291"/>
    <x v="63"/>
    <x v="0"/>
    <n v="39"/>
    <s v="month"/>
    <x v="110"/>
    <n v="5"/>
  </r>
  <r>
    <n v="217725764"/>
    <x v="291"/>
    <x v="293"/>
    <x v="0"/>
    <n v="39"/>
    <s v="month"/>
    <x v="225"/>
    <n v="5"/>
  </r>
  <r>
    <n v="217730944"/>
    <x v="291"/>
    <x v="241"/>
    <x v="0"/>
    <n v="39"/>
    <s v="month"/>
    <x v="10"/>
    <n v="5"/>
  </r>
  <r>
    <n v="205548571"/>
    <x v="292"/>
    <x v="0"/>
    <x v="0"/>
    <n v="39"/>
    <s v="month"/>
    <x v="0"/>
    <n v="6"/>
  </r>
  <r>
    <n v="188085249"/>
    <x v="292"/>
    <x v="0"/>
    <x v="0"/>
    <n v="39"/>
    <s v="month"/>
    <x v="0"/>
    <n v="6"/>
  </r>
  <r>
    <n v="206697535"/>
    <x v="292"/>
    <x v="0"/>
    <x v="0"/>
    <n v="39"/>
    <s v="month"/>
    <x v="0"/>
    <n v="6"/>
  </r>
  <r>
    <n v="152705871"/>
    <x v="292"/>
    <x v="0"/>
    <x v="0"/>
    <n v="39"/>
    <s v="month"/>
    <x v="0"/>
    <n v="6"/>
  </r>
  <r>
    <n v="216139584"/>
    <x v="292"/>
    <x v="0"/>
    <x v="0"/>
    <n v="39"/>
    <s v="month"/>
    <x v="0"/>
    <n v="6"/>
  </r>
  <r>
    <n v="127716285"/>
    <x v="292"/>
    <x v="0"/>
    <x v="0"/>
    <n v="39"/>
    <s v="month"/>
    <x v="0"/>
    <n v="6"/>
  </r>
  <r>
    <n v="138535334"/>
    <x v="292"/>
    <x v="225"/>
    <x v="0"/>
    <n v="39"/>
    <s v="month"/>
    <x v="94"/>
    <n v="6"/>
  </r>
  <r>
    <n v="205869717"/>
    <x v="292"/>
    <x v="211"/>
    <x v="0"/>
    <n v="39"/>
    <s v="month"/>
    <x v="39"/>
    <n v="6"/>
  </r>
  <r>
    <n v="204985013"/>
    <x v="292"/>
    <x v="328"/>
    <x v="0"/>
    <n v="39"/>
    <s v="month"/>
    <x v="43"/>
    <n v="6"/>
  </r>
  <r>
    <n v="217763600"/>
    <x v="293"/>
    <x v="0"/>
    <x v="0"/>
    <n v="39"/>
    <s v="month"/>
    <x v="0"/>
    <n v="7"/>
  </r>
  <r>
    <n v="217808731"/>
    <x v="293"/>
    <x v="312"/>
    <x v="1"/>
    <n v="39"/>
    <s v="month"/>
    <x v="1"/>
    <n v="7"/>
  </r>
  <r>
    <n v="217822232"/>
    <x v="293"/>
    <x v="358"/>
    <x v="0"/>
    <n v="39"/>
    <s v="month"/>
    <x v="190"/>
    <n v="7"/>
  </r>
  <r>
    <n v="217718093"/>
    <x v="294"/>
    <x v="0"/>
    <x v="0"/>
    <n v="39"/>
    <s v="month"/>
    <x v="0"/>
    <n v="1"/>
  </r>
  <r>
    <n v="217555660"/>
    <x v="294"/>
    <x v="0"/>
    <x v="0"/>
    <n v="39"/>
    <s v="month"/>
    <x v="0"/>
    <n v="1"/>
  </r>
  <r>
    <n v="154535908"/>
    <x v="294"/>
    <x v="0"/>
    <x v="0"/>
    <n v="39"/>
    <s v="month"/>
    <x v="0"/>
    <n v="1"/>
  </r>
  <r>
    <n v="217554744"/>
    <x v="294"/>
    <x v="222"/>
    <x v="0"/>
    <n v="39"/>
    <s v="month"/>
    <x v="14"/>
    <n v="1"/>
  </r>
  <r>
    <n v="217877324"/>
    <x v="294"/>
    <x v="312"/>
    <x v="0"/>
    <n v="39"/>
    <s v="month"/>
    <x v="11"/>
    <n v="1"/>
  </r>
  <r>
    <n v="147765298"/>
    <x v="295"/>
    <x v="0"/>
    <x v="0"/>
    <n v="39"/>
    <s v="month"/>
    <x v="0"/>
    <n v="2"/>
  </r>
  <r>
    <n v="217901196"/>
    <x v="295"/>
    <x v="0"/>
    <x v="0"/>
    <n v="39"/>
    <s v="month"/>
    <x v="0"/>
    <n v="2"/>
  </r>
  <r>
    <n v="217266939"/>
    <x v="295"/>
    <x v="0"/>
    <x v="0"/>
    <n v="39"/>
    <s v="month"/>
    <x v="0"/>
    <n v="2"/>
  </r>
  <r>
    <n v="204908076"/>
    <x v="295"/>
    <x v="0"/>
    <x v="0"/>
    <n v="39"/>
    <s v="month"/>
    <x v="0"/>
    <n v="2"/>
  </r>
  <r>
    <n v="217698784"/>
    <x v="295"/>
    <x v="0"/>
    <x v="0"/>
    <n v="39"/>
    <s v="month"/>
    <x v="0"/>
    <n v="2"/>
  </r>
  <r>
    <n v="217909024"/>
    <x v="295"/>
    <x v="0"/>
    <x v="0"/>
    <n v="39"/>
    <s v="month"/>
    <x v="0"/>
    <n v="2"/>
  </r>
  <r>
    <n v="201498671"/>
    <x v="295"/>
    <x v="0"/>
    <x v="0"/>
    <n v="39"/>
    <s v="month"/>
    <x v="0"/>
    <n v="2"/>
  </r>
  <r>
    <n v="217902650"/>
    <x v="295"/>
    <x v="0"/>
    <x v="0"/>
    <n v="39"/>
    <s v="month"/>
    <x v="0"/>
    <n v="2"/>
  </r>
  <r>
    <n v="217896282"/>
    <x v="295"/>
    <x v="0"/>
    <x v="0"/>
    <n v="39"/>
    <s v="month"/>
    <x v="0"/>
    <n v="2"/>
  </r>
  <r>
    <n v="217337901"/>
    <x v="295"/>
    <x v="0"/>
    <x v="0"/>
    <n v="39"/>
    <s v="month"/>
    <x v="0"/>
    <n v="2"/>
  </r>
  <r>
    <n v="217477535"/>
    <x v="295"/>
    <x v="0"/>
    <x v="0"/>
    <n v="39"/>
    <s v="month"/>
    <x v="0"/>
    <n v="2"/>
  </r>
  <r>
    <n v="217885621"/>
    <x v="295"/>
    <x v="0"/>
    <x v="0"/>
    <n v="39"/>
    <s v="month"/>
    <x v="0"/>
    <n v="2"/>
  </r>
  <r>
    <n v="217714764"/>
    <x v="295"/>
    <x v="0"/>
    <x v="0"/>
    <n v="39"/>
    <s v="month"/>
    <x v="0"/>
    <n v="2"/>
  </r>
  <r>
    <n v="217335548"/>
    <x v="295"/>
    <x v="349"/>
    <x v="0"/>
    <n v="39"/>
    <s v="month"/>
    <x v="130"/>
    <n v="2"/>
  </r>
  <r>
    <n v="129747676"/>
    <x v="295"/>
    <x v="293"/>
    <x v="0"/>
    <n v="39"/>
    <s v="month"/>
    <x v="1"/>
    <n v="2"/>
  </r>
  <r>
    <n v="217846698"/>
    <x v="295"/>
    <x v="293"/>
    <x v="1"/>
    <n v="39"/>
    <s v="month"/>
    <x v="1"/>
    <n v="2"/>
  </r>
  <r>
    <n v="217965791"/>
    <x v="296"/>
    <x v="0"/>
    <x v="0"/>
    <n v="39"/>
    <s v="month"/>
    <x v="0"/>
    <n v="3"/>
  </r>
  <r>
    <n v="217851124"/>
    <x v="296"/>
    <x v="0"/>
    <x v="0"/>
    <n v="39"/>
    <s v="month"/>
    <x v="0"/>
    <n v="3"/>
  </r>
  <r>
    <n v="217861903"/>
    <x v="296"/>
    <x v="0"/>
    <x v="0"/>
    <n v="39"/>
    <s v="month"/>
    <x v="0"/>
    <n v="3"/>
  </r>
  <r>
    <n v="217660423"/>
    <x v="296"/>
    <x v="0"/>
    <x v="0"/>
    <n v="39"/>
    <s v="month"/>
    <x v="0"/>
    <n v="3"/>
  </r>
  <r>
    <n v="217814342"/>
    <x v="296"/>
    <x v="0"/>
    <x v="0"/>
    <n v="39"/>
    <s v="month"/>
    <x v="0"/>
    <n v="3"/>
  </r>
  <r>
    <n v="157548765"/>
    <x v="296"/>
    <x v="99"/>
    <x v="1"/>
    <n v="39"/>
    <s v="month"/>
    <x v="1"/>
    <n v="3"/>
  </r>
  <r>
    <n v="217934288"/>
    <x v="296"/>
    <x v="99"/>
    <x v="1"/>
    <n v="39"/>
    <s v="month"/>
    <x v="1"/>
    <n v="3"/>
  </r>
  <r>
    <n v="217855786"/>
    <x v="296"/>
    <x v="99"/>
    <x v="1"/>
    <n v="39"/>
    <s v="month"/>
    <x v="1"/>
    <n v="3"/>
  </r>
  <r>
    <n v="131753677"/>
    <x v="296"/>
    <x v="334"/>
    <x v="0"/>
    <n v="39"/>
    <s v="month"/>
    <x v="78"/>
    <n v="3"/>
  </r>
  <r>
    <n v="215963364"/>
    <x v="296"/>
    <x v="302"/>
    <x v="0"/>
    <n v="39"/>
    <s v="month"/>
    <x v="39"/>
    <n v="3"/>
  </r>
  <r>
    <n v="217971206"/>
    <x v="296"/>
    <x v="314"/>
    <x v="0"/>
    <n v="39"/>
    <s v="month"/>
    <x v="86"/>
    <n v="3"/>
  </r>
  <r>
    <n v="217943053"/>
    <x v="296"/>
    <x v="316"/>
    <x v="0"/>
    <n v="39"/>
    <s v="month"/>
    <x v="40"/>
    <n v="3"/>
  </r>
  <r>
    <n v="218004764"/>
    <x v="297"/>
    <x v="0"/>
    <x v="0"/>
    <n v="39"/>
    <s v="month"/>
    <x v="0"/>
    <n v="4"/>
  </r>
  <r>
    <n v="217768772"/>
    <x v="297"/>
    <x v="0"/>
    <x v="0"/>
    <n v="39"/>
    <s v="month"/>
    <x v="0"/>
    <n v="4"/>
  </r>
  <r>
    <n v="216775344"/>
    <x v="297"/>
    <x v="0"/>
    <x v="0"/>
    <n v="39"/>
    <s v="month"/>
    <x v="0"/>
    <n v="4"/>
  </r>
  <r>
    <n v="135364787"/>
    <x v="297"/>
    <x v="0"/>
    <x v="0"/>
    <n v="39"/>
    <s v="month"/>
    <x v="0"/>
    <n v="4"/>
  </r>
  <r>
    <n v="148107179"/>
    <x v="297"/>
    <x v="236"/>
    <x v="0"/>
    <n v="39"/>
    <s v="month"/>
    <x v="14"/>
    <n v="4"/>
  </r>
  <r>
    <n v="215904194"/>
    <x v="297"/>
    <x v="357"/>
    <x v="0"/>
    <n v="39"/>
    <s v="month"/>
    <x v="15"/>
    <n v="4"/>
  </r>
  <r>
    <n v="217988577"/>
    <x v="297"/>
    <x v="353"/>
    <x v="0"/>
    <n v="39"/>
    <s v="month"/>
    <x v="44"/>
    <n v="4"/>
  </r>
  <r>
    <n v="146124679"/>
    <x v="297"/>
    <x v="176"/>
    <x v="0"/>
    <n v="39"/>
    <s v="month"/>
    <x v="35"/>
    <n v="4"/>
  </r>
  <r>
    <n v="217819772"/>
    <x v="298"/>
    <x v="0"/>
    <x v="0"/>
    <n v="39"/>
    <s v="month"/>
    <x v="0"/>
    <n v="5"/>
  </r>
  <r>
    <n v="217996629"/>
    <x v="298"/>
    <x v="0"/>
    <x v="0"/>
    <n v="39"/>
    <s v="month"/>
    <x v="0"/>
    <n v="5"/>
  </r>
  <r>
    <n v="152621756"/>
    <x v="298"/>
    <x v="0"/>
    <x v="0"/>
    <n v="39"/>
    <s v="month"/>
    <x v="0"/>
    <n v="5"/>
  </r>
  <r>
    <n v="218006807"/>
    <x v="298"/>
    <x v="0"/>
    <x v="0"/>
    <n v="39"/>
    <s v="month"/>
    <x v="0"/>
    <n v="5"/>
  </r>
  <r>
    <n v="218045202"/>
    <x v="298"/>
    <x v="355"/>
    <x v="0"/>
    <n v="39"/>
    <s v="month"/>
    <x v="94"/>
    <n v="5"/>
  </r>
  <r>
    <n v="122215146"/>
    <x v="298"/>
    <x v="283"/>
    <x v="0"/>
    <n v="39"/>
    <s v="month"/>
    <x v="19"/>
    <n v="5"/>
  </r>
  <r>
    <n v="218003864"/>
    <x v="298"/>
    <x v="176"/>
    <x v="0"/>
    <n v="39"/>
    <s v="month"/>
    <x v="72"/>
    <n v="5"/>
  </r>
  <r>
    <n v="218088770"/>
    <x v="299"/>
    <x v="0"/>
    <x v="0"/>
    <n v="39"/>
    <s v="month"/>
    <x v="0"/>
    <n v="6"/>
  </r>
  <r>
    <n v="217856893"/>
    <x v="299"/>
    <x v="0"/>
    <x v="0"/>
    <n v="39"/>
    <s v="month"/>
    <x v="0"/>
    <n v="6"/>
  </r>
  <r>
    <n v="156054912"/>
    <x v="299"/>
    <x v="0"/>
    <x v="0"/>
    <n v="39"/>
    <s v="month"/>
    <x v="0"/>
    <n v="6"/>
  </r>
  <r>
    <n v="218059054"/>
    <x v="299"/>
    <x v="0"/>
    <x v="0"/>
    <n v="39"/>
    <s v="month"/>
    <x v="0"/>
    <n v="6"/>
  </r>
  <r>
    <n v="218074245"/>
    <x v="299"/>
    <x v="0"/>
    <x v="0"/>
    <n v="39"/>
    <s v="month"/>
    <x v="0"/>
    <n v="6"/>
  </r>
  <r>
    <n v="204774586"/>
    <x v="299"/>
    <x v="0"/>
    <x v="0"/>
    <n v="39"/>
    <s v="month"/>
    <x v="0"/>
    <n v="6"/>
  </r>
  <r>
    <n v="215941440"/>
    <x v="299"/>
    <x v="0"/>
    <x v="0"/>
    <n v="39"/>
    <s v="month"/>
    <x v="0"/>
    <n v="6"/>
  </r>
  <r>
    <n v="205547323"/>
    <x v="299"/>
    <x v="0"/>
    <x v="1"/>
    <n v="39"/>
    <s v="month"/>
    <x v="0"/>
    <n v="6"/>
  </r>
  <r>
    <n v="140062581"/>
    <x v="299"/>
    <x v="0"/>
    <x v="0"/>
    <n v="39"/>
    <s v="month"/>
    <x v="0"/>
    <n v="6"/>
  </r>
  <r>
    <n v="217932519"/>
    <x v="299"/>
    <x v="340"/>
    <x v="0"/>
    <n v="39"/>
    <s v="month"/>
    <x v="1"/>
    <n v="6"/>
  </r>
  <r>
    <n v="217982048"/>
    <x v="299"/>
    <x v="340"/>
    <x v="1"/>
    <n v="39"/>
    <s v="month"/>
    <x v="1"/>
    <n v="6"/>
  </r>
  <r>
    <n v="218066467"/>
    <x v="299"/>
    <x v="335"/>
    <x v="0"/>
    <n v="39"/>
    <s v="month"/>
    <x v="169"/>
    <n v="6"/>
  </r>
  <r>
    <n v="218046034"/>
    <x v="299"/>
    <x v="349"/>
    <x v="0"/>
    <n v="39"/>
    <s v="month"/>
    <x v="39"/>
    <n v="6"/>
  </r>
  <r>
    <n v="217697744"/>
    <x v="299"/>
    <x v="282"/>
    <x v="0"/>
    <n v="39"/>
    <s v="month"/>
    <x v="62"/>
    <n v="6"/>
  </r>
  <r>
    <n v="217942738"/>
    <x v="300"/>
    <x v="0"/>
    <x v="0"/>
    <n v="39"/>
    <s v="month"/>
    <x v="0"/>
    <n v="7"/>
  </r>
  <r>
    <n v="218133628"/>
    <x v="300"/>
    <x v="0"/>
    <x v="0"/>
    <n v="39"/>
    <s v="month"/>
    <x v="0"/>
    <n v="7"/>
  </r>
  <r>
    <n v="118508852"/>
    <x v="300"/>
    <x v="0"/>
    <x v="0"/>
    <n v="39"/>
    <s v="month"/>
    <x v="0"/>
    <n v="7"/>
  </r>
  <r>
    <n v="218120267"/>
    <x v="300"/>
    <x v="0"/>
    <x v="0"/>
    <n v="39"/>
    <s v="month"/>
    <x v="0"/>
    <n v="7"/>
  </r>
  <r>
    <n v="218095541"/>
    <x v="300"/>
    <x v="0"/>
    <x v="0"/>
    <n v="39"/>
    <s v="month"/>
    <x v="0"/>
    <n v="7"/>
  </r>
  <r>
    <n v="217626801"/>
    <x v="300"/>
    <x v="0"/>
    <x v="0"/>
    <n v="39"/>
    <s v="month"/>
    <x v="0"/>
    <n v="7"/>
  </r>
  <r>
    <n v="151555660"/>
    <x v="300"/>
    <x v="335"/>
    <x v="0"/>
    <n v="39"/>
    <s v="month"/>
    <x v="94"/>
    <n v="7"/>
  </r>
  <r>
    <n v="217110820"/>
    <x v="300"/>
    <x v="236"/>
    <x v="0"/>
    <n v="39"/>
    <s v="month"/>
    <x v="36"/>
    <n v="7"/>
  </r>
  <r>
    <n v="217932519"/>
    <x v="300"/>
    <x v="335"/>
    <x v="0"/>
    <n v="39"/>
    <s v="month"/>
    <x v="94"/>
    <n v="7"/>
  </r>
  <r>
    <n v="218164848"/>
    <x v="301"/>
    <x v="0"/>
    <x v="0"/>
    <n v="39"/>
    <s v="month"/>
    <x v="0"/>
    <n v="1"/>
  </r>
  <r>
    <n v="217526484"/>
    <x v="301"/>
    <x v="0"/>
    <x v="0"/>
    <n v="39"/>
    <s v="month"/>
    <x v="0"/>
    <n v="1"/>
  </r>
  <r>
    <n v="214940948"/>
    <x v="301"/>
    <x v="0"/>
    <x v="0"/>
    <n v="39"/>
    <s v="month"/>
    <x v="0"/>
    <n v="1"/>
  </r>
  <r>
    <n v="218144586"/>
    <x v="301"/>
    <x v="0"/>
    <x v="0"/>
    <n v="39"/>
    <s v="month"/>
    <x v="0"/>
    <n v="1"/>
  </r>
  <r>
    <n v="217863596"/>
    <x v="301"/>
    <x v="339"/>
    <x v="0"/>
    <n v="39"/>
    <s v="month"/>
    <x v="78"/>
    <n v="1"/>
  </r>
  <r>
    <n v="218098580"/>
    <x v="301"/>
    <x v="211"/>
    <x v="0"/>
    <n v="39"/>
    <s v="month"/>
    <x v="26"/>
    <n v="1"/>
  </r>
  <r>
    <n v="215602271"/>
    <x v="301"/>
    <x v="282"/>
    <x v="0"/>
    <n v="39"/>
    <s v="month"/>
    <x v="9"/>
    <n v="1"/>
  </r>
  <r>
    <n v="218202086"/>
    <x v="302"/>
    <x v="0"/>
    <x v="0"/>
    <n v="39"/>
    <s v="month"/>
    <x v="0"/>
    <n v="2"/>
  </r>
  <r>
    <n v="217927897"/>
    <x v="302"/>
    <x v="0"/>
    <x v="0"/>
    <n v="39"/>
    <s v="month"/>
    <x v="0"/>
    <n v="2"/>
  </r>
  <r>
    <n v="217856402"/>
    <x v="302"/>
    <x v="0"/>
    <x v="0"/>
    <n v="39"/>
    <s v="month"/>
    <x v="0"/>
    <n v="2"/>
  </r>
  <r>
    <n v="217588559"/>
    <x v="302"/>
    <x v="0"/>
    <x v="0"/>
    <n v="39"/>
    <s v="month"/>
    <x v="0"/>
    <n v="2"/>
  </r>
  <r>
    <n v="212136438"/>
    <x v="302"/>
    <x v="0"/>
    <x v="0"/>
    <n v="39"/>
    <s v="month"/>
    <x v="0"/>
    <n v="2"/>
  </r>
  <r>
    <n v="138548670"/>
    <x v="302"/>
    <x v="0"/>
    <x v="0"/>
    <n v="39"/>
    <s v="month"/>
    <x v="0"/>
    <n v="2"/>
  </r>
  <r>
    <n v="217588559"/>
    <x v="302"/>
    <x v="244"/>
    <x v="0"/>
    <n v="39"/>
    <s v="month"/>
    <x v="11"/>
    <n v="2"/>
  </r>
  <r>
    <n v="171893540"/>
    <x v="302"/>
    <x v="339"/>
    <x v="0"/>
    <n v="39"/>
    <s v="month"/>
    <x v="122"/>
    <n v="2"/>
  </r>
  <r>
    <n v="202412363"/>
    <x v="302"/>
    <x v="357"/>
    <x v="0"/>
    <n v="39"/>
    <s v="month"/>
    <x v="184"/>
    <n v="2"/>
  </r>
  <r>
    <n v="218129311"/>
    <x v="302"/>
    <x v="195"/>
    <x v="0"/>
    <n v="39"/>
    <s v="month"/>
    <x v="87"/>
    <n v="2"/>
  </r>
  <r>
    <n v="218092565"/>
    <x v="302"/>
    <x v="195"/>
    <x v="0"/>
    <n v="39"/>
    <s v="month"/>
    <x v="87"/>
    <n v="2"/>
  </r>
  <r>
    <n v="150436862"/>
    <x v="303"/>
    <x v="0"/>
    <x v="0"/>
    <n v="39"/>
    <s v="month"/>
    <x v="0"/>
    <n v="3"/>
  </r>
  <r>
    <n v="218211840"/>
    <x v="303"/>
    <x v="0"/>
    <x v="0"/>
    <n v="39"/>
    <s v="month"/>
    <x v="0"/>
    <n v="3"/>
  </r>
  <r>
    <n v="218235209"/>
    <x v="303"/>
    <x v="0"/>
    <x v="0"/>
    <n v="39"/>
    <s v="month"/>
    <x v="0"/>
    <n v="3"/>
  </r>
  <r>
    <n v="132631414"/>
    <x v="303"/>
    <x v="0"/>
    <x v="0"/>
    <n v="39"/>
    <s v="month"/>
    <x v="0"/>
    <n v="3"/>
  </r>
  <r>
    <n v="218254260"/>
    <x v="303"/>
    <x v="0"/>
    <x v="0"/>
    <n v="39"/>
    <s v="month"/>
    <x v="0"/>
    <n v="3"/>
  </r>
  <r>
    <n v="218095604"/>
    <x v="303"/>
    <x v="0"/>
    <x v="0"/>
    <n v="39"/>
    <s v="month"/>
    <x v="0"/>
    <n v="3"/>
  </r>
  <r>
    <n v="147845964"/>
    <x v="303"/>
    <x v="255"/>
    <x v="0"/>
    <n v="39"/>
    <s v="month"/>
    <x v="11"/>
    <n v="3"/>
  </r>
  <r>
    <n v="218242871"/>
    <x v="303"/>
    <x v="236"/>
    <x v="0"/>
    <n v="39"/>
    <s v="month"/>
    <x v="28"/>
    <n v="3"/>
  </r>
  <r>
    <n v="218238016"/>
    <x v="303"/>
    <x v="302"/>
    <x v="0"/>
    <n v="39"/>
    <s v="month"/>
    <x v="94"/>
    <n v="3"/>
  </r>
  <r>
    <n v="217387951"/>
    <x v="303"/>
    <x v="236"/>
    <x v="0"/>
    <n v="39"/>
    <s v="month"/>
    <x v="28"/>
    <n v="3"/>
  </r>
  <r>
    <n v="218236754"/>
    <x v="303"/>
    <x v="279"/>
    <x v="0"/>
    <n v="39"/>
    <s v="month"/>
    <x v="42"/>
    <n v="3"/>
  </r>
  <r>
    <n v="218307564"/>
    <x v="304"/>
    <x v="0"/>
    <x v="0"/>
    <n v="39"/>
    <s v="month"/>
    <x v="0"/>
    <n v="4"/>
  </r>
  <r>
    <n v="150521180"/>
    <x v="304"/>
    <x v="0"/>
    <x v="0"/>
    <n v="39"/>
    <s v="month"/>
    <x v="0"/>
    <n v="4"/>
  </r>
  <r>
    <n v="135240372"/>
    <x v="304"/>
    <x v="0"/>
    <x v="0"/>
    <n v="39"/>
    <s v="month"/>
    <x v="0"/>
    <n v="4"/>
  </r>
  <r>
    <n v="218275834"/>
    <x v="304"/>
    <x v="0"/>
    <x v="0"/>
    <n v="39"/>
    <s v="month"/>
    <x v="0"/>
    <n v="4"/>
  </r>
  <r>
    <n v="218028076"/>
    <x v="304"/>
    <x v="0"/>
    <x v="0"/>
    <n v="39"/>
    <s v="month"/>
    <x v="0"/>
    <n v="4"/>
  </r>
  <r>
    <n v="164254865"/>
    <x v="304"/>
    <x v="0"/>
    <x v="0"/>
    <n v="39"/>
    <s v="month"/>
    <x v="0"/>
    <n v="4"/>
  </r>
  <r>
    <n v="218274904"/>
    <x v="304"/>
    <x v="241"/>
    <x v="1"/>
    <n v="39"/>
    <s v="month"/>
    <x v="1"/>
    <n v="4"/>
  </r>
  <r>
    <n v="208473540"/>
    <x v="304"/>
    <x v="359"/>
    <x v="0"/>
    <n v="39"/>
    <s v="month"/>
    <x v="197"/>
    <n v="4"/>
  </r>
  <r>
    <n v="218233516"/>
    <x v="304"/>
    <x v="98"/>
    <x v="0"/>
    <n v="39"/>
    <s v="month"/>
    <x v="36"/>
    <n v="4"/>
  </r>
  <r>
    <n v="218261606"/>
    <x v="304"/>
    <x v="351"/>
    <x v="0"/>
    <n v="39"/>
    <s v="month"/>
    <x v="102"/>
    <n v="4"/>
  </r>
  <r>
    <n v="218289472"/>
    <x v="304"/>
    <x v="241"/>
    <x v="0"/>
    <n v="39"/>
    <s v="month"/>
    <x v="1"/>
    <n v="4"/>
  </r>
  <r>
    <n v="215946425"/>
    <x v="304"/>
    <x v="360"/>
    <x v="0"/>
    <n v="39"/>
    <s v="month"/>
    <x v="15"/>
    <n v="4"/>
  </r>
  <r>
    <n v="218284850"/>
    <x v="304"/>
    <x v="360"/>
    <x v="0"/>
    <n v="39"/>
    <s v="month"/>
    <x v="15"/>
    <n v="4"/>
  </r>
  <r>
    <n v="202151053"/>
    <x v="305"/>
    <x v="0"/>
    <x v="0"/>
    <n v="39"/>
    <s v="month"/>
    <x v="0"/>
    <n v="5"/>
  </r>
  <r>
    <n v="112301350"/>
    <x v="305"/>
    <x v="0"/>
    <x v="0"/>
    <n v="39"/>
    <s v="month"/>
    <x v="0"/>
    <n v="5"/>
  </r>
  <r>
    <n v="218300918"/>
    <x v="305"/>
    <x v="0"/>
    <x v="0"/>
    <n v="39"/>
    <s v="month"/>
    <x v="0"/>
    <n v="5"/>
  </r>
  <r>
    <n v="205452800"/>
    <x v="305"/>
    <x v="0"/>
    <x v="0"/>
    <n v="39"/>
    <s v="month"/>
    <x v="0"/>
    <n v="5"/>
  </r>
  <r>
    <n v="218278300"/>
    <x v="305"/>
    <x v="0"/>
    <x v="0"/>
    <n v="39"/>
    <s v="month"/>
    <x v="0"/>
    <n v="5"/>
  </r>
  <r>
    <n v="216920844"/>
    <x v="305"/>
    <x v="0"/>
    <x v="0"/>
    <n v="39"/>
    <s v="month"/>
    <x v="0"/>
    <n v="5"/>
  </r>
  <r>
    <n v="127100688"/>
    <x v="305"/>
    <x v="305"/>
    <x v="0"/>
    <n v="39"/>
    <s v="month"/>
    <x v="62"/>
    <n v="5"/>
  </r>
  <r>
    <n v="218345379"/>
    <x v="305"/>
    <x v="283"/>
    <x v="0"/>
    <n v="39"/>
    <s v="month"/>
    <x v="87"/>
    <n v="5"/>
  </r>
  <r>
    <n v="183507186"/>
    <x v="305"/>
    <x v="310"/>
    <x v="0"/>
    <n v="39"/>
    <s v="month"/>
    <x v="28"/>
    <n v="5"/>
  </r>
  <r>
    <n v="218133430"/>
    <x v="306"/>
    <x v="0"/>
    <x v="0"/>
    <n v="39"/>
    <s v="month"/>
    <x v="0"/>
    <n v="6"/>
  </r>
  <r>
    <n v="147813476"/>
    <x v="306"/>
    <x v="0"/>
    <x v="0"/>
    <n v="39"/>
    <s v="month"/>
    <x v="0"/>
    <n v="6"/>
  </r>
  <r>
    <n v="218375754"/>
    <x v="306"/>
    <x v="0"/>
    <x v="0"/>
    <n v="39"/>
    <s v="month"/>
    <x v="0"/>
    <n v="6"/>
  </r>
  <r>
    <n v="216000482"/>
    <x v="306"/>
    <x v="0"/>
    <x v="0"/>
    <n v="39"/>
    <s v="month"/>
    <x v="0"/>
    <n v="6"/>
  </r>
  <r>
    <n v="161549477"/>
    <x v="306"/>
    <x v="0"/>
    <x v="0"/>
    <n v="39"/>
    <s v="month"/>
    <x v="0"/>
    <n v="6"/>
  </r>
  <r>
    <n v="133444654"/>
    <x v="306"/>
    <x v="337"/>
    <x v="0"/>
    <n v="39"/>
    <s v="month"/>
    <x v="175"/>
    <n v="6"/>
  </r>
  <r>
    <n v="217883594"/>
    <x v="306"/>
    <x v="282"/>
    <x v="0"/>
    <n v="39"/>
    <s v="month"/>
    <x v="40"/>
    <n v="6"/>
  </r>
  <r>
    <n v="197752733"/>
    <x v="307"/>
    <x v="0"/>
    <x v="0"/>
    <n v="39"/>
    <s v="month"/>
    <x v="0"/>
    <n v="7"/>
  </r>
  <r>
    <n v="175884318"/>
    <x v="307"/>
    <x v="0"/>
    <x v="0"/>
    <n v="39"/>
    <s v="month"/>
    <x v="0"/>
    <n v="7"/>
  </r>
  <r>
    <n v="218413958"/>
    <x v="307"/>
    <x v="0"/>
    <x v="0"/>
    <n v="39"/>
    <s v="month"/>
    <x v="0"/>
    <n v="7"/>
  </r>
  <r>
    <n v="218434925"/>
    <x v="307"/>
    <x v="0"/>
    <x v="0"/>
    <n v="39"/>
    <s v="month"/>
    <x v="0"/>
    <n v="7"/>
  </r>
  <r>
    <n v="156817946"/>
    <x v="307"/>
    <x v="0"/>
    <x v="0"/>
    <n v="39"/>
    <s v="month"/>
    <x v="0"/>
    <n v="7"/>
  </r>
  <r>
    <n v="218427268"/>
    <x v="307"/>
    <x v="0"/>
    <x v="0"/>
    <n v="39"/>
    <s v="month"/>
    <x v="0"/>
    <n v="7"/>
  </r>
  <r>
    <n v="208492287"/>
    <x v="307"/>
    <x v="0"/>
    <x v="0"/>
    <n v="39"/>
    <s v="month"/>
    <x v="0"/>
    <n v="7"/>
  </r>
  <r>
    <n v="217499098"/>
    <x v="307"/>
    <x v="325"/>
    <x v="0"/>
    <n v="39"/>
    <s v="month"/>
    <x v="1"/>
    <n v="7"/>
  </r>
  <r>
    <n v="215723331"/>
    <x v="307"/>
    <x v="334"/>
    <x v="0"/>
    <n v="39"/>
    <s v="month"/>
    <x v="87"/>
    <n v="7"/>
  </r>
  <r>
    <n v="122616074"/>
    <x v="308"/>
    <x v="0"/>
    <x v="0"/>
    <n v="39"/>
    <s v="month"/>
    <x v="0"/>
    <n v="1"/>
  </r>
  <r>
    <n v="218367490"/>
    <x v="308"/>
    <x v="0"/>
    <x v="0"/>
    <n v="39"/>
    <s v="month"/>
    <x v="0"/>
    <n v="1"/>
  </r>
  <r>
    <n v="218415420"/>
    <x v="308"/>
    <x v="0"/>
    <x v="0"/>
    <n v="39"/>
    <s v="month"/>
    <x v="0"/>
    <n v="1"/>
  </r>
  <r>
    <n v="135785962"/>
    <x v="308"/>
    <x v="0"/>
    <x v="0"/>
    <n v="39"/>
    <s v="month"/>
    <x v="0"/>
    <n v="1"/>
  </r>
  <r>
    <n v="206121650"/>
    <x v="308"/>
    <x v="337"/>
    <x v="0"/>
    <n v="39"/>
    <s v="month"/>
    <x v="1"/>
    <n v="1"/>
  </r>
  <r>
    <n v="218129819"/>
    <x v="308"/>
    <x v="204"/>
    <x v="0"/>
    <n v="39"/>
    <s v="month"/>
    <x v="9"/>
    <n v="1"/>
  </r>
  <r>
    <n v="217766676"/>
    <x v="308"/>
    <x v="282"/>
    <x v="0"/>
    <n v="39"/>
    <s v="month"/>
    <x v="23"/>
    <n v="1"/>
  </r>
  <r>
    <n v="216886336"/>
    <x v="309"/>
    <x v="0"/>
    <x v="0"/>
    <n v="39"/>
    <s v="month"/>
    <x v="0"/>
    <n v="2"/>
  </r>
  <r>
    <n v="217991032"/>
    <x v="309"/>
    <x v="0"/>
    <x v="0"/>
    <n v="39"/>
    <s v="month"/>
    <x v="0"/>
    <n v="2"/>
  </r>
  <r>
    <n v="145797162"/>
    <x v="309"/>
    <x v="0"/>
    <x v="0"/>
    <n v="39"/>
    <s v="month"/>
    <x v="0"/>
    <n v="2"/>
  </r>
  <r>
    <n v="217581606"/>
    <x v="309"/>
    <x v="0"/>
    <x v="0"/>
    <n v="39"/>
    <s v="month"/>
    <x v="0"/>
    <n v="2"/>
  </r>
  <r>
    <n v="218459038"/>
    <x v="309"/>
    <x v="279"/>
    <x v="0"/>
    <n v="39"/>
    <s v="month"/>
    <x v="1"/>
    <n v="2"/>
  </r>
  <r>
    <n v="218526124"/>
    <x v="309"/>
    <x v="279"/>
    <x v="1"/>
    <n v="39"/>
    <s v="month"/>
    <x v="1"/>
    <n v="2"/>
  </r>
  <r>
    <n v="216335430"/>
    <x v="309"/>
    <x v="337"/>
    <x v="1"/>
    <n v="39"/>
    <s v="month"/>
    <x v="11"/>
    <n v="2"/>
  </r>
  <r>
    <n v="218519862"/>
    <x v="309"/>
    <x v="279"/>
    <x v="1"/>
    <n v="39"/>
    <s v="month"/>
    <x v="1"/>
    <n v="2"/>
  </r>
  <r>
    <n v="218496811"/>
    <x v="309"/>
    <x v="337"/>
    <x v="1"/>
    <n v="39"/>
    <s v="month"/>
    <x v="11"/>
    <n v="2"/>
  </r>
  <r>
    <n v="218490122"/>
    <x v="309"/>
    <x v="279"/>
    <x v="1"/>
    <n v="39"/>
    <s v="month"/>
    <x v="1"/>
    <n v="2"/>
  </r>
  <r>
    <n v="216337502"/>
    <x v="309"/>
    <x v="337"/>
    <x v="1"/>
    <n v="39"/>
    <s v="month"/>
    <x v="11"/>
    <n v="2"/>
  </r>
  <r>
    <n v="143111905"/>
    <x v="309"/>
    <x v="351"/>
    <x v="0"/>
    <n v="39"/>
    <s v="month"/>
    <x v="87"/>
    <n v="2"/>
  </r>
  <r>
    <n v="217709772"/>
    <x v="309"/>
    <x v="328"/>
    <x v="0"/>
    <n v="39"/>
    <s v="month"/>
    <x v="156"/>
    <n v="2"/>
  </r>
  <r>
    <n v="214924190"/>
    <x v="309"/>
    <x v="195"/>
    <x v="0"/>
    <n v="39"/>
    <s v="month"/>
    <x v="28"/>
    <n v="2"/>
  </r>
  <r>
    <n v="217914198"/>
    <x v="309"/>
    <x v="354"/>
    <x v="0"/>
    <n v="39"/>
    <s v="month"/>
    <x v="40"/>
    <n v="2"/>
  </r>
  <r>
    <n v="217773501"/>
    <x v="309"/>
    <x v="337"/>
    <x v="0"/>
    <n v="39"/>
    <s v="month"/>
    <x v="11"/>
    <n v="2"/>
  </r>
  <r>
    <n v="215311765"/>
    <x v="310"/>
    <x v="0"/>
    <x v="0"/>
    <n v="39"/>
    <s v="month"/>
    <x v="0"/>
    <n v="3"/>
  </r>
  <r>
    <n v="218554220"/>
    <x v="310"/>
    <x v="0"/>
    <x v="0"/>
    <n v="39"/>
    <s v="month"/>
    <x v="0"/>
    <n v="3"/>
  </r>
  <r>
    <n v="209743418"/>
    <x v="310"/>
    <x v="0"/>
    <x v="0"/>
    <n v="39"/>
    <s v="month"/>
    <x v="0"/>
    <n v="3"/>
  </r>
  <r>
    <n v="218553244"/>
    <x v="310"/>
    <x v="0"/>
    <x v="0"/>
    <n v="39"/>
    <s v="month"/>
    <x v="0"/>
    <n v="3"/>
  </r>
  <r>
    <n v="218548492"/>
    <x v="310"/>
    <x v="0"/>
    <x v="0"/>
    <n v="39"/>
    <s v="month"/>
    <x v="0"/>
    <n v="3"/>
  </r>
  <r>
    <n v="217958138"/>
    <x v="310"/>
    <x v="0"/>
    <x v="0"/>
    <n v="39"/>
    <s v="month"/>
    <x v="0"/>
    <n v="3"/>
  </r>
  <r>
    <n v="218365623"/>
    <x v="310"/>
    <x v="0"/>
    <x v="0"/>
    <n v="39"/>
    <s v="month"/>
    <x v="0"/>
    <n v="3"/>
  </r>
  <r>
    <n v="218512642"/>
    <x v="310"/>
    <x v="0"/>
    <x v="0"/>
    <n v="39"/>
    <s v="month"/>
    <x v="0"/>
    <n v="3"/>
  </r>
  <r>
    <n v="218569099"/>
    <x v="310"/>
    <x v="294"/>
    <x v="0"/>
    <n v="39"/>
    <s v="month"/>
    <x v="109"/>
    <n v="3"/>
  </r>
  <r>
    <n v="218304590"/>
    <x v="310"/>
    <x v="211"/>
    <x v="0"/>
    <n v="39"/>
    <s v="month"/>
    <x v="43"/>
    <n v="3"/>
  </r>
  <r>
    <n v="215390636"/>
    <x v="310"/>
    <x v="290"/>
    <x v="0"/>
    <n v="39"/>
    <s v="month"/>
    <x v="27"/>
    <n v="3"/>
  </r>
  <r>
    <n v="218538760"/>
    <x v="310"/>
    <x v="63"/>
    <x v="0"/>
    <n v="39"/>
    <s v="month"/>
    <x v="87"/>
    <n v="3"/>
  </r>
  <r>
    <n v="218544489"/>
    <x v="310"/>
    <x v="301"/>
    <x v="0"/>
    <n v="39"/>
    <s v="month"/>
    <x v="28"/>
    <n v="3"/>
  </r>
  <r>
    <n v="180161087"/>
    <x v="310"/>
    <x v="195"/>
    <x v="0"/>
    <n v="39"/>
    <s v="month"/>
    <x v="35"/>
    <n v="3"/>
  </r>
  <r>
    <n v="218484551"/>
    <x v="310"/>
    <x v="63"/>
    <x v="0"/>
    <n v="39"/>
    <s v="month"/>
    <x v="87"/>
    <n v="3"/>
  </r>
  <r>
    <n v="218570737"/>
    <x v="310"/>
    <x v="315"/>
    <x v="0"/>
    <n v="39"/>
    <s v="month"/>
    <x v="1"/>
    <n v="3"/>
  </r>
  <r>
    <n v="218526607"/>
    <x v="311"/>
    <x v="0"/>
    <x v="0"/>
    <n v="39"/>
    <s v="month"/>
    <x v="0"/>
    <n v="4"/>
  </r>
  <r>
    <n v="211011508"/>
    <x v="311"/>
    <x v="0"/>
    <x v="0"/>
    <n v="39"/>
    <s v="month"/>
    <x v="0"/>
    <n v="4"/>
  </r>
  <r>
    <n v="218610100"/>
    <x v="311"/>
    <x v="0"/>
    <x v="0"/>
    <n v="39"/>
    <s v="month"/>
    <x v="0"/>
    <n v="4"/>
  </r>
  <r>
    <n v="206055148"/>
    <x v="311"/>
    <x v="0"/>
    <x v="0"/>
    <n v="39"/>
    <s v="month"/>
    <x v="0"/>
    <n v="4"/>
  </r>
  <r>
    <n v="150509877"/>
    <x v="311"/>
    <x v="0"/>
    <x v="0"/>
    <n v="39"/>
    <s v="month"/>
    <x v="0"/>
    <n v="4"/>
  </r>
  <r>
    <n v="218498112"/>
    <x v="311"/>
    <x v="0"/>
    <x v="0"/>
    <n v="39"/>
    <s v="month"/>
    <x v="0"/>
    <n v="4"/>
  </r>
  <r>
    <n v="218624538"/>
    <x v="311"/>
    <x v="313"/>
    <x v="0"/>
    <n v="39"/>
    <s v="month"/>
    <x v="80"/>
    <n v="4"/>
  </r>
  <r>
    <n v="218467300"/>
    <x v="311"/>
    <x v="283"/>
    <x v="0"/>
    <n v="39"/>
    <s v="month"/>
    <x v="50"/>
    <n v="4"/>
  </r>
  <r>
    <n v="218509554"/>
    <x v="311"/>
    <x v="357"/>
    <x v="0"/>
    <n v="39"/>
    <s v="month"/>
    <x v="79"/>
    <n v="4"/>
  </r>
  <r>
    <n v="218257588"/>
    <x v="312"/>
    <x v="0"/>
    <x v="0"/>
    <n v="39"/>
    <s v="month"/>
    <x v="0"/>
    <n v="5"/>
  </r>
  <r>
    <n v="218114325"/>
    <x v="312"/>
    <x v="0"/>
    <x v="0"/>
    <n v="39"/>
    <s v="month"/>
    <x v="0"/>
    <n v="5"/>
  </r>
  <r>
    <n v="218325441"/>
    <x v="312"/>
    <x v="0"/>
    <x v="0"/>
    <n v="39"/>
    <s v="month"/>
    <x v="0"/>
    <n v="5"/>
  </r>
  <r>
    <n v="218235047"/>
    <x v="312"/>
    <x v="0"/>
    <x v="0"/>
    <n v="39"/>
    <s v="month"/>
    <x v="0"/>
    <n v="5"/>
  </r>
  <r>
    <n v="218598866"/>
    <x v="312"/>
    <x v="0"/>
    <x v="0"/>
    <n v="39"/>
    <s v="month"/>
    <x v="0"/>
    <n v="5"/>
  </r>
  <r>
    <n v="218644881"/>
    <x v="312"/>
    <x v="55"/>
    <x v="0"/>
    <n v="39"/>
    <s v="month"/>
    <x v="36"/>
    <n v="5"/>
  </r>
  <r>
    <n v="218509727"/>
    <x v="312"/>
    <x v="252"/>
    <x v="0"/>
    <n v="39"/>
    <s v="month"/>
    <x v="62"/>
    <n v="5"/>
  </r>
  <r>
    <n v="150623785"/>
    <x v="312"/>
    <x v="332"/>
    <x v="0"/>
    <n v="39"/>
    <s v="month"/>
    <x v="50"/>
    <n v="5"/>
  </r>
  <r>
    <n v="218586552"/>
    <x v="312"/>
    <x v="332"/>
    <x v="0"/>
    <n v="39"/>
    <s v="month"/>
    <x v="50"/>
    <n v="5"/>
  </r>
  <r>
    <n v="218514844"/>
    <x v="312"/>
    <x v="316"/>
    <x v="0"/>
    <n v="39"/>
    <s v="month"/>
    <x v="37"/>
    <n v="5"/>
  </r>
  <r>
    <n v="218694806"/>
    <x v="313"/>
    <x v="0"/>
    <x v="0"/>
    <n v="39"/>
    <s v="month"/>
    <x v="0"/>
    <n v="6"/>
  </r>
  <r>
    <n v="218678174"/>
    <x v="313"/>
    <x v="0"/>
    <x v="0"/>
    <n v="39"/>
    <s v="month"/>
    <x v="0"/>
    <n v="6"/>
  </r>
  <r>
    <n v="218695487"/>
    <x v="313"/>
    <x v="359"/>
    <x v="0"/>
    <n v="39"/>
    <s v="month"/>
    <x v="109"/>
    <n v="6"/>
  </r>
  <r>
    <n v="218678790"/>
    <x v="313"/>
    <x v="190"/>
    <x v="0"/>
    <n v="39"/>
    <s v="month"/>
    <x v="87"/>
    <n v="6"/>
  </r>
  <r>
    <n v="217499098"/>
    <x v="313"/>
    <x v="190"/>
    <x v="0"/>
    <n v="39"/>
    <s v="month"/>
    <x v="87"/>
    <n v="6"/>
  </r>
  <r>
    <n v="217976753"/>
    <x v="313"/>
    <x v="190"/>
    <x v="0"/>
    <n v="39"/>
    <s v="month"/>
    <x v="87"/>
    <n v="6"/>
  </r>
  <r>
    <n v="199359226"/>
    <x v="313"/>
    <x v="348"/>
    <x v="0"/>
    <n v="39"/>
    <s v="month"/>
    <x v="1"/>
    <n v="6"/>
  </r>
  <r>
    <n v="121814098"/>
    <x v="314"/>
    <x v="0"/>
    <x v="0"/>
    <n v="39"/>
    <s v="month"/>
    <x v="0"/>
    <n v="7"/>
  </r>
  <r>
    <n v="215605718"/>
    <x v="314"/>
    <x v="0"/>
    <x v="0"/>
    <n v="39"/>
    <s v="month"/>
    <x v="0"/>
    <n v="7"/>
  </r>
  <r>
    <n v="218325705"/>
    <x v="314"/>
    <x v="0"/>
    <x v="0"/>
    <n v="39"/>
    <s v="month"/>
    <x v="0"/>
    <n v="7"/>
  </r>
  <r>
    <n v="208598253"/>
    <x v="314"/>
    <x v="0"/>
    <x v="0"/>
    <n v="39"/>
    <s v="month"/>
    <x v="0"/>
    <n v="7"/>
  </r>
  <r>
    <n v="218655628"/>
    <x v="314"/>
    <x v="0"/>
    <x v="0"/>
    <n v="39"/>
    <s v="month"/>
    <x v="0"/>
    <n v="7"/>
  </r>
  <r>
    <n v="185602413"/>
    <x v="314"/>
    <x v="249"/>
    <x v="0"/>
    <n v="39"/>
    <s v="month"/>
    <x v="1"/>
    <n v="7"/>
  </r>
  <r>
    <n v="154082747"/>
    <x v="314"/>
    <x v="205"/>
    <x v="0"/>
    <n v="39"/>
    <s v="month"/>
    <x v="63"/>
    <n v="7"/>
  </r>
  <r>
    <n v="218017402"/>
    <x v="314"/>
    <x v="313"/>
    <x v="0"/>
    <n v="39"/>
    <s v="month"/>
    <x v="87"/>
    <n v="7"/>
  </r>
  <r>
    <n v="218792880"/>
    <x v="315"/>
    <x v="0"/>
    <x v="0"/>
    <n v="39"/>
    <s v="month"/>
    <x v="0"/>
    <n v="1"/>
  </r>
  <r>
    <n v="218761808"/>
    <x v="315"/>
    <x v="0"/>
    <x v="0"/>
    <n v="39"/>
    <s v="month"/>
    <x v="0"/>
    <n v="1"/>
  </r>
  <r>
    <n v="149303812"/>
    <x v="315"/>
    <x v="0"/>
    <x v="0"/>
    <n v="39"/>
    <s v="month"/>
    <x v="0"/>
    <n v="1"/>
  </r>
  <r>
    <n v="216144261"/>
    <x v="315"/>
    <x v="0"/>
    <x v="0"/>
    <n v="39"/>
    <s v="month"/>
    <x v="0"/>
    <n v="1"/>
  </r>
  <r>
    <n v="215976742"/>
    <x v="315"/>
    <x v="0"/>
    <x v="0"/>
    <n v="39"/>
    <s v="month"/>
    <x v="0"/>
    <n v="1"/>
  </r>
  <r>
    <n v="218617631"/>
    <x v="315"/>
    <x v="225"/>
    <x v="0"/>
    <n v="39"/>
    <s v="month"/>
    <x v="87"/>
    <n v="1"/>
  </r>
  <r>
    <n v="218770458"/>
    <x v="315"/>
    <x v="204"/>
    <x v="0"/>
    <n v="39"/>
    <s v="month"/>
    <x v="23"/>
    <n v="1"/>
  </r>
  <r>
    <n v="218720472"/>
    <x v="315"/>
    <x v="295"/>
    <x v="0"/>
    <n v="39"/>
    <s v="month"/>
    <x v="36"/>
    <n v="1"/>
  </r>
  <r>
    <n v="218846909"/>
    <x v="316"/>
    <x v="0"/>
    <x v="0"/>
    <n v="39"/>
    <s v="month"/>
    <x v="0"/>
    <n v="2"/>
  </r>
  <r>
    <n v="214714278"/>
    <x v="316"/>
    <x v="0"/>
    <x v="0"/>
    <n v="39"/>
    <s v="month"/>
    <x v="0"/>
    <n v="2"/>
  </r>
  <r>
    <n v="218529158"/>
    <x v="316"/>
    <x v="0"/>
    <x v="0"/>
    <n v="39"/>
    <s v="month"/>
    <x v="0"/>
    <n v="2"/>
  </r>
  <r>
    <n v="218837719"/>
    <x v="316"/>
    <x v="0"/>
    <x v="0"/>
    <n v="39"/>
    <s v="month"/>
    <x v="0"/>
    <n v="2"/>
  </r>
  <r>
    <n v="194367477"/>
    <x v="316"/>
    <x v="0"/>
    <x v="0"/>
    <n v="39"/>
    <s v="month"/>
    <x v="0"/>
    <n v="2"/>
  </r>
  <r>
    <n v="218300066"/>
    <x v="316"/>
    <x v="0"/>
    <x v="0"/>
    <n v="39"/>
    <s v="month"/>
    <x v="0"/>
    <n v="2"/>
  </r>
  <r>
    <n v="218553583"/>
    <x v="316"/>
    <x v="0"/>
    <x v="0"/>
    <n v="39"/>
    <s v="month"/>
    <x v="0"/>
    <n v="2"/>
  </r>
  <r>
    <n v="149657162"/>
    <x v="316"/>
    <x v="314"/>
    <x v="0"/>
    <n v="39"/>
    <s v="month"/>
    <x v="1"/>
    <n v="2"/>
  </r>
  <r>
    <n v="125920876"/>
    <x v="316"/>
    <x v="347"/>
    <x v="0"/>
    <n v="39"/>
    <s v="month"/>
    <x v="87"/>
    <n v="2"/>
  </r>
  <r>
    <n v="217403566"/>
    <x v="316"/>
    <x v="332"/>
    <x v="0"/>
    <n v="39"/>
    <s v="month"/>
    <x v="44"/>
    <n v="2"/>
  </r>
  <r>
    <n v="218677370"/>
    <x v="316"/>
    <x v="334"/>
    <x v="0"/>
    <n v="39"/>
    <s v="month"/>
    <x v="72"/>
    <n v="2"/>
  </r>
  <r>
    <n v="218598875"/>
    <x v="316"/>
    <x v="347"/>
    <x v="0"/>
    <n v="39"/>
    <s v="month"/>
    <x v="87"/>
    <n v="2"/>
  </r>
  <r>
    <n v="203116529"/>
    <x v="316"/>
    <x v="316"/>
    <x v="0"/>
    <n v="39"/>
    <s v="month"/>
    <x v="11"/>
    <n v="2"/>
  </r>
  <r>
    <n v="218808831"/>
    <x v="316"/>
    <x v="318"/>
    <x v="0"/>
    <n v="39"/>
    <s v="month"/>
    <x v="192"/>
    <n v="2"/>
  </r>
  <r>
    <n v="218844240"/>
    <x v="317"/>
    <x v="0"/>
    <x v="0"/>
    <n v="39"/>
    <s v="month"/>
    <x v="0"/>
    <n v="3"/>
  </r>
  <r>
    <n v="218863419"/>
    <x v="317"/>
    <x v="0"/>
    <x v="0"/>
    <n v="39"/>
    <s v="month"/>
    <x v="0"/>
    <n v="3"/>
  </r>
  <r>
    <n v="218445704"/>
    <x v="317"/>
    <x v="0"/>
    <x v="0"/>
    <n v="39"/>
    <s v="month"/>
    <x v="0"/>
    <n v="3"/>
  </r>
  <r>
    <n v="149411976"/>
    <x v="317"/>
    <x v="0"/>
    <x v="0"/>
    <n v="39"/>
    <s v="month"/>
    <x v="0"/>
    <n v="3"/>
  </r>
  <r>
    <n v="218862674"/>
    <x v="317"/>
    <x v="0"/>
    <x v="0"/>
    <n v="39"/>
    <s v="month"/>
    <x v="0"/>
    <n v="3"/>
  </r>
  <r>
    <n v="218851122"/>
    <x v="317"/>
    <x v="0"/>
    <x v="0"/>
    <n v="39"/>
    <s v="month"/>
    <x v="0"/>
    <n v="3"/>
  </r>
  <r>
    <n v="153402484"/>
    <x v="317"/>
    <x v="318"/>
    <x v="0"/>
    <n v="39"/>
    <s v="month"/>
    <x v="19"/>
    <n v="3"/>
  </r>
  <r>
    <n v="218848831"/>
    <x v="317"/>
    <x v="262"/>
    <x v="0"/>
    <n v="39"/>
    <s v="month"/>
    <x v="179"/>
    <n v="3"/>
  </r>
  <r>
    <n v="159639128"/>
    <x v="317"/>
    <x v="314"/>
    <x v="0"/>
    <n v="39"/>
    <s v="month"/>
    <x v="11"/>
    <n v="3"/>
  </r>
  <r>
    <n v="214638700"/>
    <x v="317"/>
    <x v="265"/>
    <x v="1"/>
    <n v="39"/>
    <s v="month"/>
    <x v="1"/>
    <n v="3"/>
  </r>
  <r>
    <n v="218850789"/>
    <x v="317"/>
    <x v="63"/>
    <x v="0"/>
    <n v="39"/>
    <s v="month"/>
    <x v="28"/>
    <n v="3"/>
  </r>
  <r>
    <n v="155510287"/>
    <x v="317"/>
    <x v="328"/>
    <x v="0"/>
    <n v="39"/>
    <s v="month"/>
    <x v="9"/>
    <n v="3"/>
  </r>
  <r>
    <n v="218677703"/>
    <x v="317"/>
    <x v="329"/>
    <x v="0"/>
    <n v="39"/>
    <s v="month"/>
    <x v="230"/>
    <n v="3"/>
  </r>
  <r>
    <n v="218878930"/>
    <x v="317"/>
    <x v="240"/>
    <x v="0"/>
    <n v="39"/>
    <s v="month"/>
    <x v="208"/>
    <n v="3"/>
  </r>
  <r>
    <n v="218935022"/>
    <x v="318"/>
    <x v="0"/>
    <x v="0"/>
    <n v="39"/>
    <s v="month"/>
    <x v="0"/>
    <n v="4"/>
  </r>
  <r>
    <n v="218925198"/>
    <x v="318"/>
    <x v="0"/>
    <x v="0"/>
    <n v="39"/>
    <s v="month"/>
    <x v="0"/>
    <n v="4"/>
  </r>
  <r>
    <n v="218927120"/>
    <x v="318"/>
    <x v="0"/>
    <x v="0"/>
    <n v="39"/>
    <s v="month"/>
    <x v="0"/>
    <n v="4"/>
  </r>
  <r>
    <n v="218930176"/>
    <x v="318"/>
    <x v="0"/>
    <x v="0"/>
    <n v="39"/>
    <s v="month"/>
    <x v="0"/>
    <n v="4"/>
  </r>
  <r>
    <n v="216185482"/>
    <x v="318"/>
    <x v="0"/>
    <x v="0"/>
    <n v="39"/>
    <s v="month"/>
    <x v="0"/>
    <n v="4"/>
  </r>
  <r>
    <n v="218814342"/>
    <x v="318"/>
    <x v="0"/>
    <x v="0"/>
    <n v="39"/>
    <s v="month"/>
    <x v="0"/>
    <n v="4"/>
  </r>
  <r>
    <n v="218764310"/>
    <x v="318"/>
    <x v="0"/>
    <x v="0"/>
    <n v="39"/>
    <s v="month"/>
    <x v="0"/>
    <n v="4"/>
  </r>
  <r>
    <n v="218814328"/>
    <x v="318"/>
    <x v="0"/>
    <x v="0"/>
    <n v="39"/>
    <s v="month"/>
    <x v="0"/>
    <n v="4"/>
  </r>
  <r>
    <n v="149144586"/>
    <x v="318"/>
    <x v="0"/>
    <x v="0"/>
    <n v="39"/>
    <s v="month"/>
    <x v="0"/>
    <n v="4"/>
  </r>
  <r>
    <n v="217635511"/>
    <x v="318"/>
    <x v="0"/>
    <x v="0"/>
    <n v="39"/>
    <s v="month"/>
    <x v="0"/>
    <n v="4"/>
  </r>
  <r>
    <n v="218924256"/>
    <x v="318"/>
    <x v="332"/>
    <x v="0"/>
    <n v="39"/>
    <s v="month"/>
    <x v="20"/>
    <n v="4"/>
  </r>
  <r>
    <n v="218898552"/>
    <x v="318"/>
    <x v="351"/>
    <x v="0"/>
    <n v="39"/>
    <s v="month"/>
    <x v="72"/>
    <n v="4"/>
  </r>
  <r>
    <n v="149657162"/>
    <x v="318"/>
    <x v="302"/>
    <x v="0"/>
    <n v="39"/>
    <s v="month"/>
    <x v="192"/>
    <n v="4"/>
  </r>
  <r>
    <n v="218581958"/>
    <x v="318"/>
    <x v="353"/>
    <x v="0"/>
    <n v="39"/>
    <s v="month"/>
    <x v="42"/>
    <n v="4"/>
  </r>
  <r>
    <n v="214943384"/>
    <x v="319"/>
    <x v="0"/>
    <x v="0"/>
    <n v="39"/>
    <s v="month"/>
    <x v="0"/>
    <n v="5"/>
  </r>
  <r>
    <n v="147832373"/>
    <x v="319"/>
    <x v="0"/>
    <x v="0"/>
    <n v="39"/>
    <s v="month"/>
    <x v="0"/>
    <n v="5"/>
  </r>
  <r>
    <n v="204362311"/>
    <x v="319"/>
    <x v="0"/>
    <x v="0"/>
    <n v="39"/>
    <s v="month"/>
    <x v="0"/>
    <n v="5"/>
  </r>
  <r>
    <n v="217137211"/>
    <x v="319"/>
    <x v="0"/>
    <x v="0"/>
    <n v="39"/>
    <s v="month"/>
    <x v="0"/>
    <n v="5"/>
  </r>
  <r>
    <n v="218942852"/>
    <x v="319"/>
    <x v="0"/>
    <x v="0"/>
    <n v="39"/>
    <s v="month"/>
    <x v="0"/>
    <n v="5"/>
  </r>
  <r>
    <n v="218715020"/>
    <x v="319"/>
    <x v="294"/>
    <x v="0"/>
    <n v="39"/>
    <s v="month"/>
    <x v="155"/>
    <n v="5"/>
  </r>
  <r>
    <n v="218701308"/>
    <x v="319"/>
    <x v="350"/>
    <x v="0"/>
    <n v="39"/>
    <s v="month"/>
    <x v="1"/>
    <n v="5"/>
  </r>
  <r>
    <n v="218979443"/>
    <x v="319"/>
    <x v="334"/>
    <x v="0"/>
    <n v="39"/>
    <s v="month"/>
    <x v="20"/>
    <n v="5"/>
  </r>
  <r>
    <n v="218543315"/>
    <x v="319"/>
    <x v="356"/>
    <x v="0"/>
    <n v="39"/>
    <s v="month"/>
    <x v="192"/>
    <n v="5"/>
  </r>
  <r>
    <n v="218281726"/>
    <x v="320"/>
    <x v="0"/>
    <x v="0"/>
    <n v="39"/>
    <s v="month"/>
    <x v="0"/>
    <n v="6"/>
  </r>
  <r>
    <n v="144972422"/>
    <x v="320"/>
    <x v="0"/>
    <x v="0"/>
    <n v="39"/>
    <s v="month"/>
    <x v="0"/>
    <n v="6"/>
  </r>
  <r>
    <n v="219017513"/>
    <x v="320"/>
    <x v="0"/>
    <x v="0"/>
    <n v="39"/>
    <s v="month"/>
    <x v="0"/>
    <n v="6"/>
  </r>
  <r>
    <n v="218096762"/>
    <x v="320"/>
    <x v="0"/>
    <x v="0"/>
    <n v="39"/>
    <s v="month"/>
    <x v="0"/>
    <n v="6"/>
  </r>
  <r>
    <n v="134289850"/>
    <x v="320"/>
    <x v="0"/>
    <x v="0"/>
    <n v="39"/>
    <s v="month"/>
    <x v="0"/>
    <n v="6"/>
  </r>
  <r>
    <n v="205210815"/>
    <x v="320"/>
    <x v="357"/>
    <x v="0"/>
    <n v="39"/>
    <s v="month"/>
    <x v="1"/>
    <n v="6"/>
  </r>
  <r>
    <n v="218684970"/>
    <x v="320"/>
    <x v="331"/>
    <x v="0"/>
    <n v="39"/>
    <s v="month"/>
    <x v="87"/>
    <n v="6"/>
  </r>
  <r>
    <n v="219045318"/>
    <x v="321"/>
    <x v="0"/>
    <x v="0"/>
    <n v="39"/>
    <s v="month"/>
    <x v="0"/>
    <n v="7"/>
  </r>
  <r>
    <n v="218428977"/>
    <x v="321"/>
    <x v="0"/>
    <x v="0"/>
    <n v="39"/>
    <s v="month"/>
    <x v="0"/>
    <n v="7"/>
  </r>
  <r>
    <n v="156587706"/>
    <x v="321"/>
    <x v="205"/>
    <x v="1"/>
    <n v="39"/>
    <s v="month"/>
    <x v="1"/>
    <n v="7"/>
  </r>
  <r>
    <n v="219034826"/>
    <x v="321"/>
    <x v="205"/>
    <x v="1"/>
    <n v="39"/>
    <s v="month"/>
    <x v="1"/>
    <n v="7"/>
  </r>
  <r>
    <n v="204380751"/>
    <x v="321"/>
    <x v="190"/>
    <x v="0"/>
    <n v="39"/>
    <s v="month"/>
    <x v="35"/>
    <n v="7"/>
  </r>
  <r>
    <n v="215315438"/>
    <x v="321"/>
    <x v="313"/>
    <x v="0"/>
    <n v="39"/>
    <s v="month"/>
    <x v="28"/>
    <n v="7"/>
  </r>
  <r>
    <n v="213774184"/>
    <x v="321"/>
    <x v="355"/>
    <x v="0"/>
    <n v="39"/>
    <s v="month"/>
    <x v="87"/>
    <n v="7"/>
  </r>
  <r>
    <n v="206121650"/>
    <x v="322"/>
    <x v="0"/>
    <x v="0"/>
    <n v="39"/>
    <s v="month"/>
    <x v="0"/>
    <n v="1"/>
  </r>
  <r>
    <n v="219059958"/>
    <x v="322"/>
    <x v="0"/>
    <x v="0"/>
    <n v="39"/>
    <s v="month"/>
    <x v="0"/>
    <n v="1"/>
  </r>
  <r>
    <n v="204639997"/>
    <x v="322"/>
    <x v="205"/>
    <x v="0"/>
    <n v="39"/>
    <s v="month"/>
    <x v="11"/>
    <n v="1"/>
  </r>
  <r>
    <n v="201817514"/>
    <x v="322"/>
    <x v="313"/>
    <x v="0"/>
    <n v="39"/>
    <s v="month"/>
    <x v="35"/>
    <n v="1"/>
  </r>
  <r>
    <n v="219065931"/>
    <x v="322"/>
    <x v="211"/>
    <x v="0"/>
    <n v="39"/>
    <s v="month"/>
    <x v="87"/>
    <n v="1"/>
  </r>
  <r>
    <n v="143627373"/>
    <x v="323"/>
    <x v="0"/>
    <x v="0"/>
    <n v="39"/>
    <s v="month"/>
    <x v="0"/>
    <n v="2"/>
  </r>
  <r>
    <n v="218675428"/>
    <x v="323"/>
    <x v="0"/>
    <x v="0"/>
    <n v="39"/>
    <s v="month"/>
    <x v="0"/>
    <n v="2"/>
  </r>
  <r>
    <n v="219057820"/>
    <x v="323"/>
    <x v="0"/>
    <x v="0"/>
    <n v="39"/>
    <s v="month"/>
    <x v="0"/>
    <n v="2"/>
  </r>
  <r>
    <n v="219115854"/>
    <x v="323"/>
    <x v="0"/>
    <x v="0"/>
    <n v="39"/>
    <s v="month"/>
    <x v="0"/>
    <n v="2"/>
  </r>
  <r>
    <n v="204826054"/>
    <x v="323"/>
    <x v="0"/>
    <x v="0"/>
    <n v="39"/>
    <s v="month"/>
    <x v="0"/>
    <n v="2"/>
  </r>
  <r>
    <n v="219072554"/>
    <x v="323"/>
    <x v="0"/>
    <x v="0"/>
    <n v="39"/>
    <s v="month"/>
    <x v="0"/>
    <n v="2"/>
  </r>
  <r>
    <n v="219088631"/>
    <x v="323"/>
    <x v="0"/>
    <x v="0"/>
    <n v="39"/>
    <s v="month"/>
    <x v="0"/>
    <n v="2"/>
  </r>
  <r>
    <n v="218861750"/>
    <x v="323"/>
    <x v="335"/>
    <x v="0"/>
    <n v="39"/>
    <s v="month"/>
    <x v="87"/>
    <n v="2"/>
  </r>
  <r>
    <n v="217513777"/>
    <x v="323"/>
    <x v="305"/>
    <x v="0"/>
    <n v="39"/>
    <s v="month"/>
    <x v="173"/>
    <n v="2"/>
  </r>
  <r>
    <n v="218805370"/>
    <x v="323"/>
    <x v="98"/>
    <x v="0"/>
    <n v="39"/>
    <s v="month"/>
    <x v="134"/>
    <n v="2"/>
  </r>
  <r>
    <n v="219128709"/>
    <x v="324"/>
    <x v="0"/>
    <x v="0"/>
    <n v="39"/>
    <s v="month"/>
    <x v="0"/>
    <n v="3"/>
  </r>
  <r>
    <n v="217998036"/>
    <x v="324"/>
    <x v="0"/>
    <x v="0"/>
    <n v="39"/>
    <s v="month"/>
    <x v="0"/>
    <n v="3"/>
  </r>
  <r>
    <n v="219100886"/>
    <x v="324"/>
    <x v="0"/>
    <x v="0"/>
    <n v="39"/>
    <s v="month"/>
    <x v="0"/>
    <n v="3"/>
  </r>
  <r>
    <n v="214586480"/>
    <x v="324"/>
    <x v="0"/>
    <x v="0"/>
    <n v="39"/>
    <s v="month"/>
    <x v="0"/>
    <n v="3"/>
  </r>
  <r>
    <n v="219110064"/>
    <x v="324"/>
    <x v="0"/>
    <x v="0"/>
    <n v="39"/>
    <s v="month"/>
    <x v="0"/>
    <n v="3"/>
  </r>
  <r>
    <n v="157374056"/>
    <x v="324"/>
    <x v="0"/>
    <x v="0"/>
    <n v="39"/>
    <s v="month"/>
    <x v="0"/>
    <n v="3"/>
  </r>
  <r>
    <n v="219058076"/>
    <x v="324"/>
    <x v="0"/>
    <x v="0"/>
    <n v="39"/>
    <s v="month"/>
    <x v="0"/>
    <n v="3"/>
  </r>
  <r>
    <n v="218011483"/>
    <x v="324"/>
    <x v="0"/>
    <x v="0"/>
    <n v="39"/>
    <s v="month"/>
    <x v="0"/>
    <n v="3"/>
  </r>
  <r>
    <n v="216543186"/>
    <x v="324"/>
    <x v="0"/>
    <x v="0"/>
    <n v="39"/>
    <s v="month"/>
    <x v="0"/>
    <n v="3"/>
  </r>
  <r>
    <n v="151239214"/>
    <x v="324"/>
    <x v="0"/>
    <x v="0"/>
    <n v="39"/>
    <s v="month"/>
    <x v="0"/>
    <n v="3"/>
  </r>
  <r>
    <n v="152760748"/>
    <x v="324"/>
    <x v="339"/>
    <x v="0"/>
    <n v="39"/>
    <s v="month"/>
    <x v="20"/>
    <n v="3"/>
  </r>
  <r>
    <n v="182102820"/>
    <x v="324"/>
    <x v="318"/>
    <x v="0"/>
    <n v="39"/>
    <s v="month"/>
    <x v="87"/>
    <n v="3"/>
  </r>
  <r>
    <n v="215005163"/>
    <x v="324"/>
    <x v="351"/>
    <x v="0"/>
    <n v="39"/>
    <s v="month"/>
    <x v="182"/>
    <n v="3"/>
  </r>
  <r>
    <n v="219136846"/>
    <x v="324"/>
    <x v="305"/>
    <x v="0"/>
    <n v="39"/>
    <s v="month"/>
    <x v="63"/>
    <n v="3"/>
  </r>
  <r>
    <n v="218795222"/>
    <x v="324"/>
    <x v="225"/>
    <x v="0"/>
    <n v="39"/>
    <s v="month"/>
    <x v="72"/>
    <n v="3"/>
  </r>
  <r>
    <n v="208706876"/>
    <x v="324"/>
    <x v="190"/>
    <x v="0"/>
    <n v="39"/>
    <s v="month"/>
    <x v="62"/>
    <n v="3"/>
  </r>
  <r>
    <n v="218701308"/>
    <x v="324"/>
    <x v="318"/>
    <x v="0"/>
    <n v="39"/>
    <s v="month"/>
    <x v="87"/>
    <n v="3"/>
  </r>
  <r>
    <n v="219136623"/>
    <x v="324"/>
    <x v="318"/>
    <x v="0"/>
    <n v="39"/>
    <s v="month"/>
    <x v="87"/>
    <n v="3"/>
  </r>
  <r>
    <n v="219153922"/>
    <x v="325"/>
    <x v="0"/>
    <x v="0"/>
    <n v="39"/>
    <s v="month"/>
    <x v="0"/>
    <n v="4"/>
  </r>
  <r>
    <n v="165529460"/>
    <x v="325"/>
    <x v="0"/>
    <x v="0"/>
    <n v="39"/>
    <s v="month"/>
    <x v="0"/>
    <n v="4"/>
  </r>
  <r>
    <n v="218715792"/>
    <x v="325"/>
    <x v="0"/>
    <x v="0"/>
    <n v="39"/>
    <s v="month"/>
    <x v="0"/>
    <n v="4"/>
  </r>
  <r>
    <n v="218985028"/>
    <x v="325"/>
    <x v="0"/>
    <x v="0"/>
    <n v="39"/>
    <s v="month"/>
    <x v="0"/>
    <n v="4"/>
  </r>
  <r>
    <n v="218986352"/>
    <x v="325"/>
    <x v="0"/>
    <x v="0"/>
    <n v="39"/>
    <s v="month"/>
    <x v="0"/>
    <n v="4"/>
  </r>
  <r>
    <n v="219152822"/>
    <x v="325"/>
    <x v="294"/>
    <x v="0"/>
    <n v="39"/>
    <s v="month"/>
    <x v="80"/>
    <n v="4"/>
  </r>
  <r>
    <n v="219084587"/>
    <x v="325"/>
    <x v="282"/>
    <x v="1"/>
    <n v="39"/>
    <s v="month"/>
    <x v="1"/>
    <n v="4"/>
  </r>
  <r>
    <n v="219200064"/>
    <x v="325"/>
    <x v="352"/>
    <x v="0"/>
    <n v="39"/>
    <s v="month"/>
    <x v="87"/>
    <n v="4"/>
  </r>
  <r>
    <n v="219224963"/>
    <x v="326"/>
    <x v="0"/>
    <x v="0"/>
    <n v="39"/>
    <s v="month"/>
    <x v="0"/>
    <n v="5"/>
  </r>
  <r>
    <n v="219172302"/>
    <x v="326"/>
    <x v="0"/>
    <x v="0"/>
    <n v="39"/>
    <s v="month"/>
    <x v="0"/>
    <n v="5"/>
  </r>
  <r>
    <n v="219244336"/>
    <x v="326"/>
    <x v="0"/>
    <x v="0"/>
    <n v="39"/>
    <s v="month"/>
    <x v="0"/>
    <n v="5"/>
  </r>
  <r>
    <n v="150342446"/>
    <x v="326"/>
    <x v="0"/>
    <x v="0"/>
    <n v="39"/>
    <s v="month"/>
    <x v="0"/>
    <n v="5"/>
  </r>
  <r>
    <n v="210432172"/>
    <x v="326"/>
    <x v="0"/>
    <x v="0"/>
    <n v="39"/>
    <s v="month"/>
    <x v="0"/>
    <n v="5"/>
  </r>
  <r>
    <n v="145614180"/>
    <x v="326"/>
    <x v="0"/>
    <x v="0"/>
    <n v="39"/>
    <s v="month"/>
    <x v="0"/>
    <n v="5"/>
  </r>
  <r>
    <n v="218318466"/>
    <x v="326"/>
    <x v="0"/>
    <x v="0"/>
    <n v="39"/>
    <s v="month"/>
    <x v="0"/>
    <n v="5"/>
  </r>
  <r>
    <n v="131984682"/>
    <x v="326"/>
    <x v="0"/>
    <x v="0"/>
    <n v="39"/>
    <s v="month"/>
    <x v="0"/>
    <n v="5"/>
  </r>
  <r>
    <n v="219243156"/>
    <x v="326"/>
    <x v="282"/>
    <x v="0"/>
    <n v="39"/>
    <s v="month"/>
    <x v="11"/>
    <n v="5"/>
  </r>
  <r>
    <n v="219301778"/>
    <x v="327"/>
    <x v="0"/>
    <x v="0"/>
    <n v="39"/>
    <s v="month"/>
    <x v="0"/>
    <n v="6"/>
  </r>
  <r>
    <n v="153004062"/>
    <x v="327"/>
    <x v="0"/>
    <x v="0"/>
    <n v="39"/>
    <s v="month"/>
    <x v="0"/>
    <n v="6"/>
  </r>
  <r>
    <n v="151015350"/>
    <x v="327"/>
    <x v="0"/>
    <x v="0"/>
    <n v="39"/>
    <s v="month"/>
    <x v="0"/>
    <n v="6"/>
  </r>
  <r>
    <n v="147696294"/>
    <x v="327"/>
    <x v="0"/>
    <x v="0"/>
    <n v="39"/>
    <s v="month"/>
    <x v="0"/>
    <n v="6"/>
  </r>
  <r>
    <n v="218255956"/>
    <x v="327"/>
    <x v="0"/>
    <x v="0"/>
    <n v="39"/>
    <s v="month"/>
    <x v="0"/>
    <n v="6"/>
  </r>
  <r>
    <n v="218510841"/>
    <x v="327"/>
    <x v="0"/>
    <x v="0"/>
    <n v="39"/>
    <s v="month"/>
    <x v="0"/>
    <n v="6"/>
  </r>
  <r>
    <n v="130864124"/>
    <x v="327"/>
    <x v="0"/>
    <x v="0"/>
    <n v="39"/>
    <s v="month"/>
    <x v="0"/>
    <n v="6"/>
  </r>
  <r>
    <n v="219194059"/>
    <x v="327"/>
    <x v="0"/>
    <x v="0"/>
    <n v="39"/>
    <s v="month"/>
    <x v="0"/>
    <n v="6"/>
  </r>
  <r>
    <n v="219254134"/>
    <x v="327"/>
    <x v="0"/>
    <x v="0"/>
    <n v="39"/>
    <s v="month"/>
    <x v="0"/>
    <n v="6"/>
  </r>
  <r>
    <n v="215881016"/>
    <x v="327"/>
    <x v="0"/>
    <x v="0"/>
    <n v="39"/>
    <s v="month"/>
    <x v="0"/>
    <n v="6"/>
  </r>
  <r>
    <n v="217361520"/>
    <x v="327"/>
    <x v="0"/>
    <x v="0"/>
    <n v="39"/>
    <s v="month"/>
    <x v="0"/>
    <n v="6"/>
  </r>
  <r>
    <n v="219265654"/>
    <x v="327"/>
    <x v="0"/>
    <x v="0"/>
    <n v="39"/>
    <s v="month"/>
    <x v="0"/>
    <n v="6"/>
  </r>
  <r>
    <n v="175491846"/>
    <x v="327"/>
    <x v="360"/>
    <x v="0"/>
    <n v="39"/>
    <s v="month"/>
    <x v="1"/>
    <n v="6"/>
  </r>
  <r>
    <n v="212603850"/>
    <x v="327"/>
    <x v="262"/>
    <x v="0"/>
    <n v="39"/>
    <s v="month"/>
    <x v="72"/>
    <n v="6"/>
  </r>
  <r>
    <n v="219307145"/>
    <x v="328"/>
    <x v="0"/>
    <x v="0"/>
    <n v="39"/>
    <s v="month"/>
    <x v="0"/>
    <n v="7"/>
  </r>
  <r>
    <n v="212937420"/>
    <x v="328"/>
    <x v="294"/>
    <x v="0"/>
    <n v="39"/>
    <s v="month"/>
    <x v="87"/>
    <n v="7"/>
  </r>
  <r>
    <n v="219318511"/>
    <x v="328"/>
    <x v="63"/>
    <x v="0"/>
    <n v="39"/>
    <s v="month"/>
    <x v="40"/>
    <n v="7"/>
  </r>
  <r>
    <n v="218513479"/>
    <x v="328"/>
    <x v="333"/>
    <x v="0"/>
    <n v="39"/>
    <s v="month"/>
    <x v="62"/>
    <n v="7"/>
  </r>
  <r>
    <n v="219301764"/>
    <x v="328"/>
    <x v="66"/>
    <x v="0"/>
    <n v="39"/>
    <s v="month"/>
    <x v="72"/>
    <n v="7"/>
  </r>
  <r>
    <n v="125038257"/>
    <x v="329"/>
    <x v="0"/>
    <x v="0"/>
    <n v="39"/>
    <s v="month"/>
    <x v="0"/>
    <n v="1"/>
  </r>
  <r>
    <n v="217813451"/>
    <x v="329"/>
    <x v="0"/>
    <x v="0"/>
    <n v="39"/>
    <s v="month"/>
    <x v="0"/>
    <n v="1"/>
  </r>
  <r>
    <n v="162859352"/>
    <x v="329"/>
    <x v="296"/>
    <x v="1"/>
    <n v="39"/>
    <s v="month"/>
    <x v="1"/>
    <n v="1"/>
  </r>
  <r>
    <n v="146923161"/>
    <x v="329"/>
    <x v="349"/>
    <x v="0"/>
    <n v="39"/>
    <s v="month"/>
    <x v="87"/>
    <n v="1"/>
  </r>
  <r>
    <n v="206699284"/>
    <x v="329"/>
    <x v="331"/>
    <x v="0"/>
    <n v="39"/>
    <s v="month"/>
    <x v="72"/>
    <n v="1"/>
  </r>
  <r>
    <n v="219330169"/>
    <x v="329"/>
    <x v="331"/>
    <x v="0"/>
    <n v="39"/>
    <s v="month"/>
    <x v="72"/>
    <n v="1"/>
  </r>
  <r>
    <n v="219404710"/>
    <x v="330"/>
    <x v="0"/>
    <x v="0"/>
    <n v="39"/>
    <s v="month"/>
    <x v="0"/>
    <n v="2"/>
  </r>
  <r>
    <n v="219402896"/>
    <x v="330"/>
    <x v="0"/>
    <x v="0"/>
    <n v="39"/>
    <s v="month"/>
    <x v="0"/>
    <n v="2"/>
  </r>
  <r>
    <n v="214129448"/>
    <x v="330"/>
    <x v="0"/>
    <x v="0"/>
    <n v="39"/>
    <s v="month"/>
    <x v="0"/>
    <n v="2"/>
  </r>
  <r>
    <n v="219218929"/>
    <x v="330"/>
    <x v="0"/>
    <x v="0"/>
    <n v="39"/>
    <s v="month"/>
    <x v="0"/>
    <n v="2"/>
  </r>
  <r>
    <n v="219385880"/>
    <x v="330"/>
    <x v="0"/>
    <x v="0"/>
    <n v="39"/>
    <s v="month"/>
    <x v="0"/>
    <n v="2"/>
  </r>
  <r>
    <n v="219368039"/>
    <x v="330"/>
    <x v="0"/>
    <x v="0"/>
    <n v="39"/>
    <s v="month"/>
    <x v="0"/>
    <n v="2"/>
  </r>
  <r>
    <n v="219328313"/>
    <x v="330"/>
    <x v="0"/>
    <x v="0"/>
    <n v="39"/>
    <s v="month"/>
    <x v="0"/>
    <n v="2"/>
  </r>
  <r>
    <n v="219185386"/>
    <x v="330"/>
    <x v="222"/>
    <x v="1"/>
    <n v="39"/>
    <s v="month"/>
    <x v="1"/>
    <n v="2"/>
  </r>
  <r>
    <n v="183712256"/>
    <x v="330"/>
    <x v="98"/>
    <x v="0"/>
    <n v="39"/>
    <s v="month"/>
    <x v="63"/>
    <n v="2"/>
  </r>
  <r>
    <n v="217624207"/>
    <x v="331"/>
    <x v="0"/>
    <x v="0"/>
    <n v="39"/>
    <s v="month"/>
    <x v="0"/>
    <n v="3"/>
  </r>
  <r>
    <n v="218938921"/>
    <x v="331"/>
    <x v="0"/>
    <x v="0"/>
    <n v="39"/>
    <s v="month"/>
    <x v="0"/>
    <n v="3"/>
  </r>
  <r>
    <n v="147145693"/>
    <x v="331"/>
    <x v="0"/>
    <x v="0"/>
    <n v="39"/>
    <s v="month"/>
    <x v="0"/>
    <n v="3"/>
  </r>
  <r>
    <n v="218459038"/>
    <x v="331"/>
    <x v="0"/>
    <x v="0"/>
    <n v="39"/>
    <s v="month"/>
    <x v="0"/>
    <n v="3"/>
  </r>
  <r>
    <n v="219395734"/>
    <x v="331"/>
    <x v="0"/>
    <x v="0"/>
    <n v="39"/>
    <s v="month"/>
    <x v="0"/>
    <n v="3"/>
  </r>
  <r>
    <n v="219413956"/>
    <x v="331"/>
    <x v="0"/>
    <x v="0"/>
    <n v="39"/>
    <s v="month"/>
    <x v="0"/>
    <n v="3"/>
  </r>
  <r>
    <n v="218562434"/>
    <x v="331"/>
    <x v="318"/>
    <x v="0"/>
    <n v="39"/>
    <s v="month"/>
    <x v="28"/>
    <n v="3"/>
  </r>
  <r>
    <n v="135521927"/>
    <x v="331"/>
    <x v="352"/>
    <x v="0"/>
    <n v="39"/>
    <s v="month"/>
    <x v="50"/>
    <n v="3"/>
  </r>
  <r>
    <n v="157035378"/>
    <x v="331"/>
    <x v="335"/>
    <x v="0"/>
    <n v="39"/>
    <s v="month"/>
    <x v="35"/>
    <n v="3"/>
  </r>
  <r>
    <n v="219382434"/>
    <x v="331"/>
    <x v="335"/>
    <x v="0"/>
    <n v="39"/>
    <s v="month"/>
    <x v="35"/>
    <n v="3"/>
  </r>
  <r>
    <n v="208762353"/>
    <x v="332"/>
    <x v="0"/>
    <x v="0"/>
    <n v="39"/>
    <s v="month"/>
    <x v="0"/>
    <n v="4"/>
  </r>
  <r>
    <n v="218346336"/>
    <x v="332"/>
    <x v="0"/>
    <x v="0"/>
    <n v="39"/>
    <s v="month"/>
    <x v="0"/>
    <n v="4"/>
  </r>
  <r>
    <n v="219226230"/>
    <x v="332"/>
    <x v="0"/>
    <x v="0"/>
    <n v="39"/>
    <s v="month"/>
    <x v="0"/>
    <n v="4"/>
  </r>
  <r>
    <n v="219369515"/>
    <x v="332"/>
    <x v="0"/>
    <x v="0"/>
    <n v="39"/>
    <s v="month"/>
    <x v="0"/>
    <n v="4"/>
  </r>
  <r>
    <n v="204947361"/>
    <x v="332"/>
    <x v="0"/>
    <x v="0"/>
    <n v="39"/>
    <s v="month"/>
    <x v="0"/>
    <n v="4"/>
  </r>
  <r>
    <n v="212977568"/>
    <x v="332"/>
    <x v="0"/>
    <x v="0"/>
    <n v="39"/>
    <s v="month"/>
    <x v="0"/>
    <n v="4"/>
  </r>
  <r>
    <n v="217981717"/>
    <x v="332"/>
    <x v="0"/>
    <x v="0"/>
    <n v="39"/>
    <s v="month"/>
    <x v="0"/>
    <n v="4"/>
  </r>
  <r>
    <n v="219459089"/>
    <x v="332"/>
    <x v="0"/>
    <x v="0"/>
    <n v="39"/>
    <s v="month"/>
    <x v="0"/>
    <n v="4"/>
  </r>
  <r>
    <n v="193483420"/>
    <x v="332"/>
    <x v="0"/>
    <x v="0"/>
    <n v="39"/>
    <s v="month"/>
    <x v="0"/>
    <n v="4"/>
  </r>
  <r>
    <n v="219496362"/>
    <x v="332"/>
    <x v="356"/>
    <x v="0"/>
    <n v="39"/>
    <s v="month"/>
    <x v="156"/>
    <n v="4"/>
  </r>
  <r>
    <n v="219398902"/>
    <x v="332"/>
    <x v="294"/>
    <x v="0"/>
    <n v="39"/>
    <s v="month"/>
    <x v="36"/>
    <n v="4"/>
  </r>
  <r>
    <n v="219497152"/>
    <x v="332"/>
    <x v="225"/>
    <x v="0"/>
    <n v="39"/>
    <s v="month"/>
    <x v="86"/>
    <n v="4"/>
  </r>
  <r>
    <n v="188426619"/>
    <x v="332"/>
    <x v="318"/>
    <x v="0"/>
    <n v="39"/>
    <s v="month"/>
    <x v="35"/>
    <n v="4"/>
  </r>
  <r>
    <n v="219470485"/>
    <x v="332"/>
    <x v="55"/>
    <x v="0"/>
    <n v="39"/>
    <s v="month"/>
    <x v="10"/>
    <n v="4"/>
  </r>
  <r>
    <n v="219460783"/>
    <x v="332"/>
    <x v="331"/>
    <x v="0"/>
    <n v="39"/>
    <s v="month"/>
    <x v="20"/>
    <n v="4"/>
  </r>
  <r>
    <n v="219512722"/>
    <x v="333"/>
    <x v="0"/>
    <x v="0"/>
    <n v="39"/>
    <s v="month"/>
    <x v="0"/>
    <n v="5"/>
  </r>
  <r>
    <n v="199393176"/>
    <x v="333"/>
    <x v="0"/>
    <x v="0"/>
    <n v="39"/>
    <s v="month"/>
    <x v="0"/>
    <n v="5"/>
  </r>
  <r>
    <n v="217368686"/>
    <x v="333"/>
    <x v="0"/>
    <x v="0"/>
    <n v="39"/>
    <s v="month"/>
    <x v="0"/>
    <n v="5"/>
  </r>
  <r>
    <n v="218247056"/>
    <x v="333"/>
    <x v="0"/>
    <x v="0"/>
    <n v="39"/>
    <s v="month"/>
    <x v="0"/>
    <n v="5"/>
  </r>
  <r>
    <n v="219439239"/>
    <x v="333"/>
    <x v="0"/>
    <x v="0"/>
    <n v="39"/>
    <s v="month"/>
    <x v="0"/>
    <n v="5"/>
  </r>
  <r>
    <n v="188206991"/>
    <x v="333"/>
    <x v="0"/>
    <x v="0"/>
    <n v="39"/>
    <s v="month"/>
    <x v="0"/>
    <n v="5"/>
  </r>
  <r>
    <n v="206470657"/>
    <x v="333"/>
    <x v="0"/>
    <x v="0"/>
    <n v="39"/>
    <s v="month"/>
    <x v="0"/>
    <n v="5"/>
  </r>
  <r>
    <n v="218706730"/>
    <x v="333"/>
    <x v="0"/>
    <x v="0"/>
    <n v="39"/>
    <s v="month"/>
    <x v="0"/>
    <n v="5"/>
  </r>
  <r>
    <n v="219512680"/>
    <x v="333"/>
    <x v="0"/>
    <x v="0"/>
    <n v="39"/>
    <s v="month"/>
    <x v="0"/>
    <n v="5"/>
  </r>
  <r>
    <n v="125335731"/>
    <x v="333"/>
    <x v="0"/>
    <x v="0"/>
    <n v="39"/>
    <s v="month"/>
    <x v="0"/>
    <n v="5"/>
  </r>
  <r>
    <n v="160598122"/>
    <x v="333"/>
    <x v="0"/>
    <x v="0"/>
    <n v="39"/>
    <s v="month"/>
    <x v="0"/>
    <n v="5"/>
  </r>
  <r>
    <n v="218414156"/>
    <x v="333"/>
    <x v="0"/>
    <x v="0"/>
    <n v="39"/>
    <s v="month"/>
    <x v="0"/>
    <n v="5"/>
  </r>
  <r>
    <n v="206455504"/>
    <x v="333"/>
    <x v="318"/>
    <x v="0"/>
    <n v="39"/>
    <s v="month"/>
    <x v="72"/>
    <n v="5"/>
  </r>
  <r>
    <n v="202589094"/>
    <x v="333"/>
    <x v="302"/>
    <x v="0"/>
    <n v="39"/>
    <s v="month"/>
    <x v="28"/>
    <n v="5"/>
  </r>
  <r>
    <n v="129747676"/>
    <x v="333"/>
    <x v="349"/>
    <x v="0"/>
    <n v="39"/>
    <s v="month"/>
    <x v="36"/>
    <n v="5"/>
  </r>
  <r>
    <n v="219511614"/>
    <x v="333"/>
    <x v="318"/>
    <x v="0"/>
    <n v="39"/>
    <s v="month"/>
    <x v="72"/>
    <n v="5"/>
  </r>
  <r>
    <n v="219491158"/>
    <x v="334"/>
    <x v="0"/>
    <x v="0"/>
    <n v="39"/>
    <s v="month"/>
    <x v="0"/>
    <n v="6"/>
  </r>
  <r>
    <n v="218790626"/>
    <x v="334"/>
    <x v="0"/>
    <x v="0"/>
    <n v="39"/>
    <s v="month"/>
    <x v="0"/>
    <n v="6"/>
  </r>
  <r>
    <n v="219476808"/>
    <x v="334"/>
    <x v="0"/>
    <x v="0"/>
    <n v="39"/>
    <s v="month"/>
    <x v="0"/>
    <n v="6"/>
  </r>
  <r>
    <n v="218585706"/>
    <x v="334"/>
    <x v="0"/>
    <x v="0"/>
    <n v="39"/>
    <s v="month"/>
    <x v="0"/>
    <n v="6"/>
  </r>
  <r>
    <n v="219316901"/>
    <x v="334"/>
    <x v="0"/>
    <x v="0"/>
    <n v="39"/>
    <s v="month"/>
    <x v="0"/>
    <n v="6"/>
  </r>
  <r>
    <n v="217724278"/>
    <x v="334"/>
    <x v="0"/>
    <x v="0"/>
    <n v="39"/>
    <s v="month"/>
    <x v="0"/>
    <n v="6"/>
  </r>
  <r>
    <n v="155869412"/>
    <x v="334"/>
    <x v="0"/>
    <x v="0"/>
    <n v="39"/>
    <s v="month"/>
    <x v="0"/>
    <n v="6"/>
  </r>
  <r>
    <n v="164535832"/>
    <x v="334"/>
    <x v="0"/>
    <x v="0"/>
    <n v="39"/>
    <s v="month"/>
    <x v="0"/>
    <n v="6"/>
  </r>
  <r>
    <n v="219388064"/>
    <x v="334"/>
    <x v="0"/>
    <x v="0"/>
    <n v="39"/>
    <s v="month"/>
    <x v="0"/>
    <n v="6"/>
  </r>
  <r>
    <n v="218884048"/>
    <x v="334"/>
    <x v="313"/>
    <x v="0"/>
    <n v="39"/>
    <s v="month"/>
    <x v="23"/>
    <n v="6"/>
  </r>
  <r>
    <n v="219603078"/>
    <x v="335"/>
    <x v="0"/>
    <x v="0"/>
    <n v="39"/>
    <s v="month"/>
    <x v="0"/>
    <n v="7"/>
  </r>
  <r>
    <n v="219146842"/>
    <x v="335"/>
    <x v="0"/>
    <x v="0"/>
    <n v="39"/>
    <s v="month"/>
    <x v="0"/>
    <n v="7"/>
  </r>
  <r>
    <n v="206676416"/>
    <x v="335"/>
    <x v="0"/>
    <x v="0"/>
    <n v="39"/>
    <s v="month"/>
    <x v="0"/>
    <n v="7"/>
  </r>
  <r>
    <n v="219615770"/>
    <x v="335"/>
    <x v="0"/>
    <x v="0"/>
    <n v="39"/>
    <s v="month"/>
    <x v="0"/>
    <n v="7"/>
  </r>
  <r>
    <n v="219630379"/>
    <x v="336"/>
    <x v="0"/>
    <x v="0"/>
    <n v="39"/>
    <s v="month"/>
    <x v="0"/>
    <n v="1"/>
  </r>
  <r>
    <n v="145096572"/>
    <x v="336"/>
    <x v="0"/>
    <x v="0"/>
    <n v="39"/>
    <s v="month"/>
    <x v="0"/>
    <n v="1"/>
  </r>
  <r>
    <n v="144005898"/>
    <x v="336"/>
    <x v="0"/>
    <x v="0"/>
    <n v="39"/>
    <s v="month"/>
    <x v="0"/>
    <n v="1"/>
  </r>
  <r>
    <n v="215189020"/>
    <x v="336"/>
    <x v="0"/>
    <x v="0"/>
    <n v="39"/>
    <s v="month"/>
    <x v="0"/>
    <n v="1"/>
  </r>
  <r>
    <n v="188354637"/>
    <x v="336"/>
    <x v="339"/>
    <x v="0"/>
    <n v="39"/>
    <s v="month"/>
    <x v="10"/>
    <n v="1"/>
  </r>
  <r>
    <n v="219668475"/>
    <x v="337"/>
    <x v="0"/>
    <x v="0"/>
    <n v="39"/>
    <s v="month"/>
    <x v="0"/>
    <n v="2"/>
  </r>
  <r>
    <n v="219495361"/>
    <x v="337"/>
    <x v="0"/>
    <x v="0"/>
    <n v="39"/>
    <s v="month"/>
    <x v="0"/>
    <n v="2"/>
  </r>
  <r>
    <n v="219672587"/>
    <x v="337"/>
    <x v="0"/>
    <x v="0"/>
    <n v="39"/>
    <s v="month"/>
    <x v="0"/>
    <n v="2"/>
  </r>
  <r>
    <n v="218556897"/>
    <x v="337"/>
    <x v="98"/>
    <x v="0"/>
    <n v="39"/>
    <s v="month"/>
    <x v="1"/>
    <n v="2"/>
  </r>
  <r>
    <n v="219467082"/>
    <x v="337"/>
    <x v="334"/>
    <x v="0"/>
    <n v="39"/>
    <s v="month"/>
    <x v="63"/>
    <n v="2"/>
  </r>
  <r>
    <n v="139353407"/>
    <x v="338"/>
    <x v="0"/>
    <x v="0"/>
    <n v="39"/>
    <s v="month"/>
    <x v="0"/>
    <n v="3"/>
  </r>
  <r>
    <n v="219734945"/>
    <x v="338"/>
    <x v="0"/>
    <x v="0"/>
    <n v="39"/>
    <s v="month"/>
    <x v="0"/>
    <n v="3"/>
  </r>
  <r>
    <n v="219735949"/>
    <x v="338"/>
    <x v="0"/>
    <x v="0"/>
    <n v="39"/>
    <s v="month"/>
    <x v="0"/>
    <n v="3"/>
  </r>
  <r>
    <n v="219688361"/>
    <x v="338"/>
    <x v="0"/>
    <x v="0"/>
    <n v="39"/>
    <s v="month"/>
    <x v="0"/>
    <n v="3"/>
  </r>
  <r>
    <n v="219447968"/>
    <x v="338"/>
    <x v="0"/>
    <x v="0"/>
    <n v="39"/>
    <s v="month"/>
    <x v="0"/>
    <n v="3"/>
  </r>
  <r>
    <n v="219583682"/>
    <x v="338"/>
    <x v="0"/>
    <x v="0"/>
    <n v="39"/>
    <s v="month"/>
    <x v="0"/>
    <n v="3"/>
  </r>
  <r>
    <n v="217638566"/>
    <x v="338"/>
    <x v="0"/>
    <x v="0"/>
    <n v="39"/>
    <s v="month"/>
    <x v="0"/>
    <n v="3"/>
  </r>
  <r>
    <n v="219716268"/>
    <x v="338"/>
    <x v="0"/>
    <x v="0"/>
    <n v="39"/>
    <s v="month"/>
    <x v="0"/>
    <n v="3"/>
  </r>
  <r>
    <n v="219713718"/>
    <x v="338"/>
    <x v="0"/>
    <x v="0"/>
    <n v="39"/>
    <s v="month"/>
    <x v="0"/>
    <n v="3"/>
  </r>
  <r>
    <n v="219707178"/>
    <x v="338"/>
    <x v="0"/>
    <x v="0"/>
    <n v="39"/>
    <s v="month"/>
    <x v="0"/>
    <n v="3"/>
  </r>
  <r>
    <n v="219747148"/>
    <x v="338"/>
    <x v="98"/>
    <x v="0"/>
    <n v="39"/>
    <s v="month"/>
    <x v="11"/>
    <n v="3"/>
  </r>
  <r>
    <n v="219710700"/>
    <x v="338"/>
    <x v="351"/>
    <x v="0"/>
    <n v="39"/>
    <s v="month"/>
    <x v="173"/>
    <n v="3"/>
  </r>
  <r>
    <n v="160883429"/>
    <x v="339"/>
    <x v="0"/>
    <x v="0"/>
    <n v="39"/>
    <s v="month"/>
    <x v="0"/>
    <n v="4"/>
  </r>
  <r>
    <n v="218556897"/>
    <x v="339"/>
    <x v="0"/>
    <x v="0"/>
    <n v="39"/>
    <s v="month"/>
    <x v="0"/>
    <n v="4"/>
  </r>
  <r>
    <n v="219779586"/>
    <x v="339"/>
    <x v="0"/>
    <x v="0"/>
    <n v="39"/>
    <s v="month"/>
    <x v="0"/>
    <n v="4"/>
  </r>
  <r>
    <n v="219437804"/>
    <x v="339"/>
    <x v="0"/>
    <x v="0"/>
    <n v="39"/>
    <s v="month"/>
    <x v="0"/>
    <n v="4"/>
  </r>
  <r>
    <n v="206402783"/>
    <x v="339"/>
    <x v="0"/>
    <x v="0"/>
    <n v="39"/>
    <s v="month"/>
    <x v="0"/>
    <n v="4"/>
  </r>
  <r>
    <n v="178419414"/>
    <x v="339"/>
    <x v="0"/>
    <x v="0"/>
    <n v="39"/>
    <s v="month"/>
    <x v="0"/>
    <n v="4"/>
  </r>
  <r>
    <n v="219719416"/>
    <x v="339"/>
    <x v="0"/>
    <x v="0"/>
    <n v="39"/>
    <s v="month"/>
    <x v="0"/>
    <n v="4"/>
  </r>
  <r>
    <n v="156558244"/>
    <x v="339"/>
    <x v="0"/>
    <x v="0"/>
    <n v="39"/>
    <s v="month"/>
    <x v="0"/>
    <n v="4"/>
  </r>
  <r>
    <n v="215602271"/>
    <x v="339"/>
    <x v="334"/>
    <x v="0"/>
    <n v="39"/>
    <s v="month"/>
    <x v="230"/>
    <n v="4"/>
  </r>
  <r>
    <n v="219761422"/>
    <x v="339"/>
    <x v="332"/>
    <x v="0"/>
    <n v="39"/>
    <s v="month"/>
    <x v="225"/>
    <n v="4"/>
  </r>
  <r>
    <n v="218594597"/>
    <x v="339"/>
    <x v="252"/>
    <x v="1"/>
    <n v="39"/>
    <s v="month"/>
    <x v="11"/>
    <n v="4"/>
  </r>
  <r>
    <n v="219734107"/>
    <x v="340"/>
    <x v="0"/>
    <x v="0"/>
    <n v="39"/>
    <s v="month"/>
    <x v="0"/>
    <n v="5"/>
  </r>
  <r>
    <n v="219836911"/>
    <x v="340"/>
    <x v="0"/>
    <x v="0"/>
    <n v="39"/>
    <s v="month"/>
    <x v="0"/>
    <n v="5"/>
  </r>
  <r>
    <n v="215179190"/>
    <x v="340"/>
    <x v="0"/>
    <x v="0"/>
    <n v="39"/>
    <s v="month"/>
    <x v="0"/>
    <n v="5"/>
  </r>
  <r>
    <n v="219817702"/>
    <x v="340"/>
    <x v="0"/>
    <x v="0"/>
    <n v="39"/>
    <s v="month"/>
    <x v="0"/>
    <n v="5"/>
  </r>
  <r>
    <n v="150065982"/>
    <x v="340"/>
    <x v="301"/>
    <x v="0"/>
    <n v="39"/>
    <s v="month"/>
    <x v="1"/>
    <n v="5"/>
  </r>
  <r>
    <n v="219891350"/>
    <x v="341"/>
    <x v="0"/>
    <x v="0"/>
    <n v="39"/>
    <s v="month"/>
    <x v="0"/>
    <n v="6"/>
  </r>
  <r>
    <n v="205210815"/>
    <x v="341"/>
    <x v="0"/>
    <x v="0"/>
    <n v="39"/>
    <s v="month"/>
    <x v="0"/>
    <n v="6"/>
  </r>
  <r>
    <n v="219744473"/>
    <x v="341"/>
    <x v="0"/>
    <x v="0"/>
    <n v="39"/>
    <s v="month"/>
    <x v="0"/>
    <n v="6"/>
  </r>
  <r>
    <n v="219851822"/>
    <x v="341"/>
    <x v="0"/>
    <x v="0"/>
    <n v="39"/>
    <s v="month"/>
    <x v="0"/>
    <n v="6"/>
  </r>
  <r>
    <n v="150779000"/>
    <x v="341"/>
    <x v="349"/>
    <x v="0"/>
    <n v="39"/>
    <s v="month"/>
    <x v="20"/>
    <n v="6"/>
  </r>
  <r>
    <n v="219876215"/>
    <x v="341"/>
    <x v="328"/>
    <x v="0"/>
    <n v="39"/>
    <s v="month"/>
    <x v="1"/>
    <n v="6"/>
  </r>
  <r>
    <n v="151633468"/>
    <x v="341"/>
    <x v="328"/>
    <x v="0"/>
    <n v="39"/>
    <s v="month"/>
    <x v="1"/>
    <n v="6"/>
  </r>
  <r>
    <n v="219834528"/>
    <x v="341"/>
    <x v="328"/>
    <x v="1"/>
    <n v="39"/>
    <s v="month"/>
    <x v="1"/>
    <n v="6"/>
  </r>
  <r>
    <n v="202844600"/>
    <x v="341"/>
    <x v="328"/>
    <x v="1"/>
    <n v="39"/>
    <s v="month"/>
    <x v="1"/>
    <n v="6"/>
  </r>
  <r>
    <n v="158093021"/>
    <x v="342"/>
    <x v="0"/>
    <x v="0"/>
    <n v="39"/>
    <s v="month"/>
    <x v="0"/>
    <n v="7"/>
  </r>
  <r>
    <n v="203366396"/>
    <x v="342"/>
    <x v="55"/>
    <x v="0"/>
    <n v="39"/>
    <s v="month"/>
    <x v="37"/>
    <n v="7"/>
  </r>
  <r>
    <n v="210694562"/>
    <x v="342"/>
    <x v="352"/>
    <x v="0"/>
    <n v="39"/>
    <s v="month"/>
    <x v="86"/>
    <n v="7"/>
  </r>
  <r>
    <n v="188347490"/>
    <x v="343"/>
    <x v="0"/>
    <x v="0"/>
    <n v="39"/>
    <s v="month"/>
    <x v="0"/>
    <n v="1"/>
  </r>
  <r>
    <n v="219947831"/>
    <x v="343"/>
    <x v="0"/>
    <x v="0"/>
    <n v="39"/>
    <s v="month"/>
    <x v="0"/>
    <n v="1"/>
  </r>
  <r>
    <n v="214775412"/>
    <x v="343"/>
    <x v="0"/>
    <x v="0"/>
    <n v="39"/>
    <s v="month"/>
    <x v="0"/>
    <n v="1"/>
  </r>
  <r>
    <n v="134753801"/>
    <x v="343"/>
    <x v="0"/>
    <x v="0"/>
    <n v="39"/>
    <s v="month"/>
    <x v="0"/>
    <n v="1"/>
  </r>
  <r>
    <n v="182584521"/>
    <x v="343"/>
    <x v="0"/>
    <x v="0"/>
    <n v="39"/>
    <s v="month"/>
    <x v="0"/>
    <n v="1"/>
  </r>
  <r>
    <n v="219955434"/>
    <x v="343"/>
    <x v="0"/>
    <x v="0"/>
    <n v="39"/>
    <s v="month"/>
    <x v="0"/>
    <n v="1"/>
  </r>
  <r>
    <n v="219951440"/>
    <x v="343"/>
    <x v="0"/>
    <x v="0"/>
    <n v="39"/>
    <s v="month"/>
    <x v="0"/>
    <n v="1"/>
  </r>
  <r>
    <n v="219808428"/>
    <x v="343"/>
    <x v="318"/>
    <x v="0"/>
    <n v="39"/>
    <s v="month"/>
    <x v="184"/>
    <n v="1"/>
  </r>
  <r>
    <n v="191034251"/>
    <x v="344"/>
    <x v="0"/>
    <x v="0"/>
    <n v="39"/>
    <s v="month"/>
    <x v="0"/>
    <n v="2"/>
  </r>
  <r>
    <n v="220023196"/>
    <x v="344"/>
    <x v="0"/>
    <x v="0"/>
    <n v="39"/>
    <s v="month"/>
    <x v="0"/>
    <n v="2"/>
  </r>
  <r>
    <n v="220028812"/>
    <x v="344"/>
    <x v="0"/>
    <x v="0"/>
    <n v="39"/>
    <s v="month"/>
    <x v="0"/>
    <n v="2"/>
  </r>
  <r>
    <n v="195988242"/>
    <x v="344"/>
    <x v="0"/>
    <x v="0"/>
    <n v="39"/>
    <s v="month"/>
    <x v="0"/>
    <n v="2"/>
  </r>
  <r>
    <n v="151633468"/>
    <x v="344"/>
    <x v="0"/>
    <x v="0"/>
    <n v="39"/>
    <s v="month"/>
    <x v="0"/>
    <n v="2"/>
  </r>
  <r>
    <n v="220012044"/>
    <x v="344"/>
    <x v="0"/>
    <x v="0"/>
    <n v="39"/>
    <s v="month"/>
    <x v="0"/>
    <n v="2"/>
  </r>
  <r>
    <n v="219981231"/>
    <x v="344"/>
    <x v="0"/>
    <x v="0"/>
    <n v="39"/>
    <s v="month"/>
    <x v="0"/>
    <n v="2"/>
  </r>
  <r>
    <n v="169692209"/>
    <x v="344"/>
    <x v="0"/>
    <x v="0"/>
    <n v="39"/>
    <s v="month"/>
    <x v="0"/>
    <n v="2"/>
  </r>
  <r>
    <n v="116156335"/>
    <x v="344"/>
    <x v="0"/>
    <x v="0"/>
    <n v="39"/>
    <s v="month"/>
    <x v="0"/>
    <n v="2"/>
  </r>
  <r>
    <n v="153393340"/>
    <x v="344"/>
    <x v="0"/>
    <x v="0"/>
    <n v="39"/>
    <s v="month"/>
    <x v="0"/>
    <n v="2"/>
  </r>
  <r>
    <n v="219974920"/>
    <x v="344"/>
    <x v="0"/>
    <x v="0"/>
    <n v="39"/>
    <s v="month"/>
    <x v="0"/>
    <n v="2"/>
  </r>
  <r>
    <n v="121253113"/>
    <x v="344"/>
    <x v="55"/>
    <x v="0"/>
    <n v="39"/>
    <s v="month"/>
    <x v="208"/>
    <n v="2"/>
  </r>
  <r>
    <n v="219690296"/>
    <x v="345"/>
    <x v="0"/>
    <x v="0"/>
    <n v="39"/>
    <s v="month"/>
    <x v="0"/>
    <n v="3"/>
  </r>
  <r>
    <n v="187268085"/>
    <x v="345"/>
    <x v="0"/>
    <x v="0"/>
    <n v="39"/>
    <s v="month"/>
    <x v="0"/>
    <n v="3"/>
  </r>
  <r>
    <n v="150623785"/>
    <x v="345"/>
    <x v="0"/>
    <x v="0"/>
    <n v="39"/>
    <s v="month"/>
    <x v="0"/>
    <n v="3"/>
  </r>
  <r>
    <n v="220056524"/>
    <x v="345"/>
    <x v="55"/>
    <x v="1"/>
    <n v="39"/>
    <s v="month"/>
    <x v="1"/>
    <n v="3"/>
  </r>
  <r>
    <n v="208188866"/>
    <x v="346"/>
    <x v="0"/>
    <x v="0"/>
    <n v="39"/>
    <s v="month"/>
    <x v="0"/>
    <n v="4"/>
  </r>
  <r>
    <n v="219081046"/>
    <x v="346"/>
    <x v="0"/>
    <x v="0"/>
    <n v="39"/>
    <s v="month"/>
    <x v="0"/>
    <n v="4"/>
  </r>
  <r>
    <n v="219569143"/>
    <x v="346"/>
    <x v="0"/>
    <x v="0"/>
    <n v="39"/>
    <s v="month"/>
    <x v="0"/>
    <n v="4"/>
  </r>
  <r>
    <n v="219653068"/>
    <x v="346"/>
    <x v="0"/>
    <x v="0"/>
    <n v="39"/>
    <s v="month"/>
    <x v="0"/>
    <n v="4"/>
  </r>
  <r>
    <n v="220120740"/>
    <x v="346"/>
    <x v="0"/>
    <x v="0"/>
    <n v="39"/>
    <s v="month"/>
    <x v="0"/>
    <n v="4"/>
  </r>
  <r>
    <n v="186200901"/>
    <x v="346"/>
    <x v="0"/>
    <x v="0"/>
    <n v="39"/>
    <s v="month"/>
    <x v="0"/>
    <n v="4"/>
  </r>
  <r>
    <n v="220116966"/>
    <x v="346"/>
    <x v="0"/>
    <x v="0"/>
    <n v="39"/>
    <s v="month"/>
    <x v="0"/>
    <n v="4"/>
  </r>
  <r>
    <n v="219876215"/>
    <x v="346"/>
    <x v="0"/>
    <x v="0"/>
    <n v="39"/>
    <s v="month"/>
    <x v="0"/>
    <n v="4"/>
  </r>
  <r>
    <n v="219996796"/>
    <x v="346"/>
    <x v="0"/>
    <x v="0"/>
    <n v="39"/>
    <s v="month"/>
    <x v="0"/>
    <n v="4"/>
  </r>
  <r>
    <n v="218296652"/>
    <x v="346"/>
    <x v="0"/>
    <x v="0"/>
    <n v="39"/>
    <s v="month"/>
    <x v="0"/>
    <n v="4"/>
  </r>
  <r>
    <n v="188748372"/>
    <x v="346"/>
    <x v="0"/>
    <x v="0"/>
    <n v="39"/>
    <s v="month"/>
    <x v="0"/>
    <n v="4"/>
  </r>
  <r>
    <n v="220080560"/>
    <x v="346"/>
    <x v="0"/>
    <x v="0"/>
    <n v="39"/>
    <s v="month"/>
    <x v="0"/>
    <n v="4"/>
  </r>
  <r>
    <n v="219899496"/>
    <x v="347"/>
    <x v="0"/>
    <x v="0"/>
    <n v="39"/>
    <s v="month"/>
    <x v="0"/>
    <n v="5"/>
  </r>
  <r>
    <n v="219000322"/>
    <x v="347"/>
    <x v="0"/>
    <x v="0"/>
    <n v="39"/>
    <s v="month"/>
    <x v="0"/>
    <n v="5"/>
  </r>
  <r>
    <n v="220181992"/>
    <x v="347"/>
    <x v="0"/>
    <x v="0"/>
    <n v="39"/>
    <s v="month"/>
    <x v="0"/>
    <n v="5"/>
  </r>
  <r>
    <n v="220196419"/>
    <x v="347"/>
    <x v="0"/>
    <x v="0"/>
    <n v="39"/>
    <s v="month"/>
    <x v="0"/>
    <n v="5"/>
  </r>
  <r>
    <n v="220155197"/>
    <x v="347"/>
    <x v="0"/>
    <x v="0"/>
    <n v="39"/>
    <s v="month"/>
    <x v="0"/>
    <n v="5"/>
  </r>
  <r>
    <n v="220144619"/>
    <x v="347"/>
    <x v="0"/>
    <x v="0"/>
    <n v="39"/>
    <s v="month"/>
    <x v="0"/>
    <n v="5"/>
  </r>
  <r>
    <n v="220184550"/>
    <x v="347"/>
    <x v="0"/>
    <x v="0"/>
    <n v="39"/>
    <s v="month"/>
    <x v="0"/>
    <n v="5"/>
  </r>
  <r>
    <n v="152209352"/>
    <x v="347"/>
    <x v="0"/>
    <x v="0"/>
    <n v="39"/>
    <s v="month"/>
    <x v="0"/>
    <n v="5"/>
  </r>
  <r>
    <n v="146952862"/>
    <x v="347"/>
    <x v="0"/>
    <x v="0"/>
    <n v="39"/>
    <s v="month"/>
    <x v="0"/>
    <n v="5"/>
  </r>
  <r>
    <n v="220178530"/>
    <x v="347"/>
    <x v="0"/>
    <x v="0"/>
    <n v="39"/>
    <s v="month"/>
    <x v="0"/>
    <n v="5"/>
  </r>
  <r>
    <n v="219498470"/>
    <x v="347"/>
    <x v="0"/>
    <x v="0"/>
    <n v="39"/>
    <s v="month"/>
    <x v="0"/>
    <n v="5"/>
  </r>
  <r>
    <n v="216622895"/>
    <x v="347"/>
    <x v="0"/>
    <x v="0"/>
    <n v="39"/>
    <s v="month"/>
    <x v="0"/>
    <n v="5"/>
  </r>
  <r>
    <n v="153705354"/>
    <x v="347"/>
    <x v="351"/>
    <x v="0"/>
    <n v="39"/>
    <s v="month"/>
    <x v="11"/>
    <n v="5"/>
  </r>
  <r>
    <n v="219280628"/>
    <x v="347"/>
    <x v="63"/>
    <x v="1"/>
    <n v="39"/>
    <s v="month"/>
    <x v="1"/>
    <n v="5"/>
  </r>
  <r>
    <n v="220171290"/>
    <x v="348"/>
    <x v="0"/>
    <x v="0"/>
    <n v="39"/>
    <s v="month"/>
    <x v="0"/>
    <n v="6"/>
  </r>
  <r>
    <n v="219553060"/>
    <x v="348"/>
    <x v="0"/>
    <x v="0"/>
    <n v="39"/>
    <s v="month"/>
    <x v="0"/>
    <n v="6"/>
  </r>
  <r>
    <n v="220244827"/>
    <x v="348"/>
    <x v="0"/>
    <x v="0"/>
    <n v="39"/>
    <s v="month"/>
    <x v="0"/>
    <n v="6"/>
  </r>
  <r>
    <n v="219612883"/>
    <x v="348"/>
    <x v="0"/>
    <x v="0"/>
    <n v="39"/>
    <s v="month"/>
    <x v="0"/>
    <n v="6"/>
  </r>
  <r>
    <n v="217914279"/>
    <x v="348"/>
    <x v="0"/>
    <x v="0"/>
    <n v="39"/>
    <s v="month"/>
    <x v="0"/>
    <n v="6"/>
  </r>
  <r>
    <n v="220171851"/>
    <x v="348"/>
    <x v="0"/>
    <x v="0"/>
    <n v="39"/>
    <s v="month"/>
    <x v="0"/>
    <n v="6"/>
  </r>
  <r>
    <n v="217543308"/>
    <x v="348"/>
    <x v="0"/>
    <x v="0"/>
    <n v="39"/>
    <s v="month"/>
    <x v="0"/>
    <n v="6"/>
  </r>
  <r>
    <n v="157008330"/>
    <x v="348"/>
    <x v="63"/>
    <x v="0"/>
    <n v="39"/>
    <s v="month"/>
    <x v="11"/>
    <n v="6"/>
  </r>
  <r>
    <n v="206063908"/>
    <x v="348"/>
    <x v="290"/>
    <x v="0"/>
    <n v="39"/>
    <s v="month"/>
    <x v="40"/>
    <n v="6"/>
  </r>
  <r>
    <n v="220182716"/>
    <x v="348"/>
    <x v="295"/>
    <x v="1"/>
    <n v="39"/>
    <s v="month"/>
    <x v="1"/>
    <n v="6"/>
  </r>
  <r>
    <n v="202103959"/>
    <x v="349"/>
    <x v="0"/>
    <x v="0"/>
    <n v="39"/>
    <s v="month"/>
    <x v="0"/>
    <n v="7"/>
  </r>
  <r>
    <n v="218757796"/>
    <x v="349"/>
    <x v="0"/>
    <x v="0"/>
    <n v="39"/>
    <s v="month"/>
    <x v="0"/>
    <n v="7"/>
  </r>
  <r>
    <n v="220272556"/>
    <x v="349"/>
    <x v="0"/>
    <x v="0"/>
    <n v="39"/>
    <s v="month"/>
    <x v="0"/>
    <n v="7"/>
  </r>
  <r>
    <n v="219493644"/>
    <x v="349"/>
    <x v="0"/>
    <x v="0"/>
    <n v="39"/>
    <s v="month"/>
    <x v="0"/>
    <n v="7"/>
  </r>
  <r>
    <n v="148996798"/>
    <x v="349"/>
    <x v="0"/>
    <x v="0"/>
    <n v="39"/>
    <s v="month"/>
    <x v="0"/>
    <n v="7"/>
  </r>
  <r>
    <n v="218947678"/>
    <x v="349"/>
    <x v="0"/>
    <x v="0"/>
    <n v="39"/>
    <s v="month"/>
    <x v="0"/>
    <n v="7"/>
  </r>
  <r>
    <n v="119465934"/>
    <x v="349"/>
    <x v="0"/>
    <x v="0"/>
    <n v="39"/>
    <s v="month"/>
    <x v="0"/>
    <n v="7"/>
  </r>
  <r>
    <n v="219195061"/>
    <x v="349"/>
    <x v="0"/>
    <x v="0"/>
    <n v="39"/>
    <s v="month"/>
    <x v="0"/>
    <n v="7"/>
  </r>
  <r>
    <n v="219637590"/>
    <x v="349"/>
    <x v="333"/>
    <x v="0"/>
    <n v="39"/>
    <s v="month"/>
    <x v="230"/>
    <n v="7"/>
  </r>
  <r>
    <n v="218878930"/>
    <x v="350"/>
    <x v="0"/>
    <x v="0"/>
    <n v="39"/>
    <s v="month"/>
    <x v="0"/>
    <n v="1"/>
  </r>
  <r>
    <n v="134622358"/>
    <x v="350"/>
    <x v="0"/>
    <x v="0"/>
    <n v="39"/>
    <s v="month"/>
    <x v="0"/>
    <n v="1"/>
  </r>
  <r>
    <n v="219237524"/>
    <x v="350"/>
    <x v="0"/>
    <x v="0"/>
    <n v="39"/>
    <s v="month"/>
    <x v="0"/>
    <n v="1"/>
  </r>
  <r>
    <n v="147320092"/>
    <x v="350"/>
    <x v="0"/>
    <x v="0"/>
    <n v="39"/>
    <s v="month"/>
    <x v="0"/>
    <n v="1"/>
  </r>
  <r>
    <n v="219953886"/>
    <x v="350"/>
    <x v="0"/>
    <x v="0"/>
    <n v="39"/>
    <s v="month"/>
    <x v="0"/>
    <n v="1"/>
  </r>
  <r>
    <n v="207013932"/>
    <x v="350"/>
    <x v="339"/>
    <x v="1"/>
    <n v="39"/>
    <s v="month"/>
    <x v="11"/>
    <n v="1"/>
  </r>
  <r>
    <n v="205274562"/>
    <x v="351"/>
    <x v="0"/>
    <x v="0"/>
    <n v="39"/>
    <s v="month"/>
    <x v="0"/>
    <n v="2"/>
  </r>
  <r>
    <n v="152698255"/>
    <x v="351"/>
    <x v="0"/>
    <x v="0"/>
    <n v="39"/>
    <s v="month"/>
    <x v="0"/>
    <n v="2"/>
  </r>
  <r>
    <n v="209361492"/>
    <x v="351"/>
    <x v="0"/>
    <x v="0"/>
    <n v="39"/>
    <s v="month"/>
    <x v="0"/>
    <n v="2"/>
  </r>
  <r>
    <n v="205530810"/>
    <x v="351"/>
    <x v="0"/>
    <x v="0"/>
    <n v="39"/>
    <s v="month"/>
    <x v="0"/>
    <n v="2"/>
  </r>
  <r>
    <n v="220343801"/>
    <x v="351"/>
    <x v="0"/>
    <x v="0"/>
    <n v="39"/>
    <s v="month"/>
    <x v="0"/>
    <n v="2"/>
  </r>
  <r>
    <n v="150441222"/>
    <x v="351"/>
    <x v="0"/>
    <x v="0"/>
    <n v="39"/>
    <s v="month"/>
    <x v="0"/>
    <n v="2"/>
  </r>
  <r>
    <n v="214640803"/>
    <x v="351"/>
    <x v="0"/>
    <x v="0"/>
    <n v="39"/>
    <s v="month"/>
    <x v="0"/>
    <n v="2"/>
  </r>
  <r>
    <n v="219569853"/>
    <x v="351"/>
    <x v="0"/>
    <x v="0"/>
    <n v="39"/>
    <s v="month"/>
    <x v="0"/>
    <n v="2"/>
  </r>
  <r>
    <n v="220197494"/>
    <x v="351"/>
    <x v="0"/>
    <x v="0"/>
    <n v="39"/>
    <s v="month"/>
    <x v="0"/>
    <n v="2"/>
  </r>
  <r>
    <n v="220323698"/>
    <x v="351"/>
    <x v="0"/>
    <x v="0"/>
    <n v="39"/>
    <s v="month"/>
    <x v="0"/>
    <n v="2"/>
  </r>
  <r>
    <n v="215180470"/>
    <x v="351"/>
    <x v="190"/>
    <x v="0"/>
    <n v="39"/>
    <s v="month"/>
    <x v="11"/>
    <n v="2"/>
  </r>
  <r>
    <n v="177323966"/>
    <x v="351"/>
    <x v="331"/>
    <x v="0"/>
    <n v="39"/>
    <s v="month"/>
    <x v="42"/>
    <n v="2"/>
  </r>
  <r>
    <n v="214682826"/>
    <x v="351"/>
    <x v="313"/>
    <x v="0"/>
    <n v="39"/>
    <s v="month"/>
    <x v="1"/>
    <n v="2"/>
  </r>
  <r>
    <n v="220414820"/>
    <x v="352"/>
    <x v="0"/>
    <x v="0"/>
    <n v="39"/>
    <s v="month"/>
    <x v="0"/>
    <n v="3"/>
  </r>
  <r>
    <n v="214682826"/>
    <x v="352"/>
    <x v="0"/>
    <x v="0"/>
    <n v="39"/>
    <s v="month"/>
    <x v="0"/>
    <n v="3"/>
  </r>
  <r>
    <n v="206147500"/>
    <x v="352"/>
    <x v="0"/>
    <x v="0"/>
    <n v="39"/>
    <s v="month"/>
    <x v="0"/>
    <n v="3"/>
  </r>
  <r>
    <n v="220402308"/>
    <x v="352"/>
    <x v="0"/>
    <x v="0"/>
    <n v="39"/>
    <s v="month"/>
    <x v="0"/>
    <n v="3"/>
  </r>
  <r>
    <n v="220205806"/>
    <x v="352"/>
    <x v="0"/>
    <x v="0"/>
    <n v="39"/>
    <s v="month"/>
    <x v="0"/>
    <n v="3"/>
  </r>
  <r>
    <n v="152792045"/>
    <x v="352"/>
    <x v="0"/>
    <x v="0"/>
    <n v="39"/>
    <s v="month"/>
    <x v="0"/>
    <n v="3"/>
  </r>
  <r>
    <n v="220381016"/>
    <x v="352"/>
    <x v="0"/>
    <x v="0"/>
    <n v="39"/>
    <s v="month"/>
    <x v="0"/>
    <n v="3"/>
  </r>
  <r>
    <n v="220385078"/>
    <x v="352"/>
    <x v="0"/>
    <x v="0"/>
    <n v="39"/>
    <s v="month"/>
    <x v="0"/>
    <n v="3"/>
  </r>
  <r>
    <n v="220414853"/>
    <x v="352"/>
    <x v="0"/>
    <x v="0"/>
    <n v="39"/>
    <s v="month"/>
    <x v="0"/>
    <n v="3"/>
  </r>
  <r>
    <n v="220366524"/>
    <x v="352"/>
    <x v="0"/>
    <x v="0"/>
    <n v="39"/>
    <s v="month"/>
    <x v="0"/>
    <n v="3"/>
  </r>
  <r>
    <n v="220407436"/>
    <x v="352"/>
    <x v="225"/>
    <x v="1"/>
    <n v="39"/>
    <s v="month"/>
    <x v="1"/>
    <n v="3"/>
  </r>
  <r>
    <n v="192182455"/>
    <x v="353"/>
    <x v="0"/>
    <x v="0"/>
    <n v="39"/>
    <s v="month"/>
    <x v="0"/>
    <n v="4"/>
  </r>
  <r>
    <n v="219439597"/>
    <x v="353"/>
    <x v="0"/>
    <x v="0"/>
    <n v="39"/>
    <s v="month"/>
    <x v="0"/>
    <n v="4"/>
  </r>
  <r>
    <n v="219576812"/>
    <x v="353"/>
    <x v="0"/>
    <x v="0"/>
    <n v="39"/>
    <s v="month"/>
    <x v="0"/>
    <n v="4"/>
  </r>
  <r>
    <n v="143111905"/>
    <x v="353"/>
    <x v="0"/>
    <x v="0"/>
    <n v="39"/>
    <s v="month"/>
    <x v="0"/>
    <n v="4"/>
  </r>
  <r>
    <n v="123297208"/>
    <x v="353"/>
    <x v="0"/>
    <x v="0"/>
    <n v="39"/>
    <s v="month"/>
    <x v="0"/>
    <n v="4"/>
  </r>
  <r>
    <n v="213194584"/>
    <x v="353"/>
    <x v="0"/>
    <x v="0"/>
    <n v="39"/>
    <s v="month"/>
    <x v="0"/>
    <n v="4"/>
  </r>
  <r>
    <n v="220455205"/>
    <x v="353"/>
    <x v="0"/>
    <x v="0"/>
    <n v="39"/>
    <s v="month"/>
    <x v="0"/>
    <n v="4"/>
  </r>
  <r>
    <n v="220425056"/>
    <x v="353"/>
    <x v="0"/>
    <x v="0"/>
    <n v="39"/>
    <s v="month"/>
    <x v="0"/>
    <n v="4"/>
  </r>
  <r>
    <n v="219685108"/>
    <x v="353"/>
    <x v="0"/>
    <x v="0"/>
    <n v="39"/>
    <s v="month"/>
    <x v="0"/>
    <n v="4"/>
  </r>
  <r>
    <n v="220531090"/>
    <x v="354"/>
    <x v="0"/>
    <x v="0"/>
    <n v="39"/>
    <s v="month"/>
    <x v="0"/>
    <n v="5"/>
  </r>
  <r>
    <n v="220510482"/>
    <x v="354"/>
    <x v="0"/>
    <x v="0"/>
    <n v="39"/>
    <s v="month"/>
    <x v="0"/>
    <n v="5"/>
  </r>
  <r>
    <n v="149856123"/>
    <x v="354"/>
    <x v="0"/>
    <x v="0"/>
    <n v="39"/>
    <s v="month"/>
    <x v="0"/>
    <n v="5"/>
  </r>
  <r>
    <n v="217506938"/>
    <x v="354"/>
    <x v="0"/>
    <x v="0"/>
    <n v="39"/>
    <s v="month"/>
    <x v="0"/>
    <n v="5"/>
  </r>
  <r>
    <n v="189403535"/>
    <x v="354"/>
    <x v="0"/>
    <x v="0"/>
    <n v="39"/>
    <s v="month"/>
    <x v="0"/>
    <n v="5"/>
  </r>
  <r>
    <n v="132318451"/>
    <x v="354"/>
    <x v="333"/>
    <x v="0"/>
    <n v="39"/>
    <s v="month"/>
    <x v="1"/>
    <n v="5"/>
  </r>
  <r>
    <n v="220495479"/>
    <x v="354"/>
    <x v="333"/>
    <x v="1"/>
    <n v="39"/>
    <s v="month"/>
    <x v="1"/>
    <n v="5"/>
  </r>
  <r>
    <n v="164903790"/>
    <x v="355"/>
    <x v="0"/>
    <x v="0"/>
    <n v="39"/>
    <s v="month"/>
    <x v="0"/>
    <n v="6"/>
  </r>
  <r>
    <n v="220371835"/>
    <x v="355"/>
    <x v="0"/>
    <x v="0"/>
    <n v="39"/>
    <s v="month"/>
    <x v="0"/>
    <n v="6"/>
  </r>
  <r>
    <n v="125932988"/>
    <x v="355"/>
    <x v="0"/>
    <x v="0"/>
    <n v="39"/>
    <s v="month"/>
    <x v="0"/>
    <n v="6"/>
  </r>
  <r>
    <n v="214924190"/>
    <x v="355"/>
    <x v="0"/>
    <x v="0"/>
    <n v="39"/>
    <s v="month"/>
    <x v="0"/>
    <n v="6"/>
  </r>
  <r>
    <n v="117300170"/>
    <x v="355"/>
    <x v="0"/>
    <x v="0"/>
    <n v="39"/>
    <s v="month"/>
    <x v="0"/>
    <n v="6"/>
  </r>
  <r>
    <n v="162913792"/>
    <x v="355"/>
    <x v="0"/>
    <x v="0"/>
    <n v="39"/>
    <s v="month"/>
    <x v="0"/>
    <n v="6"/>
  </r>
  <r>
    <n v="220551506"/>
    <x v="355"/>
    <x v="0"/>
    <x v="0"/>
    <n v="39"/>
    <s v="month"/>
    <x v="0"/>
    <n v="6"/>
  </r>
  <r>
    <n v="161187523"/>
    <x v="355"/>
    <x v="0"/>
    <x v="0"/>
    <n v="39"/>
    <s v="month"/>
    <x v="0"/>
    <n v="6"/>
  </r>
  <r>
    <n v="220562110"/>
    <x v="355"/>
    <x v="262"/>
    <x v="1"/>
    <n v="39"/>
    <s v="month"/>
    <x v="1"/>
    <n v="6"/>
  </r>
  <r>
    <n v="220589305"/>
    <x v="356"/>
    <x v="0"/>
    <x v="0"/>
    <n v="39"/>
    <s v="month"/>
    <x v="0"/>
    <n v="7"/>
  </r>
  <r>
    <n v="220496139"/>
    <x v="356"/>
    <x v="0"/>
    <x v="0"/>
    <n v="39"/>
    <s v="month"/>
    <x v="0"/>
    <n v="7"/>
  </r>
  <r>
    <n v="219211334"/>
    <x v="356"/>
    <x v="0"/>
    <x v="0"/>
    <n v="39"/>
    <s v="month"/>
    <x v="0"/>
    <n v="7"/>
  </r>
  <r>
    <n v="220582817"/>
    <x v="356"/>
    <x v="0"/>
    <x v="0"/>
    <n v="39"/>
    <s v="month"/>
    <x v="0"/>
    <n v="7"/>
  </r>
  <r>
    <n v="217513777"/>
    <x v="356"/>
    <x v="331"/>
    <x v="0"/>
    <n v="39"/>
    <s v="month"/>
    <x v="208"/>
    <n v="7"/>
  </r>
  <r>
    <n v="220576148"/>
    <x v="356"/>
    <x v="294"/>
    <x v="0"/>
    <n v="39"/>
    <s v="month"/>
    <x v="79"/>
    <n v="7"/>
  </r>
  <r>
    <n v="219294264"/>
    <x v="357"/>
    <x v="0"/>
    <x v="0"/>
    <n v="39"/>
    <s v="month"/>
    <x v="0"/>
    <n v="1"/>
  </r>
  <r>
    <n v="220617197"/>
    <x v="357"/>
    <x v="0"/>
    <x v="0"/>
    <n v="39"/>
    <s v="month"/>
    <x v="0"/>
    <n v="1"/>
  </r>
  <r>
    <n v="220227691"/>
    <x v="357"/>
    <x v="0"/>
    <x v="0"/>
    <n v="39"/>
    <s v="month"/>
    <x v="0"/>
    <n v="1"/>
  </r>
  <r>
    <n v="220672607"/>
    <x v="358"/>
    <x v="0"/>
    <x v="0"/>
    <n v="39"/>
    <s v="month"/>
    <x v="0"/>
    <n v="2"/>
  </r>
  <r>
    <n v="218608353"/>
    <x v="358"/>
    <x v="0"/>
    <x v="0"/>
    <n v="39"/>
    <s v="month"/>
    <x v="0"/>
    <n v="2"/>
  </r>
  <r>
    <n v="135128238"/>
    <x v="358"/>
    <x v="0"/>
    <x v="0"/>
    <n v="39"/>
    <s v="month"/>
    <x v="0"/>
    <n v="2"/>
  </r>
  <r>
    <n v="220285147"/>
    <x v="358"/>
    <x v="0"/>
    <x v="0"/>
    <n v="39"/>
    <s v="month"/>
    <x v="0"/>
    <n v="2"/>
  </r>
  <r>
    <n v="218645057"/>
    <x v="358"/>
    <x v="0"/>
    <x v="0"/>
    <n v="39"/>
    <s v="month"/>
    <x v="0"/>
    <n v="2"/>
  </r>
  <r>
    <n v="128199550"/>
    <x v="358"/>
    <x v="335"/>
    <x v="0"/>
    <n v="39"/>
    <s v="month"/>
    <x v="175"/>
    <n v="2"/>
  </r>
  <r>
    <n v="220747618"/>
    <x v="359"/>
    <x v="0"/>
    <x v="0"/>
    <n v="39"/>
    <s v="month"/>
    <x v="0"/>
    <n v="3"/>
  </r>
  <r>
    <n v="207386830"/>
    <x v="359"/>
    <x v="0"/>
    <x v="0"/>
    <n v="39"/>
    <s v="month"/>
    <x v="0"/>
    <n v="3"/>
  </r>
  <r>
    <n v="205109812"/>
    <x v="359"/>
    <x v="0"/>
    <x v="0"/>
    <n v="39"/>
    <s v="month"/>
    <x v="0"/>
    <n v="3"/>
  </r>
  <r>
    <n v="132318451"/>
    <x v="359"/>
    <x v="0"/>
    <x v="0"/>
    <n v="39"/>
    <s v="month"/>
    <x v="0"/>
    <n v="3"/>
  </r>
  <r>
    <n v="218596318"/>
    <x v="359"/>
    <x v="0"/>
    <x v="0"/>
    <n v="39"/>
    <s v="month"/>
    <x v="0"/>
    <n v="3"/>
  </r>
  <r>
    <n v="220699520"/>
    <x v="359"/>
    <x v="0"/>
    <x v="0"/>
    <n v="39"/>
    <s v="month"/>
    <x v="0"/>
    <n v="3"/>
  </r>
  <r>
    <n v="218307579"/>
    <x v="359"/>
    <x v="0"/>
    <x v="0"/>
    <n v="39"/>
    <s v="month"/>
    <x v="0"/>
    <n v="3"/>
  </r>
  <r>
    <n v="218514844"/>
    <x v="360"/>
    <x v="0"/>
    <x v="0"/>
    <n v="39"/>
    <s v="month"/>
    <x v="0"/>
    <n v="4"/>
  </r>
  <r>
    <n v="188622328"/>
    <x v="360"/>
    <x v="0"/>
    <x v="0"/>
    <n v="39"/>
    <s v="month"/>
    <x v="0"/>
    <n v="4"/>
  </r>
  <r>
    <n v="220790640"/>
    <x v="360"/>
    <x v="0"/>
    <x v="0"/>
    <n v="39"/>
    <s v="month"/>
    <x v="0"/>
    <n v="4"/>
  </r>
  <r>
    <n v="220675005"/>
    <x v="360"/>
    <x v="0"/>
    <x v="0"/>
    <n v="39"/>
    <s v="month"/>
    <x v="0"/>
    <n v="4"/>
  </r>
  <r>
    <n v="142757196"/>
    <x v="360"/>
    <x v="0"/>
    <x v="0"/>
    <n v="39"/>
    <s v="month"/>
    <x v="0"/>
    <n v="4"/>
  </r>
  <r>
    <n v="220411940"/>
    <x v="360"/>
    <x v="0"/>
    <x v="0"/>
    <n v="39"/>
    <s v="month"/>
    <x v="0"/>
    <n v="4"/>
  </r>
  <r>
    <n v="155613371"/>
    <x v="360"/>
    <x v="0"/>
    <x v="0"/>
    <n v="39"/>
    <s v="month"/>
    <x v="0"/>
    <n v="4"/>
  </r>
  <r>
    <n v="164548755"/>
    <x v="360"/>
    <x v="0"/>
    <x v="0"/>
    <n v="39"/>
    <s v="month"/>
    <x v="0"/>
    <n v="4"/>
  </r>
  <r>
    <n v="220546810"/>
    <x v="360"/>
    <x v="0"/>
    <x v="0"/>
    <n v="39"/>
    <s v="month"/>
    <x v="0"/>
    <n v="4"/>
  </r>
  <r>
    <n v="215202566"/>
    <x v="360"/>
    <x v="211"/>
    <x v="0"/>
    <n v="39"/>
    <s v="month"/>
    <x v="11"/>
    <n v="4"/>
  </r>
  <r>
    <n v="135092264"/>
    <x v="361"/>
    <x v="0"/>
    <x v="0"/>
    <n v="39"/>
    <s v="month"/>
    <x v="0"/>
    <n v="5"/>
  </r>
  <r>
    <n v="220854418"/>
    <x v="361"/>
    <x v="0"/>
    <x v="0"/>
    <n v="39"/>
    <s v="month"/>
    <x v="0"/>
    <n v="5"/>
  </r>
  <r>
    <n v="220851140"/>
    <x v="361"/>
    <x v="0"/>
    <x v="0"/>
    <n v="39"/>
    <s v="month"/>
    <x v="0"/>
    <n v="5"/>
  </r>
  <r>
    <n v="220843911"/>
    <x v="361"/>
    <x v="0"/>
    <x v="0"/>
    <n v="39"/>
    <s v="month"/>
    <x v="0"/>
    <n v="5"/>
  </r>
  <r>
    <n v="216137022"/>
    <x v="361"/>
    <x v="0"/>
    <x v="0"/>
    <n v="39"/>
    <s v="month"/>
    <x v="0"/>
    <n v="5"/>
  </r>
  <r>
    <n v="161151062"/>
    <x v="361"/>
    <x v="0"/>
    <x v="0"/>
    <n v="39"/>
    <s v="month"/>
    <x v="0"/>
    <n v="5"/>
  </r>
  <r>
    <n v="148085880"/>
    <x v="361"/>
    <x v="0"/>
    <x v="0"/>
    <n v="39"/>
    <s v="month"/>
    <x v="0"/>
    <n v="5"/>
  </r>
  <r>
    <n v="182061738"/>
    <x v="362"/>
    <x v="0"/>
    <x v="0"/>
    <n v="39"/>
    <s v="month"/>
    <x v="0"/>
    <n v="6"/>
  </r>
  <r>
    <n v="220860582"/>
    <x v="362"/>
    <x v="0"/>
    <x v="0"/>
    <n v="39"/>
    <s v="month"/>
    <x v="0"/>
    <n v="6"/>
  </r>
  <r>
    <n v="218315334"/>
    <x v="362"/>
    <x v="0"/>
    <x v="0"/>
    <n v="39"/>
    <s v="month"/>
    <x v="0"/>
    <n v="6"/>
  </r>
  <r>
    <n v="217246008"/>
    <x v="362"/>
    <x v="0"/>
    <x v="0"/>
    <n v="39"/>
    <s v="month"/>
    <x v="0"/>
    <n v="6"/>
  </r>
  <r>
    <n v="220835326"/>
    <x v="362"/>
    <x v="0"/>
    <x v="0"/>
    <n v="39"/>
    <s v="month"/>
    <x v="0"/>
    <n v="6"/>
  </r>
  <r>
    <n v="219470485"/>
    <x v="362"/>
    <x v="0"/>
    <x v="0"/>
    <n v="39"/>
    <s v="month"/>
    <x v="0"/>
    <n v="6"/>
  </r>
  <r>
    <n v="182153913"/>
    <x v="363"/>
    <x v="0"/>
    <x v="0"/>
    <n v="39"/>
    <s v="month"/>
    <x v="0"/>
    <n v="7"/>
  </r>
  <r>
    <n v="217223132"/>
    <x v="363"/>
    <x v="0"/>
    <x v="0"/>
    <n v="39"/>
    <s v="month"/>
    <x v="0"/>
    <n v="7"/>
  </r>
  <r>
    <n v="219643599"/>
    <x v="363"/>
    <x v="0"/>
    <x v="0"/>
    <n v="39"/>
    <s v="month"/>
    <x v="0"/>
    <n v="7"/>
  </r>
  <r>
    <n v="152851458"/>
    <x v="363"/>
    <x v="0"/>
    <x v="0"/>
    <n v="39"/>
    <s v="month"/>
    <x v="0"/>
    <n v="7"/>
  </r>
  <r>
    <n v="219657672"/>
    <x v="363"/>
    <x v="0"/>
    <x v="0"/>
    <n v="39"/>
    <s v="month"/>
    <x v="0"/>
    <n v="7"/>
  </r>
  <r>
    <n v="220973656"/>
    <x v="364"/>
    <x v="0"/>
    <x v="0"/>
    <n v="39"/>
    <s v="month"/>
    <x v="0"/>
    <n v="1"/>
  </r>
  <r>
    <n v="159717680"/>
    <x v="364"/>
    <x v="0"/>
    <x v="0"/>
    <n v="39"/>
    <s v="month"/>
    <x v="0"/>
    <n v="1"/>
  </r>
  <r>
    <n v="220420126"/>
    <x v="364"/>
    <x v="0"/>
    <x v="0"/>
    <n v="39"/>
    <s v="month"/>
    <x v="0"/>
    <n v="1"/>
  </r>
  <r>
    <n v="220965750"/>
    <x v="364"/>
    <x v="0"/>
    <x v="0"/>
    <n v="39"/>
    <s v="month"/>
    <x v="0"/>
    <n v="1"/>
  </r>
  <r>
    <n v="219065931"/>
    <x v="364"/>
    <x v="0"/>
    <x v="0"/>
    <n v="39"/>
    <s v="month"/>
    <x v="0"/>
    <n v="1"/>
  </r>
  <r>
    <n v="220707034"/>
    <x v="364"/>
    <x v="0"/>
    <x v="0"/>
    <n v="39"/>
    <s v="month"/>
    <x v="0"/>
    <n v="1"/>
  </r>
  <r>
    <n v="220875396"/>
    <x v="364"/>
    <x v="0"/>
    <x v="0"/>
    <n v="39"/>
    <s v="month"/>
    <x v="0"/>
    <n v="1"/>
  </r>
  <r>
    <n v="134054676"/>
    <x v="364"/>
    <x v="294"/>
    <x v="0"/>
    <n v="39"/>
    <s v="month"/>
    <x v="208"/>
    <n v="1"/>
  </r>
  <r>
    <n v="183702574"/>
    <x v="364"/>
    <x v="302"/>
    <x v="0"/>
    <n v="39"/>
    <s v="month"/>
    <x v="11"/>
    <n v="1"/>
  </r>
  <r>
    <n v="220997288"/>
    <x v="365"/>
    <x v="0"/>
    <x v="0"/>
    <n v="39"/>
    <s v="month"/>
    <x v="0"/>
    <n v="2"/>
  </r>
  <r>
    <n v="218617631"/>
    <x v="365"/>
    <x v="0"/>
    <x v="0"/>
    <n v="39"/>
    <s v="month"/>
    <x v="0"/>
    <n v="2"/>
  </r>
  <r>
    <n v="220952702"/>
    <x v="365"/>
    <x v="0"/>
    <x v="0"/>
    <n v="39"/>
    <s v="month"/>
    <x v="0"/>
    <n v="2"/>
  </r>
  <r>
    <n v="156460574"/>
    <x v="365"/>
    <x v="0"/>
    <x v="0"/>
    <n v="39"/>
    <s v="month"/>
    <x v="0"/>
    <n v="2"/>
  </r>
  <r>
    <n v="221012872"/>
    <x v="365"/>
    <x v="0"/>
    <x v="0"/>
    <n v="39"/>
    <s v="month"/>
    <x v="0"/>
    <n v="2"/>
  </r>
  <r>
    <n v="220845656"/>
    <x v="365"/>
    <x v="0"/>
    <x v="0"/>
    <n v="39"/>
    <s v="month"/>
    <x v="0"/>
    <n v="2"/>
  </r>
  <r>
    <n v="220989516"/>
    <x v="365"/>
    <x v="0"/>
    <x v="0"/>
    <n v="39"/>
    <s v="month"/>
    <x v="0"/>
    <n v="2"/>
  </r>
  <r>
    <n v="135317128"/>
    <x v="365"/>
    <x v="0"/>
    <x v="0"/>
    <n v="39"/>
    <s v="month"/>
    <x v="0"/>
    <n v="2"/>
  </r>
  <r>
    <n v="220984730"/>
    <x v="365"/>
    <x v="0"/>
    <x v="0"/>
    <n v="39"/>
    <s v="month"/>
    <x v="0"/>
    <n v="2"/>
  </r>
  <r>
    <n v="220984628"/>
    <x v="365"/>
    <x v="0"/>
    <x v="0"/>
    <n v="39"/>
    <s v="month"/>
    <x v="0"/>
    <n v="2"/>
  </r>
  <r>
    <n v="220989226"/>
    <x v="365"/>
    <x v="0"/>
    <x v="0"/>
    <n v="39"/>
    <s v="month"/>
    <x v="0"/>
    <n v="2"/>
  </r>
  <r>
    <n v="220988969"/>
    <x v="365"/>
    <x v="0"/>
    <x v="0"/>
    <n v="39"/>
    <s v="month"/>
    <x v="0"/>
    <n v="2"/>
  </r>
  <r>
    <n v="220988022"/>
    <x v="365"/>
    <x v="0"/>
    <x v="0"/>
    <n v="39"/>
    <s v="month"/>
    <x v="0"/>
    <n v="2"/>
  </r>
  <r>
    <n v="220984390"/>
    <x v="365"/>
    <x v="0"/>
    <x v="0"/>
    <n v="39"/>
    <s v="month"/>
    <x v="0"/>
    <n v="2"/>
  </r>
  <r>
    <n v="181480437"/>
    <x v="365"/>
    <x v="0"/>
    <x v="0"/>
    <n v="39"/>
    <s v="month"/>
    <x v="0"/>
    <n v="2"/>
  </r>
  <r>
    <n v="125219153"/>
    <x v="366"/>
    <x v="0"/>
    <x v="0"/>
    <n v="39"/>
    <s v="month"/>
    <x v="0"/>
    <n v="3"/>
  </r>
  <r>
    <n v="160833652"/>
    <x v="366"/>
    <x v="0"/>
    <x v="0"/>
    <n v="39"/>
    <s v="month"/>
    <x v="0"/>
    <n v="3"/>
  </r>
  <r>
    <n v="221073196"/>
    <x v="366"/>
    <x v="0"/>
    <x v="0"/>
    <n v="39"/>
    <s v="month"/>
    <x v="0"/>
    <n v="3"/>
  </r>
  <r>
    <n v="153733292"/>
    <x v="366"/>
    <x v="0"/>
    <x v="0"/>
    <n v="39"/>
    <s v="month"/>
    <x v="0"/>
    <n v="3"/>
  </r>
  <r>
    <n v="152692003"/>
    <x v="366"/>
    <x v="0"/>
    <x v="0"/>
    <n v="39"/>
    <s v="month"/>
    <x v="0"/>
    <n v="3"/>
  </r>
  <r>
    <n v="220528931"/>
    <x v="366"/>
    <x v="0"/>
    <x v="0"/>
    <n v="39"/>
    <s v="month"/>
    <x v="0"/>
    <n v="3"/>
  </r>
  <r>
    <n v="221052611"/>
    <x v="366"/>
    <x v="0"/>
    <x v="0"/>
    <n v="39"/>
    <s v="month"/>
    <x v="0"/>
    <n v="3"/>
  </r>
  <r>
    <n v="220665801"/>
    <x v="366"/>
    <x v="0"/>
    <x v="0"/>
    <n v="39"/>
    <s v="month"/>
    <x v="0"/>
    <n v="3"/>
  </r>
  <r>
    <n v="221028388"/>
    <x v="366"/>
    <x v="0"/>
    <x v="0"/>
    <n v="39"/>
    <s v="month"/>
    <x v="0"/>
    <n v="3"/>
  </r>
  <r>
    <n v="206284545"/>
    <x v="366"/>
    <x v="0"/>
    <x v="0"/>
    <n v="39"/>
    <s v="month"/>
    <x v="0"/>
    <n v="3"/>
  </r>
  <r>
    <n v="178531928"/>
    <x v="366"/>
    <x v="0"/>
    <x v="0"/>
    <n v="39"/>
    <s v="month"/>
    <x v="0"/>
    <n v="3"/>
  </r>
  <r>
    <n v="220994271"/>
    <x v="366"/>
    <x v="0"/>
    <x v="0"/>
    <n v="39"/>
    <s v="month"/>
    <x v="0"/>
    <n v="3"/>
  </r>
  <r>
    <n v="218720472"/>
    <x v="366"/>
    <x v="0"/>
    <x v="0"/>
    <n v="39"/>
    <s v="month"/>
    <x v="0"/>
    <n v="3"/>
  </r>
  <r>
    <n v="218900441"/>
    <x v="367"/>
    <x v="0"/>
    <x v="0"/>
    <n v="39"/>
    <s v="month"/>
    <x v="0"/>
    <n v="4"/>
  </r>
  <r>
    <n v="221123938"/>
    <x v="367"/>
    <x v="0"/>
    <x v="0"/>
    <n v="39"/>
    <s v="month"/>
    <x v="0"/>
    <n v="4"/>
  </r>
  <r>
    <n v="166750222"/>
    <x v="367"/>
    <x v="0"/>
    <x v="0"/>
    <n v="39"/>
    <s v="month"/>
    <x v="0"/>
    <n v="4"/>
  </r>
  <r>
    <n v="154783053"/>
    <x v="367"/>
    <x v="0"/>
    <x v="0"/>
    <n v="39"/>
    <s v="month"/>
    <x v="0"/>
    <n v="4"/>
  </r>
  <r>
    <n v="221100604"/>
    <x v="367"/>
    <x v="0"/>
    <x v="0"/>
    <n v="39"/>
    <s v="month"/>
    <x v="0"/>
    <n v="4"/>
  </r>
  <r>
    <n v="220703723"/>
    <x v="367"/>
    <x v="0"/>
    <x v="0"/>
    <n v="39"/>
    <s v="month"/>
    <x v="0"/>
    <n v="4"/>
  </r>
  <r>
    <n v="220815627"/>
    <x v="367"/>
    <x v="0"/>
    <x v="0"/>
    <n v="39"/>
    <s v="month"/>
    <x v="0"/>
    <n v="4"/>
  </r>
  <r>
    <n v="214764106"/>
    <x v="367"/>
    <x v="0"/>
    <x v="0"/>
    <n v="39"/>
    <s v="month"/>
    <x v="0"/>
    <n v="4"/>
  </r>
  <r>
    <n v="158763940"/>
    <x v="368"/>
    <x v="0"/>
    <x v="0"/>
    <n v="39"/>
    <s v="month"/>
    <x v="0"/>
    <n v="5"/>
  </r>
  <r>
    <n v="220065316"/>
    <x v="368"/>
    <x v="0"/>
    <x v="0"/>
    <n v="39"/>
    <s v="month"/>
    <x v="0"/>
    <n v="5"/>
  </r>
  <r>
    <n v="217662862"/>
    <x v="368"/>
    <x v="0"/>
    <x v="0"/>
    <n v="39"/>
    <s v="month"/>
    <x v="0"/>
    <n v="5"/>
  </r>
  <r>
    <n v="220328388"/>
    <x v="368"/>
    <x v="0"/>
    <x v="0"/>
    <n v="39"/>
    <s v="month"/>
    <x v="0"/>
    <n v="5"/>
  </r>
  <r>
    <n v="219521019"/>
    <x v="368"/>
    <x v="0"/>
    <x v="0"/>
    <n v="39"/>
    <s v="month"/>
    <x v="0"/>
    <n v="5"/>
  </r>
  <r>
    <n v="221145374"/>
    <x v="368"/>
    <x v="0"/>
    <x v="0"/>
    <n v="39"/>
    <s v="month"/>
    <x v="0"/>
    <n v="5"/>
  </r>
  <r>
    <n v="221130434"/>
    <x v="368"/>
    <x v="0"/>
    <x v="0"/>
    <n v="39"/>
    <s v="month"/>
    <x v="0"/>
    <n v="5"/>
  </r>
  <r>
    <n v="221189604"/>
    <x v="369"/>
    <x v="0"/>
    <x v="0"/>
    <n v="39"/>
    <s v="month"/>
    <x v="0"/>
    <n v="6"/>
  </r>
  <r>
    <n v="215174643"/>
    <x v="369"/>
    <x v="0"/>
    <x v="0"/>
    <n v="39"/>
    <s v="month"/>
    <x v="0"/>
    <n v="6"/>
  </r>
  <r>
    <n v="188354637"/>
    <x v="369"/>
    <x v="0"/>
    <x v="0"/>
    <n v="39"/>
    <s v="month"/>
    <x v="0"/>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7D221F-909E-4230-9004-04BD169F7E52}"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2:B15"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sd="0" x="1"/>
        <item sd="0" x="2"/>
        <item h="1" sd="0" x="3"/>
        <item t="default"/>
      </items>
    </pivotField>
  </pivotFields>
  <rowFields count="1">
    <field x="13"/>
  </rowFields>
  <rowItems count="3">
    <i>
      <x v="1"/>
    </i>
    <i>
      <x v="2"/>
    </i>
    <i t="grand">
      <x/>
    </i>
  </rowItems>
  <colItems count="1">
    <i/>
  </colItems>
  <dataFields count="1">
    <dataField name="Count of canceled_date" fld="2" subtotal="count" baseField="0" baseItem="0"/>
  </dataFields>
  <chartFormats count="1">
    <chartFormat chart="10"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0EC932-77EF-4CFB-9BDB-64D80DD51E46}"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B3:BC209" firstHeaderRow="1"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showAll="0" sortType="descending">
      <items count="238">
        <item h="1" x="11"/>
        <item h="1" x="1"/>
        <item h="1" x="208"/>
        <item h="1" x="175"/>
        <item h="1" x="37"/>
        <item h="1" x="225"/>
        <item h="1" x="230"/>
        <item h="1" x="42"/>
        <item h="1" x="63"/>
        <item h="1" x="173"/>
        <item h="1" x="79"/>
        <item h="1" x="125"/>
        <item h="1" x="71"/>
        <item h="1" x="214"/>
        <item h="1" x="10"/>
        <item h="1" x="134"/>
        <item h="1" x="178"/>
        <item h="1" x="118"/>
        <item h="1" x="23"/>
        <item h="1" x="184"/>
        <item h="1" x="40"/>
        <item h="1" x="86"/>
        <item h="1" x="2"/>
        <item h="1" x="182"/>
        <item h="1" x="15"/>
        <item h="1" x="9"/>
        <item h="1" x="20"/>
        <item h="1" x="62"/>
        <item h="1" x="44"/>
        <item h="1" x="72"/>
        <item h="1"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h="1" x="0"/>
        <item t="default"/>
      </items>
      <autoSortScope>
        <pivotArea dataOnly="0" outline="0" fieldPosition="0">
          <references count="1">
            <reference field="4294967294" count="1" selected="0">
              <x v="0"/>
            </reference>
          </references>
        </pivotArea>
      </autoSortScope>
    </pivotField>
    <pivotField showAll="0"/>
    <pivotField showAll="0">
      <items count="15">
        <item sd="0" x="0"/>
        <item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206">
    <i>
      <x v="38"/>
    </i>
    <i>
      <x v="37"/>
    </i>
    <i>
      <x v="31"/>
    </i>
    <i>
      <x v="68"/>
    </i>
    <i>
      <x v="61"/>
    </i>
    <i>
      <x v="32"/>
    </i>
    <i>
      <x v="34"/>
    </i>
    <i>
      <x v="91"/>
    </i>
    <i>
      <x v="60"/>
    </i>
    <i>
      <x v="99"/>
    </i>
    <i>
      <x v="35"/>
    </i>
    <i>
      <x v="66"/>
    </i>
    <i>
      <x v="58"/>
    </i>
    <i>
      <x v="59"/>
    </i>
    <i>
      <x v="46"/>
    </i>
    <i>
      <x v="50"/>
    </i>
    <i>
      <x v="57"/>
    </i>
    <i>
      <x v="55"/>
    </i>
    <i>
      <x v="49"/>
    </i>
    <i>
      <x v="56"/>
    </i>
    <i>
      <x v="45"/>
    </i>
    <i>
      <x v="85"/>
    </i>
    <i>
      <x v="43"/>
    </i>
    <i>
      <x v="69"/>
    </i>
    <i>
      <x v="97"/>
    </i>
    <i>
      <x v="42"/>
    </i>
    <i>
      <x v="48"/>
    </i>
    <i>
      <x v="89"/>
    </i>
    <i>
      <x v="92"/>
    </i>
    <i>
      <x v="33"/>
    </i>
    <i>
      <x v="62"/>
    </i>
    <i>
      <x v="117"/>
    </i>
    <i>
      <x v="121"/>
    </i>
    <i>
      <x v="124"/>
    </i>
    <i>
      <x v="52"/>
    </i>
    <i>
      <x v="98"/>
    </i>
    <i>
      <x v="105"/>
    </i>
    <i>
      <x v="87"/>
    </i>
    <i>
      <x v="111"/>
    </i>
    <i>
      <x v="39"/>
    </i>
    <i>
      <x v="81"/>
    </i>
    <i>
      <x v="83"/>
    </i>
    <i>
      <x v="90"/>
    </i>
    <i>
      <x v="77"/>
    </i>
    <i>
      <x v="63"/>
    </i>
    <i>
      <x v="76"/>
    </i>
    <i>
      <x v="110"/>
    </i>
    <i>
      <x v="84"/>
    </i>
    <i>
      <x v="40"/>
    </i>
    <i>
      <x v="118"/>
    </i>
    <i>
      <x v="54"/>
    </i>
    <i>
      <x v="120"/>
    </i>
    <i>
      <x v="86"/>
    </i>
    <i>
      <x v="41"/>
    </i>
    <i>
      <x v="70"/>
    </i>
    <i>
      <x v="154"/>
    </i>
    <i>
      <x v="79"/>
    </i>
    <i>
      <x v="67"/>
    </i>
    <i>
      <x v="44"/>
    </i>
    <i>
      <x v="114"/>
    </i>
    <i>
      <x v="177"/>
    </i>
    <i>
      <x v="88"/>
    </i>
    <i>
      <x v="51"/>
    </i>
    <i>
      <x v="178"/>
    </i>
    <i>
      <x v="36"/>
    </i>
    <i>
      <x v="47"/>
    </i>
    <i>
      <x v="53"/>
    </i>
    <i>
      <x v="94"/>
    </i>
    <i>
      <x v="145"/>
    </i>
    <i>
      <x v="71"/>
    </i>
    <i>
      <x v="100"/>
    </i>
    <i>
      <x v="93"/>
    </i>
    <i>
      <x v="144"/>
    </i>
    <i>
      <x v="116"/>
    </i>
    <i>
      <x v="82"/>
    </i>
    <i>
      <x v="64"/>
    </i>
    <i>
      <x v="95"/>
    </i>
    <i>
      <x v="199"/>
    </i>
    <i>
      <x v="147"/>
    </i>
    <i>
      <x v="115"/>
    </i>
    <i>
      <x v="126"/>
    </i>
    <i>
      <x v="74"/>
    </i>
    <i>
      <x v="119"/>
    </i>
    <i>
      <x v="160"/>
    </i>
    <i>
      <x v="109"/>
    </i>
    <i>
      <x v="65"/>
    </i>
    <i>
      <x v="96"/>
    </i>
    <i>
      <x v="125"/>
    </i>
    <i>
      <x v="159"/>
    </i>
    <i>
      <x v="217"/>
    </i>
    <i>
      <x v="227"/>
    </i>
    <i>
      <x v="123"/>
    </i>
    <i>
      <x v="103"/>
    </i>
    <i>
      <x v="72"/>
    </i>
    <i>
      <x v="167"/>
    </i>
    <i>
      <x v="78"/>
    </i>
    <i>
      <x v="186"/>
    </i>
    <i>
      <x v="131"/>
    </i>
    <i>
      <x v="152"/>
    </i>
    <i>
      <x v="113"/>
    </i>
    <i>
      <x v="122"/>
    </i>
    <i>
      <x v="135"/>
    </i>
    <i>
      <x v="166"/>
    </i>
    <i>
      <x v="138"/>
    </i>
    <i>
      <x v="172"/>
    </i>
    <i>
      <x v="140"/>
    </i>
    <i>
      <x v="108"/>
    </i>
    <i>
      <x v="141"/>
    </i>
    <i>
      <x v="73"/>
    </i>
    <i>
      <x v="142"/>
    </i>
    <i>
      <x v="220"/>
    </i>
    <i>
      <x v="75"/>
    </i>
    <i>
      <x v="157"/>
    </i>
    <i>
      <x v="150"/>
    </i>
    <i>
      <x v="191"/>
    </i>
    <i>
      <x v="179"/>
    </i>
    <i>
      <x v="127"/>
    </i>
    <i>
      <x v="206"/>
    </i>
    <i>
      <x v="156"/>
    </i>
    <i>
      <x v="146"/>
    </i>
    <i>
      <x v="134"/>
    </i>
    <i>
      <x v="148"/>
    </i>
    <i>
      <x v="158"/>
    </i>
    <i>
      <x v="196"/>
    </i>
    <i>
      <x v="130"/>
    </i>
    <i>
      <x v="211"/>
    </i>
    <i>
      <x v="226"/>
    </i>
    <i>
      <x v="153"/>
    </i>
    <i>
      <x v="161"/>
    </i>
    <i>
      <x v="101"/>
    </i>
    <i>
      <x v="162"/>
    </i>
    <i>
      <x v="183"/>
    </i>
    <i>
      <x v="164"/>
    </i>
    <i>
      <x v="190"/>
    </i>
    <i>
      <x v="143"/>
    </i>
    <i>
      <x v="194"/>
    </i>
    <i>
      <x v="137"/>
    </i>
    <i>
      <x v="149"/>
    </i>
    <i>
      <x v="170"/>
    </i>
    <i>
      <x v="207"/>
    </i>
    <i>
      <x v="171"/>
    </i>
    <i>
      <x v="215"/>
    </i>
    <i>
      <x v="80"/>
    </i>
    <i>
      <x v="112"/>
    </i>
    <i>
      <x v="174"/>
    </i>
    <i>
      <x v="175"/>
    </i>
    <i>
      <x v="234"/>
    </i>
    <i>
      <x v="107"/>
    </i>
    <i>
      <x v="132"/>
    </i>
    <i>
      <x v="173"/>
    </i>
    <i>
      <x v="129"/>
    </i>
    <i>
      <x v="219"/>
    </i>
    <i>
      <x v="181"/>
    </i>
    <i>
      <x v="180"/>
    </i>
    <i>
      <x v="182"/>
    </i>
    <i>
      <x v="106"/>
    </i>
    <i>
      <x v="136"/>
    </i>
    <i>
      <x v="223"/>
    </i>
    <i>
      <x v="184"/>
    </i>
    <i>
      <x v="231"/>
    </i>
    <i>
      <x v="185"/>
    </i>
    <i>
      <x v="209"/>
    </i>
    <i>
      <x v="165"/>
    </i>
    <i>
      <x v="213"/>
    </i>
    <i>
      <x v="187"/>
    </i>
    <i>
      <x v="128"/>
    </i>
    <i>
      <x v="188"/>
    </i>
    <i>
      <x v="221"/>
    </i>
    <i>
      <x v="189"/>
    </i>
    <i>
      <x v="225"/>
    </i>
    <i>
      <x v="104"/>
    </i>
    <i>
      <x v="229"/>
    </i>
    <i>
      <x v="155"/>
    </i>
    <i>
      <x v="233"/>
    </i>
    <i>
      <x v="192"/>
    </i>
    <i>
      <x v="208"/>
    </i>
    <i>
      <x v="193"/>
    </i>
    <i>
      <x v="210"/>
    </i>
    <i>
      <x v="168"/>
    </i>
    <i>
      <x v="212"/>
    </i>
    <i>
      <x v="195"/>
    </i>
    <i>
      <x v="214"/>
    </i>
    <i>
      <x v="169"/>
    </i>
    <i>
      <x v="216"/>
    </i>
    <i>
      <x v="197"/>
    </i>
    <i>
      <x v="218"/>
    </i>
    <i>
      <x v="198"/>
    </i>
    <i>
      <x v="176"/>
    </i>
    <i>
      <x v="102"/>
    </i>
    <i>
      <x v="222"/>
    </i>
    <i>
      <x v="200"/>
    </i>
    <i>
      <x v="224"/>
    </i>
    <i>
      <x v="201"/>
    </i>
    <i>
      <x v="151"/>
    </i>
    <i>
      <x v="202"/>
    </i>
    <i>
      <x v="228"/>
    </i>
    <i>
      <x v="203"/>
    </i>
    <i>
      <x v="230"/>
    </i>
    <i>
      <x v="204"/>
    </i>
    <i>
      <x v="232"/>
    </i>
    <i>
      <x v="205"/>
    </i>
    <i>
      <x v="163"/>
    </i>
    <i>
      <x v="139"/>
    </i>
    <i>
      <x v="235"/>
    </i>
    <i>
      <x v="133"/>
    </i>
    <i t="grand">
      <x/>
    </i>
  </rowItems>
  <colItems count="1">
    <i/>
  </colItems>
  <dataFields count="1">
    <dataField name="Count of created_date" fld="1" subtotal="count" baseField="0" baseItem="0"/>
  </dataFields>
  <pivotTableStyleInfo name="PivotStyleLight16" showRowHeaders="1" showColHeaders="1" showRowStripes="0" showColStripes="0" showLastColumn="1"/>
  <filters count="1">
    <filter fld="0" type="captionGreaterThanOrEqual" evalOrder="-1" id="1" stringValue1="30">
      <autoFilter ref="A1">
        <filterColumn colId="0">
          <customFilters>
            <customFilter operator="greaterThanOrEqual" val="3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5BAF4-91E4-4C77-85EA-8B13047E5F21}"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6" firstHeaderRow="0"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dataField="1"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3">
    <i>
      <x v="1"/>
    </i>
    <i>
      <x v="2"/>
    </i>
    <i t="grand">
      <x/>
    </i>
  </rowItems>
  <colFields count="1">
    <field x="-2"/>
  </colFields>
  <colItems count="2">
    <i>
      <x/>
    </i>
    <i i="1">
      <x v="1"/>
    </i>
  </colItems>
  <dataFields count="2">
    <dataField name="Count of canceled_date" fld="2" subtotal="count" baseField="0" baseItem="0"/>
    <dataField name="Count of created_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B3409-D69F-446F-9AC3-4EAB8C86AD17}"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F3:AG18" firstHeaderRow="1" firstDataRow="1" firstDataCol="1"/>
  <pivotFields count="14">
    <pivotField showAll="0"/>
    <pivotField dataField="1"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h="1" sd="0" x="0"/>
        <item x="1"/>
        <item h="1" sd="0" x="2"/>
        <item h="1" sd="0" x="3"/>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0"/>
    <field x="11"/>
  </rowFields>
  <rowItems count="15">
    <i>
      <x v="1"/>
    </i>
    <i r="1">
      <x/>
    </i>
    <i r="1">
      <x v="1"/>
    </i>
    <i r="1">
      <x v="2"/>
    </i>
    <i r="1">
      <x v="3"/>
    </i>
    <i r="1">
      <x v="4"/>
    </i>
    <i r="1">
      <x v="5"/>
    </i>
    <i r="1">
      <x v="6"/>
    </i>
    <i r="1">
      <x v="7"/>
    </i>
    <i r="1">
      <x v="8"/>
    </i>
    <i r="1">
      <x v="9"/>
    </i>
    <i r="1">
      <x v="10"/>
    </i>
    <i r="1">
      <x v="11"/>
    </i>
    <i r="1">
      <x v="12"/>
    </i>
    <i t="grand">
      <x/>
    </i>
  </rowItems>
  <colItems count="1">
    <i/>
  </colItems>
  <dataFields count="1">
    <dataField name="Count of created_date" fld="1" subtotal="count" baseField="0" baseItem="0"/>
  </dataFields>
  <chartFormats count="1">
    <chartFormat chart="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59EAECD-F09C-4D84-9641-2E5FB23A345D}"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S2:T5"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3">
    <i>
      <x v="1"/>
    </i>
    <i>
      <x v="2"/>
    </i>
    <i t="grand">
      <x/>
    </i>
  </rowItems>
  <colItems count="1">
    <i/>
  </colItems>
  <dataFields count="1">
    <dataField name="Sum of subscription_cos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570BC4-8E2A-4722-A9D2-E41DF00CC72C}"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R3:BS11"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axis="axisRow" dataField="1" showAll="0">
      <items count="8">
        <item x="3"/>
        <item x="4"/>
        <item x="5"/>
        <item x="6"/>
        <item x="0"/>
        <item x="1"/>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8">
    <i>
      <x/>
    </i>
    <i>
      <x v="1"/>
    </i>
    <i>
      <x v="2"/>
    </i>
    <i>
      <x v="3"/>
    </i>
    <i>
      <x v="4"/>
    </i>
    <i>
      <x v="5"/>
    </i>
    <i>
      <x v="6"/>
    </i>
    <i t="grand">
      <x/>
    </i>
  </rowItems>
  <colItems count="1">
    <i/>
  </colItems>
  <dataFields count="1">
    <dataField name="Count of Weekday" fld="7" subtotal="count" baseField="7"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4ABA5F-C783-4A21-8CC4-274C4DA4813E}"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X3:BY19"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dataField="1" showAll="0">
      <items count="8">
        <item x="3"/>
        <item x="4"/>
        <item x="5"/>
        <item x="6"/>
        <item x="0"/>
        <item x="1"/>
        <item x="2"/>
        <item t="default"/>
      </items>
    </pivotField>
    <pivotField showAll="0">
      <items count="8">
        <item x="3"/>
        <item x="4"/>
        <item x="5"/>
        <item x="6"/>
        <item x="0"/>
        <item x="1"/>
        <item x="2"/>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1"/>
    <field x="9"/>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Count of Weekday" fld="7" subtotal="count" baseField="7"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6F45150-6EF9-4279-9C5B-42325EAF9B30}"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M3:N6" firstHeaderRow="1" firstDataRow="1" firstDataCol="1"/>
  <pivotFields count="14">
    <pivotField showAll="0"/>
    <pivotField axis="axisRow"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10"/>
    <field x="1"/>
  </rowFields>
  <rowItems count="3">
    <i>
      <x v="1"/>
    </i>
    <i>
      <x v="2"/>
    </i>
    <i t="grand">
      <x/>
    </i>
  </rowItems>
  <colItems count="1">
    <i/>
  </colItems>
  <dataFields count="1">
    <dataField name="Average of  Cancellation Duration" fld="6" subtotal="average" baseField="1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21B458-E4D5-4209-8E25-D61E2DCC54BE}"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Y3:AA241" firstHeaderRow="0"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dataFiel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Fields count="1">
    <field x="-2"/>
  </colFields>
  <colItems count="2">
    <i>
      <x/>
    </i>
    <i i="1">
      <x v="1"/>
    </i>
  </colItems>
  <dataFields count="2">
    <dataField name="Count of  Cancellation Duration" fld="6" subtotal="count" baseField="0" baseItem="0"/>
    <dataField name="Count of  Cancellation Duration2" fld="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AB8C78-3559-4F03-99B5-B584424CD15B}"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N34:O37"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showAll="0">
      <items count="3">
        <item x="1"/>
        <item x="0"/>
        <item t="default"/>
      </items>
    </pivotField>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Count of subscription_cost" fld="4" subtotal="count" baseField="3" baseItem="0"/>
  </dataFields>
  <chartFormats count="3">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3" count="1" selected="0">
            <x v="0"/>
          </reference>
        </references>
      </pivotArea>
    </chartFormat>
    <chartFormat chart="10" format="1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B1EB25D-4B60-4EEE-8900-5CD2A9107239}"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U3:BV11"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showAll="0"/>
    <pivotField dataField="1" showAll="0">
      <items count="8">
        <item x="3"/>
        <item x="4"/>
        <item x="5"/>
        <item x="6"/>
        <item x="0"/>
        <item x="1"/>
        <item x="2"/>
        <item t="default"/>
      </items>
    </pivotField>
    <pivotField axis="axisRow" showAll="0">
      <items count="8">
        <item x="3"/>
        <item x="4"/>
        <item x="5"/>
        <item x="6"/>
        <item x="0"/>
        <item x="1"/>
        <item x="2"/>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x="1"/>
        <item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8">
    <i>
      <x/>
    </i>
    <i>
      <x v="1"/>
    </i>
    <i>
      <x v="2"/>
    </i>
    <i>
      <x v="3"/>
    </i>
    <i>
      <x v="4"/>
    </i>
    <i>
      <x v="5"/>
    </i>
    <i>
      <x v="6"/>
    </i>
    <i t="grand">
      <x/>
    </i>
  </rowItems>
  <colItems count="1">
    <i/>
  </colItems>
  <dataFields count="1">
    <dataField name="Count of Weekday" fld="7" subtotal="count" baseField="7" baseItem="0"/>
  </dataFields>
  <chartFormats count="3">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E7CB4DF-EDEE-4A92-B061-D081A893ED7D}"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H3:I6" firstHeaderRow="1" firstDataRow="1" firstDataCol="1"/>
  <pivotFields count="15">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axis="axisRow" showAll="0">
      <items count="3">
        <item x="1"/>
        <item x="0"/>
        <item t="default"/>
      </items>
    </pivotField>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subscription_cost" fld="4" showDataAs="percentOfTotal" baseField="0" baseItem="0" numFmtId="164"/>
  </dataFields>
  <formats count="1">
    <format dxfId="0">
      <pivotArea outline="0" collapsedLevelsAreSubtotals="1" fieldPosition="0"/>
    </format>
  </formats>
  <chartFormats count="3">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3" count="1" selected="0">
            <x v="0"/>
          </reference>
        </references>
      </pivotArea>
    </chartFormat>
    <chartFormat chart="10" format="15">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9A71BBA-2192-438C-A218-C6E02F144EF6}"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O3:AP241" firstHeaderRow="1" firstDataRow="1" firstDataCol="1"/>
  <pivotFields count="14">
    <pivotField showAll="0"/>
    <pivotField numFmtId="14" showAll="0">
      <items count="3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t="default"/>
      </items>
    </pivotField>
    <pivotField showAll="0">
      <items count="362">
        <item x="1"/>
        <item x="14"/>
        <item x="21"/>
        <item x="30"/>
        <item x="40"/>
        <item x="62"/>
        <item x="64"/>
        <item x="65"/>
        <item x="47"/>
        <item x="10"/>
        <item x="68"/>
        <item x="90"/>
        <item x="24"/>
        <item x="2"/>
        <item x="20"/>
        <item x="9"/>
        <item x="119"/>
        <item x="44"/>
        <item x="19"/>
        <item x="88"/>
        <item x="124"/>
        <item x="132"/>
        <item x="53"/>
        <item x="81"/>
        <item x="38"/>
        <item x="31"/>
        <item x="57"/>
        <item x="13"/>
        <item x="140"/>
        <item x="29"/>
        <item x="39"/>
        <item x="43"/>
        <item x="107"/>
        <item x="49"/>
        <item x="54"/>
        <item x="89"/>
        <item x="18"/>
        <item x="37"/>
        <item x="94"/>
        <item x="72"/>
        <item x="77"/>
        <item x="67"/>
        <item x="112"/>
        <item x="7"/>
        <item x="110"/>
        <item x="12"/>
        <item x="48"/>
        <item x="103"/>
        <item x="108"/>
        <item x="8"/>
        <item x="28"/>
        <item x="27"/>
        <item x="52"/>
        <item x="196"/>
        <item x="144"/>
        <item x="131"/>
        <item x="149"/>
        <item x="75"/>
        <item x="151"/>
        <item x="215"/>
        <item x="87"/>
        <item x="42"/>
        <item x="76"/>
        <item x="102"/>
        <item x="155"/>
        <item x="116"/>
        <item x="111"/>
        <item x="203"/>
        <item x="41"/>
        <item x="85"/>
        <item x="121"/>
        <item x="6"/>
        <item x="182"/>
        <item x="168"/>
        <item x="5"/>
        <item x="234"/>
        <item x="74"/>
        <item x="130"/>
        <item x="106"/>
        <item x="109"/>
        <item x="51"/>
        <item x="199"/>
        <item x="113"/>
        <item x="217"/>
        <item x="100"/>
        <item x="71"/>
        <item x="86"/>
        <item x="11"/>
        <item x="200"/>
        <item x="60"/>
        <item x="36"/>
        <item x="207"/>
        <item x="93"/>
        <item x="164"/>
        <item x="213"/>
        <item x="92"/>
        <item x="154"/>
        <item x="260"/>
        <item x="181"/>
        <item x="97"/>
        <item x="80"/>
        <item x="238"/>
        <item x="61"/>
        <item x="169"/>
        <item x="163"/>
        <item x="118"/>
        <item x="123"/>
        <item x="167"/>
        <item x="216"/>
        <item x="133"/>
        <item x="183"/>
        <item x="34"/>
        <item x="166"/>
        <item x="79"/>
        <item x="129"/>
        <item x="261"/>
        <item x="193"/>
        <item x="226"/>
        <item x="138"/>
        <item x="150"/>
        <item x="224"/>
        <item x="245"/>
        <item x="83"/>
        <item x="25"/>
        <item x="104"/>
        <item x="158"/>
        <item x="117"/>
        <item x="229"/>
        <item x="139"/>
        <item x="105"/>
        <item x="172"/>
        <item x="115"/>
        <item x="194"/>
        <item x="84"/>
        <item x="134"/>
        <item x="175"/>
        <item x="269"/>
        <item x="242"/>
        <item x="143"/>
        <item x="192"/>
        <item x="214"/>
        <item x="170"/>
        <item x="247"/>
        <item x="297"/>
        <item x="221"/>
        <item x="136"/>
        <item x="201"/>
        <item x="35"/>
        <item x="219"/>
        <item x="91"/>
        <item x="254"/>
        <item x="153"/>
        <item x="206"/>
        <item x="210"/>
        <item x="59"/>
        <item x="165"/>
        <item x="280"/>
        <item x="198"/>
        <item x="26"/>
        <item x="230"/>
        <item x="56"/>
        <item x="46"/>
        <item x="184"/>
        <item x="202"/>
        <item x="264"/>
        <item x="179"/>
        <item x="188"/>
        <item x="271"/>
        <item x="50"/>
        <item x="161"/>
        <item x="197"/>
        <item x="250"/>
        <item x="281"/>
        <item x="70"/>
        <item x="191"/>
        <item x="278"/>
        <item x="162"/>
        <item x="276"/>
        <item x="227"/>
        <item x="33"/>
        <item x="32"/>
        <item x="218"/>
        <item x="142"/>
        <item x="220"/>
        <item x="137"/>
        <item x="259"/>
        <item x="277"/>
        <item x="253"/>
        <item x="233"/>
        <item x="223"/>
        <item x="78"/>
        <item x="272"/>
        <item x="120"/>
        <item x="208"/>
        <item x="95"/>
        <item x="125"/>
        <item x="231"/>
        <item x="292"/>
        <item x="189"/>
        <item x="16"/>
        <item x="146"/>
        <item x="145"/>
        <item x="156"/>
        <item x="22"/>
        <item x="128"/>
        <item x="114"/>
        <item x="239"/>
        <item x="319"/>
        <item x="17"/>
        <item x="246"/>
        <item x="327"/>
        <item x="257"/>
        <item x="122"/>
        <item x="286"/>
        <item x="23"/>
        <item x="299"/>
        <item x="256"/>
        <item x="185"/>
        <item x="289"/>
        <item x="141"/>
        <item x="248"/>
        <item x="275"/>
        <item x="266"/>
        <item x="152"/>
        <item x="287"/>
        <item x="228"/>
        <item x="336"/>
        <item x="263"/>
        <item x="300"/>
        <item x="251"/>
        <item x="101"/>
        <item x="284"/>
        <item x="243"/>
        <item x="320"/>
        <item x="274"/>
        <item x="235"/>
        <item x="4"/>
        <item x="96"/>
        <item x="15"/>
        <item x="322"/>
        <item x="82"/>
        <item x="174"/>
        <item x="342"/>
        <item x="237"/>
        <item x="58"/>
        <item x="258"/>
        <item x="317"/>
        <item x="171"/>
        <item x="126"/>
        <item x="326"/>
        <item x="288"/>
        <item x="309"/>
        <item x="330"/>
        <item x="45"/>
        <item x="324"/>
        <item x="267"/>
        <item x="178"/>
        <item x="323"/>
        <item x="159"/>
        <item x="285"/>
        <item x="73"/>
        <item x="212"/>
        <item x="127"/>
        <item x="343"/>
        <item x="304"/>
        <item x="268"/>
        <item x="298"/>
        <item x="308"/>
        <item x="270"/>
        <item x="157"/>
        <item x="186"/>
        <item x="303"/>
        <item x="232"/>
        <item x="69"/>
        <item x="273"/>
        <item x="291"/>
        <item x="306"/>
        <item x="180"/>
        <item x="338"/>
        <item x="177"/>
        <item x="173"/>
        <item x="311"/>
        <item x="147"/>
        <item x="345"/>
        <item x="312"/>
        <item x="321"/>
        <item x="293"/>
        <item x="99"/>
        <item x="3"/>
        <item x="187"/>
        <item x="340"/>
        <item x="135"/>
        <item x="244"/>
        <item x="255"/>
        <item x="209"/>
        <item x="241"/>
        <item x="160"/>
        <item x="341"/>
        <item x="325"/>
        <item x="337"/>
        <item x="279"/>
        <item x="315"/>
        <item x="148"/>
        <item x="346"/>
        <item x="348"/>
        <item x="249"/>
        <item x="316"/>
        <item x="314"/>
        <item x="265"/>
        <item x="240"/>
        <item x="350"/>
        <item x="357"/>
        <item x="205"/>
        <item x="329"/>
        <item x="344"/>
        <item x="353"/>
        <item x="282"/>
        <item x="176"/>
        <item x="360"/>
        <item x="354"/>
        <item x="296"/>
        <item x="222"/>
        <item x="305"/>
        <item x="204"/>
        <item x="236"/>
        <item x="358"/>
        <item x="310"/>
        <item x="307"/>
        <item x="98"/>
        <item x="252"/>
        <item x="195"/>
        <item x="301"/>
        <item x="328"/>
        <item x="283"/>
        <item x="332"/>
        <item x="334"/>
        <item x="55"/>
        <item x="351"/>
        <item x="63"/>
        <item x="295"/>
        <item x="339"/>
        <item x="190"/>
        <item x="313"/>
        <item x="225"/>
        <item x="347"/>
        <item x="333"/>
        <item x="262"/>
        <item x="66"/>
        <item x="331"/>
        <item x="355"/>
        <item x="211"/>
        <item x="335"/>
        <item x="318"/>
        <item x="352"/>
        <item x="302"/>
        <item x="356"/>
        <item x="294"/>
        <item x="349"/>
        <item x="290"/>
        <item x="359"/>
        <item x="0"/>
        <item t="default"/>
      </items>
    </pivotField>
    <pivotField showAll="0"/>
    <pivotField showAll="0"/>
    <pivotField showAll="0"/>
    <pivotField axis="axisRow" dataField="1" showAll="0">
      <items count="238">
        <item x="11"/>
        <item x="1"/>
        <item x="208"/>
        <item x="175"/>
        <item x="37"/>
        <item x="225"/>
        <item x="230"/>
        <item x="42"/>
        <item x="63"/>
        <item x="173"/>
        <item x="79"/>
        <item x="125"/>
        <item x="71"/>
        <item x="214"/>
        <item x="10"/>
        <item x="134"/>
        <item x="178"/>
        <item x="118"/>
        <item x="23"/>
        <item x="184"/>
        <item x="40"/>
        <item x="86"/>
        <item x="2"/>
        <item x="182"/>
        <item x="15"/>
        <item x="9"/>
        <item x="20"/>
        <item x="62"/>
        <item x="44"/>
        <item x="72"/>
        <item x="35"/>
        <item x="28"/>
        <item x="50"/>
        <item x="156"/>
        <item x="36"/>
        <item x="167"/>
        <item x="108"/>
        <item x="14"/>
        <item x="87"/>
        <item x="179"/>
        <item x="57"/>
        <item x="80"/>
        <item x="190"/>
        <item x="102"/>
        <item x="34"/>
        <item x="19"/>
        <item x="192"/>
        <item x="155"/>
        <item x="122"/>
        <item x="78"/>
        <item x="43"/>
        <item x="187"/>
        <item x="55"/>
        <item x="95"/>
        <item x="7"/>
        <item x="13"/>
        <item x="109"/>
        <item x="110"/>
        <item x="27"/>
        <item x="26"/>
        <item x="8"/>
        <item x="94"/>
        <item x="169"/>
        <item x="117"/>
        <item x="70"/>
        <item x="197"/>
        <item x="177"/>
        <item x="210"/>
        <item x="39"/>
        <item x="88"/>
        <item x="144"/>
        <item x="114"/>
        <item x="130"/>
        <item x="200"/>
        <item x="61"/>
        <item x="38"/>
        <item x="83"/>
        <item x="148"/>
        <item x="234"/>
        <item x="132"/>
        <item x="159"/>
        <item x="18"/>
        <item x="33"/>
        <item x="6"/>
        <item x="46"/>
        <item x="93"/>
        <item x="5"/>
        <item x="168"/>
        <item x="138"/>
        <item x="75"/>
        <item x="97"/>
        <item x="53"/>
        <item x="77"/>
        <item x="49"/>
        <item x="166"/>
        <item x="137"/>
        <item x="126"/>
        <item x="66"/>
        <item x="12"/>
        <item x="106"/>
        <item x="181"/>
        <item x="220"/>
        <item x="236"/>
        <item x="54"/>
        <item x="209"/>
        <item x="133"/>
        <item x="216"/>
        <item x="107"/>
        <item x="212"/>
        <item x="65"/>
        <item x="158"/>
        <item x="91"/>
        <item x="228"/>
        <item x="85"/>
        <item x="101"/>
        <item x="165"/>
        <item x="113"/>
        <item x="68"/>
        <item x="31"/>
        <item x="147"/>
        <item x="131"/>
        <item x="121"/>
        <item x="136"/>
        <item x="104"/>
        <item x="145"/>
        <item x="154"/>
        <item x="69"/>
        <item x="199"/>
        <item x="235"/>
        <item x="170"/>
        <item x="24"/>
        <item x="189"/>
        <item x="217"/>
        <item x="186"/>
        <item x="90"/>
        <item x="161"/>
        <item x="171"/>
        <item x="191"/>
        <item x="164"/>
        <item x="222"/>
        <item x="73"/>
        <item x="153"/>
        <item x="219"/>
        <item x="232"/>
        <item x="141"/>
        <item x="128"/>
        <item x="204"/>
        <item x="172"/>
        <item x="196"/>
        <item x="74"/>
        <item x="151"/>
        <item x="233"/>
        <item x="32"/>
        <item x="52"/>
        <item x="119"/>
        <item x="205"/>
        <item x="206"/>
        <item x="112"/>
        <item x="48"/>
        <item x="105"/>
        <item x="195"/>
        <item x="180"/>
        <item x="25"/>
        <item x="231"/>
        <item x="227"/>
        <item x="59"/>
        <item x="45"/>
        <item x="123"/>
        <item x="213"/>
        <item x="229"/>
        <item x="92"/>
        <item x="98"/>
        <item x="115"/>
        <item x="211"/>
        <item x="183"/>
        <item x="202"/>
        <item x="207"/>
        <item x="30"/>
        <item x="29"/>
        <item x="226"/>
        <item x="218"/>
        <item x="89"/>
        <item x="150"/>
        <item x="120"/>
        <item x="96"/>
        <item x="201"/>
        <item x="111"/>
        <item x="176"/>
        <item x="224"/>
        <item x="193"/>
        <item x="203"/>
        <item x="140"/>
        <item x="64"/>
        <item x="188"/>
        <item x="16"/>
        <item x="215"/>
        <item x="135"/>
        <item x="21"/>
        <item x="185"/>
        <item x="17"/>
        <item x="223"/>
        <item x="84"/>
        <item x="22"/>
        <item x="221"/>
        <item x="149"/>
        <item x="127"/>
        <item x="76"/>
        <item x="99"/>
        <item x="194"/>
        <item x="67"/>
        <item x="146"/>
        <item x="162"/>
        <item x="124"/>
        <item x="143"/>
        <item x="139"/>
        <item x="100"/>
        <item x="51"/>
        <item x="4"/>
        <item x="198"/>
        <item x="60"/>
        <item x="41"/>
        <item x="116"/>
        <item x="129"/>
        <item x="174"/>
        <item x="160"/>
        <item x="103"/>
        <item x="58"/>
        <item x="82"/>
        <item x="142"/>
        <item x="157"/>
        <item x="163"/>
        <item x="152"/>
        <item x="3"/>
        <item x="81"/>
        <item x="47"/>
        <item x="56"/>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 showAll="0">
      <items count="15">
        <item x="0"/>
        <item x="1"/>
        <item x="2"/>
        <item x="3"/>
        <item x="4"/>
        <item x="5"/>
        <item x="6"/>
        <item x="7"/>
        <item x="8"/>
        <item x="9"/>
        <item x="10"/>
        <item x="11"/>
        <item x="12"/>
        <item x="13"/>
        <item t="default"/>
      </items>
    </pivotField>
    <pivotField showAll="0">
      <items count="7">
        <item sd="0" x="0"/>
        <item x="1"/>
        <item x="2"/>
        <item x="3"/>
        <item x="4"/>
        <item x="5"/>
        <item t="default"/>
      </items>
    </pivotField>
    <pivotField showAll="0">
      <items count="5">
        <item x="0"/>
        <item x="1"/>
        <item x="2"/>
        <item x="3"/>
        <item t="default"/>
      </items>
    </pivotField>
  </pivotFields>
  <rowFields count="1">
    <field x="6"/>
  </rowFields>
  <rowItems count="23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t="grand">
      <x/>
    </i>
  </rowItems>
  <colItems count="1">
    <i/>
  </colItems>
  <dataFields count="1">
    <dataField name="Count of  Cancellation Duration" fld="6"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reated_date" xr10:uid="{2FE10388-1573-4EE5-9E8D-E728061BECB9}" sourceName="Years (created_date)">
  <pivotTables>
    <pivotTable tabId="13" name="PivotTable5"/>
  </pivotTables>
  <data>
    <tabular pivotCacheId="1982289286">
      <items count="4">
        <i x="1" s="1"/>
        <i x="2" s="1"/>
        <i x="0"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created_date1" xr10:uid="{00AF5ECA-C427-44E5-A547-D54905080BED}" sourceName="Years (created_date)">
  <pivotTables>
    <pivotTable tabId="13" name="PivotTable2"/>
  </pivotTables>
  <data>
    <tabular pivotCacheId="1982289286">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reated_date)" xr10:uid="{2FDFC734-17E7-48EF-9F0A-7D8DFFADEC0A}" cache="Slicer_Years__created_date" caption="Years (created_date)" columnCoun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created_date) 1" xr10:uid="{67D5C7FA-337A-4E1E-AAC3-BE6A9F1091FB}" cache="Slicer_Years__created_date1" caption="Years (created_date)" columnCoun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7EAF1-AC15-42B1-9FFC-A7348C62DC76}">
  <dimension ref="A1:AA3161"/>
  <sheetViews>
    <sheetView topLeftCell="R1" zoomScaleNormal="100" workbookViewId="0">
      <selection activeCell="G15" sqref="G1:G15"/>
    </sheetView>
  </sheetViews>
  <sheetFormatPr defaultColWidth="12.42578125" defaultRowHeight="15" x14ac:dyDescent="0.25"/>
  <cols>
    <col min="1" max="1" width="12" bestFit="1" customWidth="1"/>
    <col min="2" max="2" width="12.7109375" bestFit="1" customWidth="1"/>
    <col min="3" max="3" width="14" customWidth="1"/>
    <col min="4" max="4" width="21.5703125" bestFit="1" customWidth="1"/>
    <col min="5" max="5" width="16.5703125" bestFit="1" customWidth="1"/>
    <col min="6" max="6" width="20" bestFit="1" customWidth="1"/>
    <col min="7" max="7" width="20.85546875" customWidth="1"/>
    <col min="16" max="16" width="34.85546875" bestFit="1" customWidth="1"/>
  </cols>
  <sheetData>
    <row r="1" spans="1:27" x14ac:dyDescent="0.25">
      <c r="A1" s="4" t="s">
        <v>0</v>
      </c>
      <c r="B1" s="4" t="s">
        <v>1</v>
      </c>
      <c r="C1" s="4" t="s">
        <v>2</v>
      </c>
      <c r="D1" s="4" t="s">
        <v>5</v>
      </c>
      <c r="E1" s="4" t="s">
        <v>3</v>
      </c>
      <c r="F1" s="4" t="s">
        <v>4</v>
      </c>
      <c r="G1" s="7" t="s">
        <v>18</v>
      </c>
      <c r="H1" s="4" t="s">
        <v>19</v>
      </c>
      <c r="I1" s="4" t="s">
        <v>58</v>
      </c>
      <c r="J1" s="4" t="s">
        <v>68</v>
      </c>
      <c r="K1" s="7" t="s">
        <v>72</v>
      </c>
      <c r="L1" s="7" t="s">
        <v>73</v>
      </c>
      <c r="P1" s="31" t="s">
        <v>76</v>
      </c>
      <c r="Q1" s="32">
        <v>2004</v>
      </c>
      <c r="S1" s="30"/>
      <c r="V1">
        <v>0</v>
      </c>
      <c r="W1">
        <v>108</v>
      </c>
      <c r="X1">
        <v>3069</v>
      </c>
      <c r="Y1" s="28">
        <f>W1/X1</f>
        <v>3.519061583577713E-2</v>
      </c>
      <c r="Z1">
        <v>2004</v>
      </c>
      <c r="AA1" s="30">
        <f>W1/Z1</f>
        <v>5.3892215568862277E-2</v>
      </c>
    </row>
    <row r="2" spans="1:27" x14ac:dyDescent="0.25">
      <c r="A2">
        <v>154536156</v>
      </c>
      <c r="B2" s="1">
        <v>44805</v>
      </c>
      <c r="C2" s="1">
        <f ca="1">TODAY()</f>
        <v>45938</v>
      </c>
      <c r="D2" t="s">
        <v>7</v>
      </c>
      <c r="E2">
        <v>39</v>
      </c>
      <c r="F2" t="s">
        <v>6</v>
      </c>
      <c r="G2" s="8">
        <f ca="1">IFERROR(DATEDIF(B2,C2,"D"),"0")</f>
        <v>1133</v>
      </c>
      <c r="H2">
        <f>WEEKDAY(B2,1)</f>
        <v>5</v>
      </c>
      <c r="I2" t="str">
        <f>TEXT(B2,"DDDD")</f>
        <v>Thursday</v>
      </c>
      <c r="J2">
        <f ca="1">COUNTIF(G2:G3070, "&gt;30")</f>
        <v>2332</v>
      </c>
      <c r="K2" s="25">
        <f ca="1" xml:space="preserve"> COUNTIF(G2:G3070, 1) / COUNTA(G2:G3070)</f>
        <v>5.6695992179863146E-2</v>
      </c>
      <c r="L2">
        <f ca="1">IF( OR($G2=0,$G2 = 1, $G2 = 2), 1, 0 )</f>
        <v>0</v>
      </c>
      <c r="P2" s="33" t="s">
        <v>74</v>
      </c>
      <c r="Q2" s="34">
        <f ca="1">SUM(L2:L3070)</f>
        <v>293</v>
      </c>
      <c r="S2" s="30"/>
      <c r="V2">
        <v>1</v>
      </c>
      <c r="W2">
        <v>282</v>
      </c>
      <c r="X2">
        <v>3069</v>
      </c>
      <c r="Y2" s="28">
        <f>W2/X2</f>
        <v>9.1886608015640275E-2</v>
      </c>
      <c r="Z2">
        <v>2004</v>
      </c>
      <c r="AA2" s="30">
        <f>W2/Z1</f>
        <v>0.1407185628742515</v>
      </c>
    </row>
    <row r="3" spans="1:27" x14ac:dyDescent="0.25">
      <c r="A3">
        <v>149713408</v>
      </c>
      <c r="B3" s="1">
        <v>44805</v>
      </c>
      <c r="C3" s="1">
        <v>44806</v>
      </c>
      <c r="D3" t="s">
        <v>8</v>
      </c>
      <c r="E3">
        <v>39</v>
      </c>
      <c r="F3" t="s">
        <v>6</v>
      </c>
      <c r="G3" s="8">
        <f t="shared" ref="G3:G66" si="0">IFERROR(DATEDIF(B3,C3,"D"),"0")</f>
        <v>1</v>
      </c>
      <c r="H3">
        <f t="shared" ref="H3:H66" si="1">WEEKDAY(B3,1)</f>
        <v>5</v>
      </c>
      <c r="I3" t="str">
        <f t="shared" ref="I3:I66" si="2">TEXT(B3,"DDDD")</f>
        <v>Thursday</v>
      </c>
      <c r="L3">
        <f t="shared" ref="L3:L66" si="3">IF( OR($G3=0,$G3 = 1, $G3 = 2), 1, 0 )</f>
        <v>1</v>
      </c>
      <c r="P3" s="35" t="s">
        <v>75</v>
      </c>
      <c r="Q3" s="36">
        <f ca="1" xml:space="preserve"> ( SUM(L2:L3070) / 2004 )</f>
        <v>0.14620758483033933</v>
      </c>
      <c r="S3" s="30"/>
      <c r="V3">
        <v>1</v>
      </c>
      <c r="W3">
        <v>174</v>
      </c>
      <c r="X3">
        <v>3069</v>
      </c>
      <c r="Y3" s="13">
        <f>W3/X3</f>
        <v>5.6695992179863146E-2</v>
      </c>
      <c r="Z3">
        <v>2004</v>
      </c>
      <c r="AA3" s="30">
        <f>W3/Z1</f>
        <v>8.6826347305389226E-2</v>
      </c>
    </row>
    <row r="4" spans="1:27" x14ac:dyDescent="0.25">
      <c r="A4">
        <v>153756284</v>
      </c>
      <c r="B4" s="1">
        <v>44805</v>
      </c>
      <c r="C4" s="1">
        <v>44806</v>
      </c>
      <c r="D4" t="s">
        <v>8</v>
      </c>
      <c r="E4">
        <v>39</v>
      </c>
      <c r="F4" t="s">
        <v>6</v>
      </c>
      <c r="G4" s="8">
        <f t="shared" si="0"/>
        <v>1</v>
      </c>
      <c r="H4">
        <f t="shared" si="1"/>
        <v>5</v>
      </c>
      <c r="I4" t="str">
        <f t="shared" si="2"/>
        <v>Thursday</v>
      </c>
      <c r="L4">
        <f t="shared" si="3"/>
        <v>1</v>
      </c>
    </row>
    <row r="5" spans="1:27" x14ac:dyDescent="0.25">
      <c r="A5">
        <v>121253113</v>
      </c>
      <c r="B5" s="1">
        <v>44805</v>
      </c>
      <c r="C5" s="1">
        <v>44827</v>
      </c>
      <c r="D5" t="s">
        <v>7</v>
      </c>
      <c r="E5">
        <v>39</v>
      </c>
      <c r="F5" t="s">
        <v>6</v>
      </c>
      <c r="G5" s="8">
        <f t="shared" si="0"/>
        <v>22</v>
      </c>
      <c r="H5">
        <f t="shared" si="1"/>
        <v>5</v>
      </c>
      <c r="I5" t="str">
        <f t="shared" si="2"/>
        <v>Thursday</v>
      </c>
      <c r="L5">
        <f t="shared" si="3"/>
        <v>0</v>
      </c>
    </row>
    <row r="6" spans="1:27" x14ac:dyDescent="0.25">
      <c r="A6">
        <v>154467210</v>
      </c>
      <c r="B6" s="1">
        <v>44805</v>
      </c>
      <c r="C6" s="1">
        <v>45106</v>
      </c>
      <c r="D6" t="s">
        <v>7</v>
      </c>
      <c r="E6">
        <v>39</v>
      </c>
      <c r="F6" t="s">
        <v>6</v>
      </c>
      <c r="G6" s="8">
        <f t="shared" si="0"/>
        <v>301</v>
      </c>
      <c r="H6">
        <f t="shared" si="1"/>
        <v>5</v>
      </c>
      <c r="I6" t="str">
        <f t="shared" si="2"/>
        <v>Thursday</v>
      </c>
      <c r="L6">
        <f t="shared" si="3"/>
        <v>0</v>
      </c>
    </row>
    <row r="7" spans="1:27" x14ac:dyDescent="0.25">
      <c r="A7">
        <v>154510811</v>
      </c>
      <c r="B7" s="1">
        <v>44805</v>
      </c>
      <c r="C7" s="1">
        <v>45054</v>
      </c>
      <c r="D7" t="s">
        <v>7</v>
      </c>
      <c r="E7">
        <v>39</v>
      </c>
      <c r="F7" t="s">
        <v>6</v>
      </c>
      <c r="G7" s="8">
        <f t="shared" si="0"/>
        <v>249</v>
      </c>
      <c r="H7">
        <f t="shared" si="1"/>
        <v>5</v>
      </c>
      <c r="I7" t="str">
        <f t="shared" si="2"/>
        <v>Thursday</v>
      </c>
      <c r="L7">
        <f t="shared" si="3"/>
        <v>0</v>
      </c>
      <c r="N7" s="29"/>
    </row>
    <row r="8" spans="1:27" x14ac:dyDescent="0.25">
      <c r="A8">
        <v>154494346</v>
      </c>
      <c r="B8" s="1">
        <v>44805</v>
      </c>
      <c r="C8" s="1">
        <v>44891</v>
      </c>
      <c r="D8" t="s">
        <v>7</v>
      </c>
      <c r="E8">
        <v>39</v>
      </c>
      <c r="F8" t="s">
        <v>6</v>
      </c>
      <c r="G8" s="8">
        <f t="shared" si="0"/>
        <v>86</v>
      </c>
      <c r="H8">
        <f t="shared" si="1"/>
        <v>5</v>
      </c>
      <c r="I8" t="str">
        <f t="shared" si="2"/>
        <v>Thursday</v>
      </c>
      <c r="L8">
        <f t="shared" si="3"/>
        <v>0</v>
      </c>
    </row>
    <row r="9" spans="1:27" x14ac:dyDescent="0.25">
      <c r="A9">
        <v>148671505</v>
      </c>
      <c r="B9" s="1">
        <v>44805</v>
      </c>
      <c r="C9" s="1">
        <v>44888</v>
      </c>
      <c r="D9" t="s">
        <v>7</v>
      </c>
      <c r="E9">
        <v>39</v>
      </c>
      <c r="F9" t="s">
        <v>6</v>
      </c>
      <c r="G9" s="8">
        <f t="shared" si="0"/>
        <v>83</v>
      </c>
      <c r="H9">
        <f t="shared" si="1"/>
        <v>5</v>
      </c>
      <c r="I9" t="str">
        <f t="shared" si="2"/>
        <v>Thursday</v>
      </c>
      <c r="L9">
        <f t="shared" si="3"/>
        <v>0</v>
      </c>
    </row>
    <row r="10" spans="1:27" x14ac:dyDescent="0.25">
      <c r="A10">
        <v>154568379</v>
      </c>
      <c r="B10" s="1">
        <v>44805</v>
      </c>
      <c r="C10" s="1">
        <v>44859</v>
      </c>
      <c r="D10" t="s">
        <v>7</v>
      </c>
      <c r="E10">
        <v>39</v>
      </c>
      <c r="F10" t="s">
        <v>6</v>
      </c>
      <c r="G10" s="8">
        <f t="shared" si="0"/>
        <v>54</v>
      </c>
      <c r="H10">
        <f t="shared" si="1"/>
        <v>5</v>
      </c>
      <c r="I10" t="str">
        <f t="shared" si="2"/>
        <v>Thursday</v>
      </c>
      <c r="L10">
        <f t="shared" si="3"/>
        <v>0</v>
      </c>
    </row>
    <row r="11" spans="1:27" x14ac:dyDescent="0.25">
      <c r="A11">
        <v>154428434</v>
      </c>
      <c r="B11" s="1">
        <v>44805</v>
      </c>
      <c r="C11" s="1">
        <v>44865</v>
      </c>
      <c r="D11" t="s">
        <v>7</v>
      </c>
      <c r="E11">
        <v>39</v>
      </c>
      <c r="F11" t="s">
        <v>6</v>
      </c>
      <c r="G11" s="8">
        <f t="shared" si="0"/>
        <v>60</v>
      </c>
      <c r="H11">
        <f t="shared" si="1"/>
        <v>5</v>
      </c>
      <c r="I11" t="str">
        <f t="shared" si="2"/>
        <v>Thursday</v>
      </c>
      <c r="L11">
        <f t="shared" si="3"/>
        <v>0</v>
      </c>
    </row>
    <row r="12" spans="1:27" x14ac:dyDescent="0.25">
      <c r="A12">
        <v>154601651</v>
      </c>
      <c r="B12" s="1">
        <v>44805</v>
      </c>
      <c r="C12" s="1">
        <v>44830</v>
      </c>
      <c r="D12" t="s">
        <v>7</v>
      </c>
      <c r="E12">
        <v>39</v>
      </c>
      <c r="F12" t="s">
        <v>6</v>
      </c>
      <c r="G12" s="8">
        <f t="shared" si="0"/>
        <v>25</v>
      </c>
      <c r="H12">
        <f t="shared" si="1"/>
        <v>5</v>
      </c>
      <c r="I12" t="str">
        <f t="shared" si="2"/>
        <v>Thursday</v>
      </c>
      <c r="L12">
        <f t="shared" si="3"/>
        <v>0</v>
      </c>
    </row>
    <row r="13" spans="1:27" x14ac:dyDescent="0.25">
      <c r="A13">
        <v>122824692</v>
      </c>
      <c r="B13" s="1">
        <v>44805</v>
      </c>
      <c r="C13" s="1">
        <v>44819</v>
      </c>
      <c r="D13" t="s">
        <v>7</v>
      </c>
      <c r="E13">
        <v>39</v>
      </c>
      <c r="F13" t="s">
        <v>6</v>
      </c>
      <c r="G13" s="8">
        <f t="shared" si="0"/>
        <v>14</v>
      </c>
      <c r="H13">
        <f t="shared" si="1"/>
        <v>5</v>
      </c>
      <c r="I13" t="str">
        <f t="shared" si="2"/>
        <v>Thursday</v>
      </c>
      <c r="L13">
        <f t="shared" si="3"/>
        <v>0</v>
      </c>
    </row>
    <row r="14" spans="1:27" x14ac:dyDescent="0.25">
      <c r="A14">
        <v>152925600</v>
      </c>
      <c r="B14" s="1">
        <v>44806</v>
      </c>
      <c r="C14" s="1">
        <f ca="1">TODAY()</f>
        <v>45938</v>
      </c>
      <c r="D14" t="s">
        <v>7</v>
      </c>
      <c r="E14">
        <v>39</v>
      </c>
      <c r="F14" t="s">
        <v>6</v>
      </c>
      <c r="G14" s="8">
        <f t="shared" ca="1" si="0"/>
        <v>1132</v>
      </c>
      <c r="H14">
        <f t="shared" si="1"/>
        <v>6</v>
      </c>
      <c r="I14" t="str">
        <f t="shared" si="2"/>
        <v>Friday</v>
      </c>
      <c r="L14">
        <f t="shared" ca="1" si="3"/>
        <v>0</v>
      </c>
    </row>
    <row r="15" spans="1:27" x14ac:dyDescent="0.25">
      <c r="A15">
        <v>151154171</v>
      </c>
      <c r="B15" s="1">
        <v>44806</v>
      </c>
      <c r="C15" s="1">
        <v>44806</v>
      </c>
      <c r="D15" t="s">
        <v>7</v>
      </c>
      <c r="E15">
        <v>39</v>
      </c>
      <c r="F15" t="s">
        <v>6</v>
      </c>
      <c r="G15" s="8">
        <f t="shared" si="0"/>
        <v>0</v>
      </c>
      <c r="H15">
        <f t="shared" si="1"/>
        <v>6</v>
      </c>
      <c r="I15" t="str">
        <f t="shared" si="2"/>
        <v>Friday</v>
      </c>
      <c r="L15">
        <f t="shared" si="3"/>
        <v>1</v>
      </c>
    </row>
    <row r="16" spans="1:27" x14ac:dyDescent="0.25">
      <c r="A16">
        <v>154640950</v>
      </c>
      <c r="B16" s="1">
        <v>44806</v>
      </c>
      <c r="C16" s="1">
        <v>44904</v>
      </c>
      <c r="D16" t="s">
        <v>7</v>
      </c>
      <c r="E16">
        <v>39</v>
      </c>
      <c r="F16" t="s">
        <v>6</v>
      </c>
      <c r="G16" s="8">
        <f t="shared" si="0"/>
        <v>98</v>
      </c>
      <c r="H16">
        <f t="shared" si="1"/>
        <v>6</v>
      </c>
      <c r="I16" t="str">
        <f t="shared" si="2"/>
        <v>Friday</v>
      </c>
      <c r="L16">
        <f t="shared" si="3"/>
        <v>0</v>
      </c>
    </row>
    <row r="17" spans="1:12" x14ac:dyDescent="0.25">
      <c r="A17">
        <v>154617329</v>
      </c>
      <c r="B17" s="1">
        <v>44806</v>
      </c>
      <c r="C17" s="1">
        <v>44861</v>
      </c>
      <c r="D17" t="s">
        <v>7</v>
      </c>
      <c r="E17">
        <v>39</v>
      </c>
      <c r="F17" t="s">
        <v>6</v>
      </c>
      <c r="G17" s="8">
        <f t="shared" si="0"/>
        <v>55</v>
      </c>
      <c r="H17">
        <f t="shared" si="1"/>
        <v>6</v>
      </c>
      <c r="I17" t="str">
        <f t="shared" si="2"/>
        <v>Friday</v>
      </c>
      <c r="L17">
        <f t="shared" si="3"/>
        <v>0</v>
      </c>
    </row>
    <row r="18" spans="1:12" x14ac:dyDescent="0.25">
      <c r="A18">
        <v>154089211</v>
      </c>
      <c r="B18" s="1">
        <v>44806</v>
      </c>
      <c r="C18" s="1">
        <v>44843</v>
      </c>
      <c r="D18" t="s">
        <v>7</v>
      </c>
      <c r="E18">
        <v>39</v>
      </c>
      <c r="F18" t="s">
        <v>6</v>
      </c>
      <c r="G18" s="8">
        <f t="shared" si="0"/>
        <v>37</v>
      </c>
      <c r="H18">
        <f t="shared" si="1"/>
        <v>6</v>
      </c>
      <c r="I18" t="str">
        <f t="shared" si="2"/>
        <v>Friday</v>
      </c>
      <c r="L18">
        <f t="shared" si="3"/>
        <v>0</v>
      </c>
    </row>
    <row r="19" spans="1:12" x14ac:dyDescent="0.25">
      <c r="A19">
        <v>154653820</v>
      </c>
      <c r="B19" s="1">
        <v>44806</v>
      </c>
      <c r="C19" s="1">
        <v>44830</v>
      </c>
      <c r="D19" t="s">
        <v>7</v>
      </c>
      <c r="E19">
        <v>39</v>
      </c>
      <c r="F19" t="s">
        <v>6</v>
      </c>
      <c r="G19" s="8">
        <f t="shared" si="0"/>
        <v>24</v>
      </c>
      <c r="H19">
        <f t="shared" si="1"/>
        <v>6</v>
      </c>
      <c r="I19" t="str">
        <f t="shared" si="2"/>
        <v>Friday</v>
      </c>
      <c r="L19">
        <f t="shared" si="3"/>
        <v>0</v>
      </c>
    </row>
    <row r="20" spans="1:12" x14ac:dyDescent="0.25">
      <c r="A20">
        <v>154131290</v>
      </c>
      <c r="B20" s="1">
        <v>44807</v>
      </c>
      <c r="C20" s="1">
        <f ca="1">TODAY()</f>
        <v>45938</v>
      </c>
      <c r="D20" t="s">
        <v>7</v>
      </c>
      <c r="E20">
        <v>39</v>
      </c>
      <c r="F20" t="s">
        <v>6</v>
      </c>
      <c r="G20" s="8">
        <f t="shared" ca="1" si="0"/>
        <v>1131</v>
      </c>
      <c r="H20">
        <f t="shared" si="1"/>
        <v>7</v>
      </c>
      <c r="I20" t="str">
        <f t="shared" si="2"/>
        <v>Saturday</v>
      </c>
      <c r="L20">
        <f t="shared" ca="1" si="3"/>
        <v>0</v>
      </c>
    </row>
    <row r="21" spans="1:12" x14ac:dyDescent="0.25">
      <c r="A21">
        <v>154434009</v>
      </c>
      <c r="B21" s="1">
        <v>44807</v>
      </c>
      <c r="C21" s="1">
        <f ca="1">TODAY()</f>
        <v>45938</v>
      </c>
      <c r="D21" t="s">
        <v>7</v>
      </c>
      <c r="E21">
        <v>39</v>
      </c>
      <c r="F21" t="s">
        <v>6</v>
      </c>
      <c r="G21" s="8">
        <f t="shared" ca="1" si="0"/>
        <v>1131</v>
      </c>
      <c r="H21">
        <f t="shared" si="1"/>
        <v>7</v>
      </c>
      <c r="I21" t="str">
        <f t="shared" si="2"/>
        <v>Saturday</v>
      </c>
      <c r="L21">
        <f t="shared" ca="1" si="3"/>
        <v>0</v>
      </c>
    </row>
    <row r="22" spans="1:12" x14ac:dyDescent="0.25">
      <c r="A22">
        <v>136108848</v>
      </c>
      <c r="B22" s="1">
        <v>44807</v>
      </c>
      <c r="C22" s="1">
        <v>44808</v>
      </c>
      <c r="D22" t="s">
        <v>7</v>
      </c>
      <c r="E22">
        <v>39</v>
      </c>
      <c r="F22" t="s">
        <v>6</v>
      </c>
      <c r="G22" s="8">
        <f t="shared" si="0"/>
        <v>1</v>
      </c>
      <c r="H22">
        <f t="shared" si="1"/>
        <v>7</v>
      </c>
      <c r="I22" t="str">
        <f t="shared" si="2"/>
        <v>Saturday</v>
      </c>
      <c r="L22">
        <f t="shared" si="3"/>
        <v>1</v>
      </c>
    </row>
    <row r="23" spans="1:12" x14ac:dyDescent="0.25">
      <c r="A23">
        <v>135185873</v>
      </c>
      <c r="B23" s="1">
        <v>44807</v>
      </c>
      <c r="C23" s="1">
        <v>45056</v>
      </c>
      <c r="D23" t="s">
        <v>7</v>
      </c>
      <c r="E23">
        <v>39</v>
      </c>
      <c r="F23" t="s">
        <v>6</v>
      </c>
      <c r="G23" s="8">
        <f t="shared" si="0"/>
        <v>249</v>
      </c>
      <c r="H23">
        <f t="shared" si="1"/>
        <v>7</v>
      </c>
      <c r="I23" t="str">
        <f t="shared" si="2"/>
        <v>Saturday</v>
      </c>
      <c r="L23">
        <f t="shared" si="3"/>
        <v>0</v>
      </c>
    </row>
    <row r="24" spans="1:12" x14ac:dyDescent="0.25">
      <c r="A24">
        <v>154592664</v>
      </c>
      <c r="B24" s="1">
        <v>44807</v>
      </c>
      <c r="C24" s="1">
        <v>45017</v>
      </c>
      <c r="D24" t="s">
        <v>7</v>
      </c>
      <c r="E24">
        <v>39</v>
      </c>
      <c r="F24" t="s">
        <v>6</v>
      </c>
      <c r="G24" s="8">
        <f t="shared" si="0"/>
        <v>210</v>
      </c>
      <c r="H24">
        <f t="shared" si="1"/>
        <v>7</v>
      </c>
      <c r="I24" t="str">
        <f t="shared" si="2"/>
        <v>Saturday</v>
      </c>
      <c r="L24">
        <f t="shared" si="3"/>
        <v>0</v>
      </c>
    </row>
    <row r="25" spans="1:12" x14ac:dyDescent="0.25">
      <c r="A25">
        <v>119436804</v>
      </c>
      <c r="B25" s="1">
        <v>44807</v>
      </c>
      <c r="C25" s="1">
        <v>45026</v>
      </c>
      <c r="D25" t="s">
        <v>7</v>
      </c>
      <c r="E25">
        <v>39</v>
      </c>
      <c r="F25" t="s">
        <v>6</v>
      </c>
      <c r="G25" s="8">
        <f t="shared" si="0"/>
        <v>219</v>
      </c>
      <c r="H25">
        <f t="shared" si="1"/>
        <v>7</v>
      </c>
      <c r="I25" t="str">
        <f t="shared" si="2"/>
        <v>Saturday</v>
      </c>
      <c r="L25">
        <f t="shared" si="3"/>
        <v>0</v>
      </c>
    </row>
    <row r="26" spans="1:12" x14ac:dyDescent="0.25">
      <c r="A26">
        <v>152929657</v>
      </c>
      <c r="B26" s="1">
        <v>44807</v>
      </c>
      <c r="C26" s="1">
        <v>44888</v>
      </c>
      <c r="D26" t="s">
        <v>7</v>
      </c>
      <c r="E26">
        <v>39</v>
      </c>
      <c r="F26" t="s">
        <v>6</v>
      </c>
      <c r="G26" s="8">
        <f t="shared" si="0"/>
        <v>81</v>
      </c>
      <c r="H26">
        <f t="shared" si="1"/>
        <v>7</v>
      </c>
      <c r="I26" t="str">
        <f t="shared" si="2"/>
        <v>Saturday</v>
      </c>
      <c r="L26">
        <f t="shared" si="3"/>
        <v>0</v>
      </c>
    </row>
    <row r="27" spans="1:12" x14ac:dyDescent="0.25">
      <c r="A27">
        <v>154708974</v>
      </c>
      <c r="B27" s="1">
        <v>44807</v>
      </c>
      <c r="C27" s="1">
        <v>44852</v>
      </c>
      <c r="D27" t="s">
        <v>7</v>
      </c>
      <c r="E27">
        <v>39</v>
      </c>
      <c r="F27" t="s">
        <v>6</v>
      </c>
      <c r="G27" s="8">
        <f t="shared" si="0"/>
        <v>45</v>
      </c>
      <c r="H27">
        <f t="shared" si="1"/>
        <v>7</v>
      </c>
      <c r="I27" t="str">
        <f t="shared" si="2"/>
        <v>Saturday</v>
      </c>
      <c r="L27">
        <f t="shared" si="3"/>
        <v>0</v>
      </c>
    </row>
    <row r="28" spans="1:12" x14ac:dyDescent="0.25">
      <c r="A28">
        <v>154567722</v>
      </c>
      <c r="B28" s="1">
        <v>44807</v>
      </c>
      <c r="C28" s="1">
        <v>44833</v>
      </c>
      <c r="D28" t="s">
        <v>7</v>
      </c>
      <c r="E28">
        <v>39</v>
      </c>
      <c r="F28" t="s">
        <v>6</v>
      </c>
      <c r="G28" s="8">
        <f t="shared" si="0"/>
        <v>26</v>
      </c>
      <c r="H28">
        <f t="shared" si="1"/>
        <v>7</v>
      </c>
      <c r="I28" t="str">
        <f t="shared" si="2"/>
        <v>Saturday</v>
      </c>
      <c r="L28">
        <f t="shared" si="3"/>
        <v>0</v>
      </c>
    </row>
    <row r="29" spans="1:12" x14ac:dyDescent="0.25">
      <c r="A29">
        <v>154719788</v>
      </c>
      <c r="B29" s="1">
        <v>44807</v>
      </c>
      <c r="C29" s="1">
        <v>44829</v>
      </c>
      <c r="D29" t="s">
        <v>7</v>
      </c>
      <c r="E29">
        <v>39</v>
      </c>
      <c r="F29" t="s">
        <v>6</v>
      </c>
      <c r="G29" s="8">
        <f t="shared" si="0"/>
        <v>22</v>
      </c>
      <c r="H29">
        <f t="shared" si="1"/>
        <v>7</v>
      </c>
      <c r="I29" t="str">
        <f t="shared" si="2"/>
        <v>Saturday</v>
      </c>
      <c r="L29">
        <f t="shared" si="3"/>
        <v>0</v>
      </c>
    </row>
    <row r="30" spans="1:12" x14ac:dyDescent="0.25">
      <c r="A30">
        <v>154809306</v>
      </c>
      <c r="B30" s="1">
        <v>44808</v>
      </c>
      <c r="C30" s="1">
        <v>44809</v>
      </c>
      <c r="D30" t="s">
        <v>7</v>
      </c>
      <c r="E30">
        <v>39</v>
      </c>
      <c r="F30" t="s">
        <v>6</v>
      </c>
      <c r="G30" s="8">
        <f t="shared" si="0"/>
        <v>1</v>
      </c>
      <c r="H30">
        <f t="shared" si="1"/>
        <v>1</v>
      </c>
      <c r="I30" t="str">
        <f t="shared" si="2"/>
        <v>Sunday</v>
      </c>
      <c r="L30">
        <f t="shared" si="3"/>
        <v>1</v>
      </c>
    </row>
    <row r="31" spans="1:12" x14ac:dyDescent="0.25">
      <c r="A31">
        <v>140391539</v>
      </c>
      <c r="B31" s="1">
        <v>44808</v>
      </c>
      <c r="C31" s="1">
        <v>45021</v>
      </c>
      <c r="D31" t="s">
        <v>7</v>
      </c>
      <c r="E31">
        <v>39</v>
      </c>
      <c r="F31" t="s">
        <v>6</v>
      </c>
      <c r="G31" s="8">
        <f t="shared" si="0"/>
        <v>213</v>
      </c>
      <c r="H31">
        <f t="shared" si="1"/>
        <v>1</v>
      </c>
      <c r="I31" t="str">
        <f t="shared" si="2"/>
        <v>Sunday</v>
      </c>
      <c r="L31">
        <f t="shared" si="3"/>
        <v>0</v>
      </c>
    </row>
    <row r="32" spans="1:12" x14ac:dyDescent="0.25">
      <c r="A32">
        <v>153194806</v>
      </c>
      <c r="B32" s="1">
        <v>44808</v>
      </c>
      <c r="C32" s="1">
        <v>45032</v>
      </c>
      <c r="D32" t="s">
        <v>7</v>
      </c>
      <c r="E32">
        <v>39</v>
      </c>
      <c r="F32" t="s">
        <v>6</v>
      </c>
      <c r="G32" s="8">
        <f t="shared" si="0"/>
        <v>224</v>
      </c>
      <c r="H32">
        <f t="shared" si="1"/>
        <v>1</v>
      </c>
      <c r="I32" t="str">
        <f t="shared" si="2"/>
        <v>Sunday</v>
      </c>
      <c r="L32">
        <f t="shared" si="3"/>
        <v>0</v>
      </c>
    </row>
    <row r="33" spans="1:12" x14ac:dyDescent="0.25">
      <c r="A33">
        <v>144402204</v>
      </c>
      <c r="B33" s="1">
        <v>44808</v>
      </c>
      <c r="C33" s="1">
        <v>44826</v>
      </c>
      <c r="D33" t="s">
        <v>7</v>
      </c>
      <c r="E33">
        <v>39</v>
      </c>
      <c r="F33" t="s">
        <v>6</v>
      </c>
      <c r="G33" s="8">
        <f t="shared" si="0"/>
        <v>18</v>
      </c>
      <c r="H33">
        <f t="shared" si="1"/>
        <v>1</v>
      </c>
      <c r="I33" t="str">
        <f t="shared" si="2"/>
        <v>Sunday</v>
      </c>
      <c r="L33">
        <f t="shared" si="3"/>
        <v>0</v>
      </c>
    </row>
    <row r="34" spans="1:12" x14ac:dyDescent="0.25">
      <c r="A34">
        <v>154747678</v>
      </c>
      <c r="B34" s="1">
        <v>44808</v>
      </c>
      <c r="C34" s="1">
        <v>44941</v>
      </c>
      <c r="D34" t="s">
        <v>7</v>
      </c>
      <c r="E34">
        <v>39</v>
      </c>
      <c r="F34" t="s">
        <v>6</v>
      </c>
      <c r="G34" s="8">
        <f t="shared" si="0"/>
        <v>133</v>
      </c>
      <c r="H34">
        <f t="shared" si="1"/>
        <v>1</v>
      </c>
      <c r="I34" t="str">
        <f t="shared" si="2"/>
        <v>Sunday</v>
      </c>
      <c r="L34">
        <f t="shared" si="3"/>
        <v>0</v>
      </c>
    </row>
    <row r="35" spans="1:12" x14ac:dyDescent="0.25">
      <c r="A35">
        <v>130939158</v>
      </c>
      <c r="B35" s="1">
        <v>44808</v>
      </c>
      <c r="C35" s="1">
        <v>44976</v>
      </c>
      <c r="D35" t="s">
        <v>7</v>
      </c>
      <c r="E35">
        <v>39</v>
      </c>
      <c r="F35" t="s">
        <v>6</v>
      </c>
      <c r="G35" s="8">
        <f t="shared" si="0"/>
        <v>168</v>
      </c>
      <c r="H35">
        <f t="shared" si="1"/>
        <v>1</v>
      </c>
      <c r="I35" t="str">
        <f t="shared" si="2"/>
        <v>Sunday</v>
      </c>
      <c r="L35">
        <f t="shared" si="3"/>
        <v>0</v>
      </c>
    </row>
    <row r="36" spans="1:12" x14ac:dyDescent="0.25">
      <c r="A36">
        <v>150912359</v>
      </c>
      <c r="B36" s="1">
        <v>44808</v>
      </c>
      <c r="C36" s="1">
        <v>44867</v>
      </c>
      <c r="D36" t="s">
        <v>7</v>
      </c>
      <c r="E36">
        <v>39</v>
      </c>
      <c r="F36" t="s">
        <v>6</v>
      </c>
      <c r="G36" s="8">
        <f t="shared" si="0"/>
        <v>59</v>
      </c>
      <c r="H36">
        <f t="shared" si="1"/>
        <v>1</v>
      </c>
      <c r="I36" t="str">
        <f t="shared" si="2"/>
        <v>Sunday</v>
      </c>
      <c r="L36">
        <f t="shared" si="3"/>
        <v>0</v>
      </c>
    </row>
    <row r="37" spans="1:12" x14ac:dyDescent="0.25">
      <c r="A37">
        <v>154132592</v>
      </c>
      <c r="B37" s="1">
        <v>44808</v>
      </c>
      <c r="C37" s="1">
        <v>44866</v>
      </c>
      <c r="D37" t="s">
        <v>7</v>
      </c>
      <c r="E37">
        <v>39</v>
      </c>
      <c r="F37" t="s">
        <v>6</v>
      </c>
      <c r="G37" s="8">
        <f t="shared" si="0"/>
        <v>58</v>
      </c>
      <c r="H37">
        <f t="shared" si="1"/>
        <v>1</v>
      </c>
      <c r="I37" t="str">
        <f t="shared" si="2"/>
        <v>Sunday</v>
      </c>
      <c r="L37">
        <f t="shared" si="3"/>
        <v>0</v>
      </c>
    </row>
    <row r="38" spans="1:12" x14ac:dyDescent="0.25">
      <c r="A38">
        <v>153368891</v>
      </c>
      <c r="B38" s="1">
        <v>44808</v>
      </c>
      <c r="C38" s="1">
        <v>44845</v>
      </c>
      <c r="D38" t="s">
        <v>7</v>
      </c>
      <c r="E38">
        <v>39</v>
      </c>
      <c r="F38" t="s">
        <v>6</v>
      </c>
      <c r="G38" s="8">
        <f t="shared" si="0"/>
        <v>37</v>
      </c>
      <c r="H38">
        <f t="shared" si="1"/>
        <v>1</v>
      </c>
      <c r="I38" t="str">
        <f t="shared" si="2"/>
        <v>Sunday</v>
      </c>
      <c r="L38">
        <f t="shared" si="3"/>
        <v>0</v>
      </c>
    </row>
    <row r="39" spans="1:12" x14ac:dyDescent="0.25">
      <c r="A39">
        <v>154225450</v>
      </c>
      <c r="B39" s="1">
        <v>44809</v>
      </c>
      <c r="C39" s="1">
        <f ca="1">TODAY()</f>
        <v>45938</v>
      </c>
      <c r="D39" t="s">
        <v>7</v>
      </c>
      <c r="E39">
        <v>39</v>
      </c>
      <c r="F39" t="s">
        <v>6</v>
      </c>
      <c r="G39" s="8">
        <f t="shared" ca="1" si="0"/>
        <v>1129</v>
      </c>
      <c r="H39">
        <f t="shared" si="1"/>
        <v>2</v>
      </c>
      <c r="I39" t="str">
        <f t="shared" si="2"/>
        <v>Monday</v>
      </c>
      <c r="L39">
        <f t="shared" ca="1" si="3"/>
        <v>0</v>
      </c>
    </row>
    <row r="40" spans="1:12" x14ac:dyDescent="0.25">
      <c r="A40">
        <v>154904040</v>
      </c>
      <c r="B40" s="1">
        <v>44809</v>
      </c>
      <c r="C40" s="1">
        <v>44810</v>
      </c>
      <c r="D40" t="s">
        <v>7</v>
      </c>
      <c r="E40">
        <v>39</v>
      </c>
      <c r="F40" t="s">
        <v>6</v>
      </c>
      <c r="G40" s="8">
        <f t="shared" si="0"/>
        <v>1</v>
      </c>
      <c r="H40">
        <f t="shared" si="1"/>
        <v>2</v>
      </c>
      <c r="I40" t="str">
        <f t="shared" si="2"/>
        <v>Monday</v>
      </c>
      <c r="L40">
        <f t="shared" si="3"/>
        <v>1</v>
      </c>
    </row>
    <row r="41" spans="1:12" x14ac:dyDescent="0.25">
      <c r="A41">
        <v>127604200</v>
      </c>
      <c r="B41" s="1">
        <v>44809</v>
      </c>
      <c r="C41" s="1">
        <v>44840</v>
      </c>
      <c r="D41" t="s">
        <v>7</v>
      </c>
      <c r="E41">
        <v>39</v>
      </c>
      <c r="F41" t="s">
        <v>6</v>
      </c>
      <c r="G41" s="8">
        <f t="shared" si="0"/>
        <v>31</v>
      </c>
      <c r="H41">
        <f t="shared" si="1"/>
        <v>2</v>
      </c>
      <c r="I41" t="str">
        <f t="shared" si="2"/>
        <v>Monday</v>
      </c>
      <c r="L41">
        <f t="shared" si="3"/>
        <v>0</v>
      </c>
    </row>
    <row r="42" spans="1:12" x14ac:dyDescent="0.25">
      <c r="A42">
        <v>154913576</v>
      </c>
      <c r="B42" s="1">
        <v>44809</v>
      </c>
      <c r="C42" s="1">
        <v>44998</v>
      </c>
      <c r="D42" t="s">
        <v>7</v>
      </c>
      <c r="E42">
        <v>39</v>
      </c>
      <c r="F42" t="s">
        <v>6</v>
      </c>
      <c r="G42" s="8">
        <f t="shared" si="0"/>
        <v>189</v>
      </c>
      <c r="H42">
        <f t="shared" si="1"/>
        <v>2</v>
      </c>
      <c r="I42" t="str">
        <f t="shared" si="2"/>
        <v>Monday</v>
      </c>
      <c r="L42">
        <f t="shared" si="3"/>
        <v>0</v>
      </c>
    </row>
    <row r="43" spans="1:12" x14ac:dyDescent="0.25">
      <c r="A43">
        <v>154910432</v>
      </c>
      <c r="B43" s="1">
        <v>44809</v>
      </c>
      <c r="C43" s="1">
        <v>44998</v>
      </c>
      <c r="D43" t="s">
        <v>7</v>
      </c>
      <c r="E43">
        <v>39</v>
      </c>
      <c r="F43" t="s">
        <v>6</v>
      </c>
      <c r="G43" s="8">
        <f t="shared" si="0"/>
        <v>189</v>
      </c>
      <c r="H43">
        <f t="shared" si="1"/>
        <v>2</v>
      </c>
      <c r="I43" t="str">
        <f t="shared" si="2"/>
        <v>Monday</v>
      </c>
      <c r="L43">
        <f t="shared" si="3"/>
        <v>0</v>
      </c>
    </row>
    <row r="44" spans="1:12" x14ac:dyDescent="0.25">
      <c r="A44">
        <v>154911229</v>
      </c>
      <c r="B44" s="1">
        <v>44809</v>
      </c>
      <c r="C44" s="1">
        <v>44997</v>
      </c>
      <c r="D44" t="s">
        <v>7</v>
      </c>
      <c r="E44">
        <v>39</v>
      </c>
      <c r="F44" t="s">
        <v>6</v>
      </c>
      <c r="G44" s="8">
        <f t="shared" si="0"/>
        <v>188</v>
      </c>
      <c r="H44">
        <f t="shared" si="1"/>
        <v>2</v>
      </c>
      <c r="I44" t="str">
        <f t="shared" si="2"/>
        <v>Monday</v>
      </c>
      <c r="L44">
        <f t="shared" si="3"/>
        <v>0</v>
      </c>
    </row>
    <row r="45" spans="1:12" x14ac:dyDescent="0.25">
      <c r="A45">
        <v>154518837</v>
      </c>
      <c r="B45" s="1">
        <v>44809</v>
      </c>
      <c r="C45" s="1">
        <v>44929</v>
      </c>
      <c r="D45" t="s">
        <v>7</v>
      </c>
      <c r="E45">
        <v>39</v>
      </c>
      <c r="F45" t="s">
        <v>6</v>
      </c>
      <c r="G45" s="8">
        <f t="shared" si="0"/>
        <v>120</v>
      </c>
      <c r="H45">
        <f t="shared" si="1"/>
        <v>2</v>
      </c>
      <c r="I45" t="str">
        <f t="shared" si="2"/>
        <v>Monday</v>
      </c>
      <c r="L45">
        <f t="shared" si="3"/>
        <v>0</v>
      </c>
    </row>
    <row r="46" spans="1:12" x14ac:dyDescent="0.25">
      <c r="A46">
        <v>154910009</v>
      </c>
      <c r="B46" s="1">
        <v>44809</v>
      </c>
      <c r="C46" s="1">
        <v>44965</v>
      </c>
      <c r="D46" t="s">
        <v>7</v>
      </c>
      <c r="E46">
        <v>39</v>
      </c>
      <c r="F46" t="s">
        <v>6</v>
      </c>
      <c r="G46" s="8">
        <f t="shared" si="0"/>
        <v>156</v>
      </c>
      <c r="H46">
        <f t="shared" si="1"/>
        <v>2</v>
      </c>
      <c r="I46" t="str">
        <f t="shared" si="2"/>
        <v>Monday</v>
      </c>
      <c r="L46">
        <f t="shared" si="3"/>
        <v>0</v>
      </c>
    </row>
    <row r="47" spans="1:12" x14ac:dyDescent="0.25">
      <c r="A47">
        <v>154911693</v>
      </c>
      <c r="B47" s="1">
        <v>44809</v>
      </c>
      <c r="C47" s="1">
        <v>44965</v>
      </c>
      <c r="D47" t="s">
        <v>7</v>
      </c>
      <c r="E47">
        <v>39</v>
      </c>
      <c r="F47" t="s">
        <v>6</v>
      </c>
      <c r="G47" s="8">
        <f t="shared" si="0"/>
        <v>156</v>
      </c>
      <c r="H47">
        <f t="shared" si="1"/>
        <v>2</v>
      </c>
      <c r="I47" t="str">
        <f t="shared" si="2"/>
        <v>Monday</v>
      </c>
      <c r="L47">
        <f t="shared" si="3"/>
        <v>0</v>
      </c>
    </row>
    <row r="48" spans="1:12" x14ac:dyDescent="0.25">
      <c r="A48">
        <v>154894177</v>
      </c>
      <c r="B48" s="1">
        <v>44809</v>
      </c>
      <c r="C48" s="1">
        <v>44907</v>
      </c>
      <c r="D48" t="s">
        <v>7</v>
      </c>
      <c r="E48">
        <v>39</v>
      </c>
      <c r="F48" t="s">
        <v>6</v>
      </c>
      <c r="G48" s="8">
        <f t="shared" si="0"/>
        <v>98</v>
      </c>
      <c r="H48">
        <f t="shared" si="1"/>
        <v>2</v>
      </c>
      <c r="I48" t="str">
        <f t="shared" si="2"/>
        <v>Monday</v>
      </c>
      <c r="L48">
        <f t="shared" si="3"/>
        <v>0</v>
      </c>
    </row>
    <row r="49" spans="1:12" x14ac:dyDescent="0.25">
      <c r="A49">
        <v>154494026</v>
      </c>
      <c r="B49" s="1">
        <v>44809</v>
      </c>
      <c r="C49" s="1">
        <v>44907</v>
      </c>
      <c r="D49" t="s">
        <v>7</v>
      </c>
      <c r="E49">
        <v>39</v>
      </c>
      <c r="F49" t="s">
        <v>6</v>
      </c>
      <c r="G49" s="8">
        <f t="shared" si="0"/>
        <v>98</v>
      </c>
      <c r="H49">
        <f t="shared" si="1"/>
        <v>2</v>
      </c>
      <c r="I49" t="str">
        <f t="shared" si="2"/>
        <v>Monday</v>
      </c>
      <c r="L49">
        <f t="shared" si="3"/>
        <v>0</v>
      </c>
    </row>
    <row r="50" spans="1:12" x14ac:dyDescent="0.25">
      <c r="A50">
        <v>154245189</v>
      </c>
      <c r="B50" s="1">
        <v>44809</v>
      </c>
      <c r="C50" s="1">
        <v>44891</v>
      </c>
      <c r="D50" t="s">
        <v>7</v>
      </c>
      <c r="E50">
        <v>39</v>
      </c>
      <c r="F50" t="s">
        <v>6</v>
      </c>
      <c r="G50" s="8">
        <f t="shared" si="0"/>
        <v>82</v>
      </c>
      <c r="H50">
        <f t="shared" si="1"/>
        <v>2</v>
      </c>
      <c r="I50" t="str">
        <f t="shared" si="2"/>
        <v>Monday</v>
      </c>
      <c r="L50">
        <f t="shared" si="3"/>
        <v>0</v>
      </c>
    </row>
    <row r="51" spans="1:12" x14ac:dyDescent="0.25">
      <c r="A51">
        <v>154604182</v>
      </c>
      <c r="B51" s="1">
        <v>44809</v>
      </c>
      <c r="C51" s="1">
        <v>44853</v>
      </c>
      <c r="D51" t="s">
        <v>7</v>
      </c>
      <c r="E51">
        <v>39</v>
      </c>
      <c r="F51" t="s">
        <v>6</v>
      </c>
      <c r="G51" s="8">
        <f t="shared" si="0"/>
        <v>44</v>
      </c>
      <c r="H51">
        <f t="shared" si="1"/>
        <v>2</v>
      </c>
      <c r="I51" t="str">
        <f t="shared" si="2"/>
        <v>Monday</v>
      </c>
      <c r="L51">
        <f t="shared" si="3"/>
        <v>0</v>
      </c>
    </row>
    <row r="52" spans="1:12" x14ac:dyDescent="0.25">
      <c r="A52">
        <v>154711552</v>
      </c>
      <c r="B52" s="1">
        <v>44809</v>
      </c>
      <c r="C52" s="1">
        <v>44839</v>
      </c>
      <c r="D52" t="s">
        <v>7</v>
      </c>
      <c r="E52">
        <v>39</v>
      </c>
      <c r="F52" t="s">
        <v>6</v>
      </c>
      <c r="G52" s="8">
        <f t="shared" si="0"/>
        <v>30</v>
      </c>
      <c r="H52">
        <f t="shared" si="1"/>
        <v>2</v>
      </c>
      <c r="I52" t="str">
        <f t="shared" si="2"/>
        <v>Monday</v>
      </c>
      <c r="L52">
        <f t="shared" si="3"/>
        <v>0</v>
      </c>
    </row>
    <row r="53" spans="1:12" x14ac:dyDescent="0.25">
      <c r="A53">
        <v>154827564</v>
      </c>
      <c r="B53" s="1">
        <v>44809</v>
      </c>
      <c r="C53" s="1">
        <v>44843</v>
      </c>
      <c r="D53" t="s">
        <v>7</v>
      </c>
      <c r="E53">
        <v>39</v>
      </c>
      <c r="F53" t="s">
        <v>6</v>
      </c>
      <c r="G53" s="8">
        <f t="shared" si="0"/>
        <v>34</v>
      </c>
      <c r="H53">
        <f t="shared" si="1"/>
        <v>2</v>
      </c>
      <c r="I53" t="str">
        <f t="shared" si="2"/>
        <v>Monday</v>
      </c>
      <c r="L53">
        <f t="shared" si="3"/>
        <v>0</v>
      </c>
    </row>
    <row r="54" spans="1:12" x14ac:dyDescent="0.25">
      <c r="A54">
        <v>143581543</v>
      </c>
      <c r="B54" s="1">
        <v>44809</v>
      </c>
      <c r="C54" s="1">
        <v>44846</v>
      </c>
      <c r="D54" t="s">
        <v>7</v>
      </c>
      <c r="E54">
        <v>39</v>
      </c>
      <c r="F54" t="s">
        <v>6</v>
      </c>
      <c r="G54" s="8">
        <f t="shared" si="0"/>
        <v>37</v>
      </c>
      <c r="H54">
        <f t="shared" si="1"/>
        <v>2</v>
      </c>
      <c r="I54" t="str">
        <f t="shared" si="2"/>
        <v>Monday</v>
      </c>
      <c r="L54">
        <f t="shared" si="3"/>
        <v>0</v>
      </c>
    </row>
    <row r="55" spans="1:12" x14ac:dyDescent="0.25">
      <c r="A55">
        <v>154867798</v>
      </c>
      <c r="B55" s="1">
        <v>44809</v>
      </c>
      <c r="C55" s="1">
        <v>44839</v>
      </c>
      <c r="D55" t="s">
        <v>7</v>
      </c>
      <c r="E55">
        <v>39</v>
      </c>
      <c r="F55" t="s">
        <v>6</v>
      </c>
      <c r="G55" s="8">
        <f t="shared" si="0"/>
        <v>30</v>
      </c>
      <c r="H55">
        <f t="shared" si="1"/>
        <v>2</v>
      </c>
      <c r="I55" t="str">
        <f t="shared" si="2"/>
        <v>Monday</v>
      </c>
      <c r="L55">
        <f t="shared" si="3"/>
        <v>0</v>
      </c>
    </row>
    <row r="56" spans="1:12" x14ac:dyDescent="0.25">
      <c r="A56">
        <v>154863996</v>
      </c>
      <c r="B56" s="1">
        <v>44809</v>
      </c>
      <c r="C56" s="1">
        <v>44813</v>
      </c>
      <c r="D56" t="s">
        <v>7</v>
      </c>
      <c r="E56">
        <v>39</v>
      </c>
      <c r="F56" t="s">
        <v>6</v>
      </c>
      <c r="G56" s="8">
        <f t="shared" si="0"/>
        <v>4</v>
      </c>
      <c r="H56">
        <f t="shared" si="1"/>
        <v>2</v>
      </c>
      <c r="I56" t="str">
        <f t="shared" si="2"/>
        <v>Monday</v>
      </c>
      <c r="L56">
        <f t="shared" si="3"/>
        <v>0</v>
      </c>
    </row>
    <row r="57" spans="1:12" x14ac:dyDescent="0.25">
      <c r="A57">
        <v>154923423</v>
      </c>
      <c r="B57" s="1">
        <v>44810</v>
      </c>
      <c r="C57" s="1">
        <f t="shared" ref="C57:C58" ca="1" si="4">TODAY()</f>
        <v>45938</v>
      </c>
      <c r="D57" t="s">
        <v>7</v>
      </c>
      <c r="E57">
        <v>39</v>
      </c>
      <c r="F57" t="s">
        <v>6</v>
      </c>
      <c r="G57" s="8">
        <f t="shared" ca="1" si="0"/>
        <v>1128</v>
      </c>
      <c r="H57">
        <f t="shared" si="1"/>
        <v>3</v>
      </c>
      <c r="I57" t="str">
        <f t="shared" si="2"/>
        <v>Tuesday</v>
      </c>
      <c r="L57">
        <f t="shared" ca="1" si="3"/>
        <v>0</v>
      </c>
    </row>
    <row r="58" spans="1:12" x14ac:dyDescent="0.25">
      <c r="A58">
        <v>134664128</v>
      </c>
      <c r="B58" s="1">
        <v>44810</v>
      </c>
      <c r="C58" s="1">
        <f t="shared" ca="1" si="4"/>
        <v>45938</v>
      </c>
      <c r="D58" t="s">
        <v>7</v>
      </c>
      <c r="E58">
        <v>39</v>
      </c>
      <c r="F58" t="s">
        <v>6</v>
      </c>
      <c r="G58" s="8">
        <f t="shared" ca="1" si="0"/>
        <v>1128</v>
      </c>
      <c r="H58">
        <f t="shared" si="1"/>
        <v>3</v>
      </c>
      <c r="I58" t="str">
        <f t="shared" si="2"/>
        <v>Tuesday</v>
      </c>
      <c r="L58">
        <f t="shared" ca="1" si="3"/>
        <v>0</v>
      </c>
    </row>
    <row r="59" spans="1:12" x14ac:dyDescent="0.25">
      <c r="A59">
        <v>154828806</v>
      </c>
      <c r="B59" s="1">
        <v>44810</v>
      </c>
      <c r="C59" s="1">
        <v>44885</v>
      </c>
      <c r="D59" t="s">
        <v>7</v>
      </c>
      <c r="E59">
        <v>39</v>
      </c>
      <c r="F59" t="s">
        <v>6</v>
      </c>
      <c r="G59" s="8">
        <f t="shared" si="0"/>
        <v>75</v>
      </c>
      <c r="H59">
        <f t="shared" si="1"/>
        <v>3</v>
      </c>
      <c r="I59" t="str">
        <f t="shared" si="2"/>
        <v>Tuesday</v>
      </c>
      <c r="L59">
        <f t="shared" si="3"/>
        <v>0</v>
      </c>
    </row>
    <row r="60" spans="1:12" x14ac:dyDescent="0.25">
      <c r="A60">
        <v>154934030</v>
      </c>
      <c r="B60" s="1">
        <v>44810</v>
      </c>
      <c r="C60" s="1">
        <v>44878</v>
      </c>
      <c r="D60" t="s">
        <v>7</v>
      </c>
      <c r="E60">
        <v>39</v>
      </c>
      <c r="F60" t="s">
        <v>6</v>
      </c>
      <c r="G60" s="8">
        <f t="shared" si="0"/>
        <v>68</v>
      </c>
      <c r="H60">
        <f t="shared" si="1"/>
        <v>3</v>
      </c>
      <c r="I60" t="str">
        <f t="shared" si="2"/>
        <v>Tuesday</v>
      </c>
      <c r="L60">
        <f t="shared" si="3"/>
        <v>0</v>
      </c>
    </row>
    <row r="61" spans="1:12" x14ac:dyDescent="0.25">
      <c r="A61">
        <v>153671424</v>
      </c>
      <c r="B61" s="1">
        <v>44810</v>
      </c>
      <c r="C61" s="1">
        <v>44847</v>
      </c>
      <c r="D61" t="s">
        <v>7</v>
      </c>
      <c r="E61">
        <v>39</v>
      </c>
      <c r="F61" t="s">
        <v>6</v>
      </c>
      <c r="G61" s="8">
        <f t="shared" si="0"/>
        <v>37</v>
      </c>
      <c r="H61">
        <f t="shared" si="1"/>
        <v>3</v>
      </c>
      <c r="I61" t="str">
        <f t="shared" si="2"/>
        <v>Tuesday</v>
      </c>
      <c r="L61">
        <f t="shared" si="3"/>
        <v>0</v>
      </c>
    </row>
    <row r="62" spans="1:12" x14ac:dyDescent="0.25">
      <c r="A62">
        <v>154693818</v>
      </c>
      <c r="B62" s="1">
        <v>44810</v>
      </c>
      <c r="C62" s="1">
        <v>44847</v>
      </c>
      <c r="D62" t="s">
        <v>7</v>
      </c>
      <c r="E62">
        <v>39</v>
      </c>
      <c r="F62" t="s">
        <v>6</v>
      </c>
      <c r="G62" s="8">
        <f t="shared" si="0"/>
        <v>37</v>
      </c>
      <c r="H62">
        <f t="shared" si="1"/>
        <v>3</v>
      </c>
      <c r="I62" t="str">
        <f t="shared" si="2"/>
        <v>Tuesday</v>
      </c>
      <c r="L62">
        <f t="shared" si="3"/>
        <v>0</v>
      </c>
    </row>
    <row r="63" spans="1:12" x14ac:dyDescent="0.25">
      <c r="A63">
        <v>154110938</v>
      </c>
      <c r="B63" s="1">
        <v>44810</v>
      </c>
      <c r="C63" s="1">
        <v>44830</v>
      </c>
      <c r="D63" t="s">
        <v>7</v>
      </c>
      <c r="E63">
        <v>39</v>
      </c>
      <c r="F63" t="s">
        <v>6</v>
      </c>
      <c r="G63" s="8">
        <f t="shared" si="0"/>
        <v>20</v>
      </c>
      <c r="H63">
        <f t="shared" si="1"/>
        <v>3</v>
      </c>
      <c r="I63" t="str">
        <f t="shared" si="2"/>
        <v>Tuesday</v>
      </c>
      <c r="L63">
        <f t="shared" si="3"/>
        <v>0</v>
      </c>
    </row>
    <row r="64" spans="1:12" x14ac:dyDescent="0.25">
      <c r="A64">
        <v>154809306</v>
      </c>
      <c r="B64" s="1">
        <v>44810</v>
      </c>
      <c r="C64" s="1">
        <v>44832</v>
      </c>
      <c r="D64" t="s">
        <v>7</v>
      </c>
      <c r="E64">
        <v>39</v>
      </c>
      <c r="F64" t="s">
        <v>6</v>
      </c>
      <c r="G64" s="8">
        <f t="shared" si="0"/>
        <v>22</v>
      </c>
      <c r="H64">
        <f t="shared" si="1"/>
        <v>3</v>
      </c>
      <c r="I64" t="str">
        <f t="shared" si="2"/>
        <v>Tuesday</v>
      </c>
      <c r="L64">
        <f t="shared" si="3"/>
        <v>0</v>
      </c>
    </row>
    <row r="65" spans="1:12" x14ac:dyDescent="0.25">
      <c r="A65">
        <v>154537244</v>
      </c>
      <c r="B65" s="1">
        <v>44811</v>
      </c>
      <c r="C65" s="1">
        <f t="shared" ref="C65:C66" ca="1" si="5">TODAY()</f>
        <v>45938</v>
      </c>
      <c r="D65" t="s">
        <v>7</v>
      </c>
      <c r="E65">
        <v>39</v>
      </c>
      <c r="F65" t="s">
        <v>6</v>
      </c>
      <c r="G65" s="8">
        <f t="shared" ca="1" si="0"/>
        <v>1127</v>
      </c>
      <c r="H65">
        <f t="shared" si="1"/>
        <v>4</v>
      </c>
      <c r="I65" t="str">
        <f t="shared" si="2"/>
        <v>Wednesday</v>
      </c>
      <c r="L65">
        <f t="shared" ca="1" si="3"/>
        <v>0</v>
      </c>
    </row>
    <row r="66" spans="1:12" x14ac:dyDescent="0.25">
      <c r="A66">
        <v>154163218</v>
      </c>
      <c r="B66" s="1">
        <v>44811</v>
      </c>
      <c r="C66" s="1">
        <f t="shared" ca="1" si="5"/>
        <v>45938</v>
      </c>
      <c r="D66" t="s">
        <v>7</v>
      </c>
      <c r="E66">
        <v>39</v>
      </c>
      <c r="F66" t="s">
        <v>6</v>
      </c>
      <c r="G66" s="8">
        <f t="shared" ca="1" si="0"/>
        <v>1127</v>
      </c>
      <c r="H66">
        <f t="shared" si="1"/>
        <v>4</v>
      </c>
      <c r="I66" t="str">
        <f t="shared" si="2"/>
        <v>Wednesday</v>
      </c>
      <c r="L66">
        <f t="shared" ca="1" si="3"/>
        <v>0</v>
      </c>
    </row>
    <row r="67" spans="1:12" x14ac:dyDescent="0.25">
      <c r="A67">
        <v>129467426</v>
      </c>
      <c r="B67" s="1">
        <v>44811</v>
      </c>
      <c r="C67" s="1">
        <v>45071</v>
      </c>
      <c r="D67" t="s">
        <v>7</v>
      </c>
      <c r="E67">
        <v>39</v>
      </c>
      <c r="F67" t="s">
        <v>6</v>
      </c>
      <c r="G67" s="8">
        <f t="shared" ref="G67:G130" si="6">IFERROR(DATEDIF(B67,C67,"D"),"0")</f>
        <v>260</v>
      </c>
      <c r="H67">
        <f t="shared" ref="H67:H130" si="7">WEEKDAY(B67,1)</f>
        <v>4</v>
      </c>
      <c r="I67" t="str">
        <f t="shared" ref="I67:I130" si="8">TEXT(B67,"DDDD")</f>
        <v>Wednesday</v>
      </c>
      <c r="L67">
        <f t="shared" ref="L67:L130" si="9">IF( OR($G67=0,$G67 = 1, $G67 = 2), 1, 0 )</f>
        <v>0</v>
      </c>
    </row>
    <row r="68" spans="1:12" x14ac:dyDescent="0.25">
      <c r="A68">
        <v>152498330</v>
      </c>
      <c r="B68" s="1">
        <v>44811</v>
      </c>
      <c r="C68" s="1">
        <v>44979</v>
      </c>
      <c r="D68" t="s">
        <v>7</v>
      </c>
      <c r="E68">
        <v>39</v>
      </c>
      <c r="F68" t="s">
        <v>6</v>
      </c>
      <c r="G68" s="8">
        <f t="shared" si="6"/>
        <v>168</v>
      </c>
      <c r="H68">
        <f t="shared" si="7"/>
        <v>4</v>
      </c>
      <c r="I68" t="str">
        <f t="shared" si="8"/>
        <v>Wednesday</v>
      </c>
      <c r="L68">
        <f t="shared" si="9"/>
        <v>0</v>
      </c>
    </row>
    <row r="69" spans="1:12" x14ac:dyDescent="0.25">
      <c r="A69">
        <v>125335731</v>
      </c>
      <c r="B69" s="1">
        <v>44811</v>
      </c>
      <c r="C69" s="1">
        <v>44818</v>
      </c>
      <c r="D69" t="s">
        <v>7</v>
      </c>
      <c r="E69">
        <v>39</v>
      </c>
      <c r="F69" t="s">
        <v>6</v>
      </c>
      <c r="G69" s="8">
        <f t="shared" si="6"/>
        <v>7</v>
      </c>
      <c r="H69">
        <f t="shared" si="7"/>
        <v>4</v>
      </c>
      <c r="I69" t="str">
        <f t="shared" si="8"/>
        <v>Wednesday</v>
      </c>
      <c r="L69">
        <f t="shared" si="9"/>
        <v>0</v>
      </c>
    </row>
    <row r="70" spans="1:12" x14ac:dyDescent="0.25">
      <c r="A70">
        <v>155113805</v>
      </c>
      <c r="B70" s="1">
        <v>44812</v>
      </c>
      <c r="C70" s="1">
        <f ca="1">TODAY()</f>
        <v>45938</v>
      </c>
      <c r="D70" t="s">
        <v>7</v>
      </c>
      <c r="E70">
        <v>39</v>
      </c>
      <c r="F70" t="s">
        <v>6</v>
      </c>
      <c r="G70" s="8">
        <f t="shared" ca="1" si="6"/>
        <v>1126</v>
      </c>
      <c r="H70">
        <f t="shared" si="7"/>
        <v>5</v>
      </c>
      <c r="I70" t="str">
        <f t="shared" si="8"/>
        <v>Thursday</v>
      </c>
      <c r="L70">
        <f t="shared" ca="1" si="9"/>
        <v>0</v>
      </c>
    </row>
    <row r="71" spans="1:12" x14ac:dyDescent="0.25">
      <c r="A71">
        <v>148864769</v>
      </c>
      <c r="B71" s="1">
        <v>44812</v>
      </c>
      <c r="C71" s="1">
        <v>44862</v>
      </c>
      <c r="D71" t="s">
        <v>7</v>
      </c>
      <c r="E71">
        <v>39</v>
      </c>
      <c r="F71" t="s">
        <v>6</v>
      </c>
      <c r="G71" s="8">
        <f t="shared" si="6"/>
        <v>50</v>
      </c>
      <c r="H71">
        <f t="shared" si="7"/>
        <v>5</v>
      </c>
      <c r="I71" t="str">
        <f t="shared" si="8"/>
        <v>Thursday</v>
      </c>
      <c r="L71">
        <f t="shared" si="9"/>
        <v>0</v>
      </c>
    </row>
    <row r="72" spans="1:12" x14ac:dyDescent="0.25">
      <c r="A72">
        <v>123850281</v>
      </c>
      <c r="B72" s="1">
        <v>44812</v>
      </c>
      <c r="C72" s="1">
        <v>44849</v>
      </c>
      <c r="D72" t="s">
        <v>7</v>
      </c>
      <c r="E72">
        <v>39</v>
      </c>
      <c r="F72" t="s">
        <v>6</v>
      </c>
      <c r="G72" s="8">
        <f t="shared" si="6"/>
        <v>37</v>
      </c>
      <c r="H72">
        <f t="shared" si="7"/>
        <v>5</v>
      </c>
      <c r="I72" t="str">
        <f t="shared" si="8"/>
        <v>Thursday</v>
      </c>
      <c r="L72">
        <f t="shared" si="9"/>
        <v>0</v>
      </c>
    </row>
    <row r="73" spans="1:12" x14ac:dyDescent="0.25">
      <c r="A73">
        <v>155167073</v>
      </c>
      <c r="B73" s="1">
        <v>44812</v>
      </c>
      <c r="C73" s="1">
        <v>44840</v>
      </c>
      <c r="D73" t="s">
        <v>7</v>
      </c>
      <c r="E73">
        <v>39</v>
      </c>
      <c r="F73" t="s">
        <v>6</v>
      </c>
      <c r="G73" s="8">
        <f t="shared" si="6"/>
        <v>28</v>
      </c>
      <c r="H73">
        <f t="shared" si="7"/>
        <v>5</v>
      </c>
      <c r="I73" t="str">
        <f t="shared" si="8"/>
        <v>Thursday</v>
      </c>
      <c r="L73">
        <f t="shared" si="9"/>
        <v>0</v>
      </c>
    </row>
    <row r="74" spans="1:12" x14ac:dyDescent="0.25">
      <c r="A74">
        <v>153684891</v>
      </c>
      <c r="B74" s="1">
        <v>44812</v>
      </c>
      <c r="C74" s="1">
        <v>44813</v>
      </c>
      <c r="D74" t="s">
        <v>7</v>
      </c>
      <c r="E74">
        <v>39</v>
      </c>
      <c r="F74" t="s">
        <v>6</v>
      </c>
      <c r="G74" s="8">
        <f t="shared" si="6"/>
        <v>1</v>
      </c>
      <c r="H74">
        <f t="shared" si="7"/>
        <v>5</v>
      </c>
      <c r="I74" t="str">
        <f t="shared" si="8"/>
        <v>Thursday</v>
      </c>
      <c r="L74">
        <f t="shared" si="9"/>
        <v>1</v>
      </c>
    </row>
    <row r="75" spans="1:12" x14ac:dyDescent="0.25">
      <c r="A75">
        <v>131277340</v>
      </c>
      <c r="B75" s="1">
        <v>44813</v>
      </c>
      <c r="C75" s="1">
        <v>44986</v>
      </c>
      <c r="D75" t="s">
        <v>7</v>
      </c>
      <c r="E75">
        <v>39</v>
      </c>
      <c r="F75" t="s">
        <v>6</v>
      </c>
      <c r="G75" s="8">
        <f t="shared" si="6"/>
        <v>173</v>
      </c>
      <c r="H75">
        <f t="shared" si="7"/>
        <v>6</v>
      </c>
      <c r="I75" t="str">
        <f t="shared" si="8"/>
        <v>Friday</v>
      </c>
      <c r="L75">
        <f t="shared" si="9"/>
        <v>0</v>
      </c>
    </row>
    <row r="76" spans="1:12" x14ac:dyDescent="0.25">
      <c r="A76">
        <v>152027172</v>
      </c>
      <c r="B76" s="1">
        <v>44813</v>
      </c>
      <c r="C76" s="1">
        <v>44897</v>
      </c>
      <c r="D76" t="s">
        <v>7</v>
      </c>
      <c r="E76">
        <v>39</v>
      </c>
      <c r="F76" t="s">
        <v>6</v>
      </c>
      <c r="G76" s="8">
        <f t="shared" si="6"/>
        <v>84</v>
      </c>
      <c r="H76">
        <f t="shared" si="7"/>
        <v>6</v>
      </c>
      <c r="I76" t="str">
        <f t="shared" si="8"/>
        <v>Friday</v>
      </c>
      <c r="L76">
        <f t="shared" si="9"/>
        <v>0</v>
      </c>
    </row>
    <row r="77" spans="1:12" x14ac:dyDescent="0.25">
      <c r="A77">
        <v>155212612</v>
      </c>
      <c r="B77" s="1">
        <v>44813</v>
      </c>
      <c r="C77" s="1">
        <v>44868</v>
      </c>
      <c r="D77" t="s">
        <v>7</v>
      </c>
      <c r="E77">
        <v>39</v>
      </c>
      <c r="F77" t="s">
        <v>6</v>
      </c>
      <c r="G77" s="8">
        <f t="shared" si="6"/>
        <v>55</v>
      </c>
      <c r="H77">
        <f t="shared" si="7"/>
        <v>6</v>
      </c>
      <c r="I77" t="str">
        <f t="shared" si="8"/>
        <v>Friday</v>
      </c>
      <c r="L77">
        <f t="shared" si="9"/>
        <v>0</v>
      </c>
    </row>
    <row r="78" spans="1:12" x14ac:dyDescent="0.25">
      <c r="A78">
        <v>155188498</v>
      </c>
      <c r="B78" s="1">
        <v>44813</v>
      </c>
      <c r="C78" s="1">
        <v>44843</v>
      </c>
      <c r="D78" t="s">
        <v>7</v>
      </c>
      <c r="E78">
        <v>39</v>
      </c>
      <c r="F78" t="s">
        <v>6</v>
      </c>
      <c r="G78" s="8">
        <f t="shared" si="6"/>
        <v>30</v>
      </c>
      <c r="H78">
        <f t="shared" si="7"/>
        <v>6</v>
      </c>
      <c r="I78" t="str">
        <f t="shared" si="8"/>
        <v>Friday</v>
      </c>
      <c r="L78">
        <f t="shared" si="9"/>
        <v>0</v>
      </c>
    </row>
    <row r="79" spans="1:12" x14ac:dyDescent="0.25">
      <c r="A79">
        <v>155145336</v>
      </c>
      <c r="B79" s="1">
        <v>44813</v>
      </c>
      <c r="C79" s="1">
        <v>44837</v>
      </c>
      <c r="D79" t="s">
        <v>7</v>
      </c>
      <c r="E79">
        <v>39</v>
      </c>
      <c r="F79" t="s">
        <v>6</v>
      </c>
      <c r="G79" s="8">
        <f t="shared" si="6"/>
        <v>24</v>
      </c>
      <c r="H79">
        <f t="shared" si="7"/>
        <v>6</v>
      </c>
      <c r="I79" t="str">
        <f t="shared" si="8"/>
        <v>Friday</v>
      </c>
      <c r="L79">
        <f t="shared" si="9"/>
        <v>0</v>
      </c>
    </row>
    <row r="80" spans="1:12" x14ac:dyDescent="0.25">
      <c r="A80">
        <v>152506474</v>
      </c>
      <c r="B80" s="1">
        <v>44813</v>
      </c>
      <c r="C80" s="1">
        <v>44850</v>
      </c>
      <c r="D80" t="s">
        <v>7</v>
      </c>
      <c r="E80">
        <v>39</v>
      </c>
      <c r="F80" t="s">
        <v>6</v>
      </c>
      <c r="G80" s="8">
        <f t="shared" si="6"/>
        <v>37</v>
      </c>
      <c r="H80">
        <f t="shared" si="7"/>
        <v>6</v>
      </c>
      <c r="I80" t="str">
        <f t="shared" si="8"/>
        <v>Friday</v>
      </c>
      <c r="L80">
        <f t="shared" si="9"/>
        <v>0</v>
      </c>
    </row>
    <row r="81" spans="1:12" x14ac:dyDescent="0.25">
      <c r="A81">
        <v>118029150</v>
      </c>
      <c r="B81" s="1">
        <v>44813</v>
      </c>
      <c r="C81" s="1">
        <v>45154</v>
      </c>
      <c r="D81" t="s">
        <v>7</v>
      </c>
      <c r="E81">
        <v>39</v>
      </c>
      <c r="F81" t="s">
        <v>6</v>
      </c>
      <c r="G81" s="8">
        <f t="shared" si="6"/>
        <v>341</v>
      </c>
      <c r="H81">
        <f t="shared" si="7"/>
        <v>6</v>
      </c>
      <c r="I81" t="str">
        <f t="shared" si="8"/>
        <v>Friday</v>
      </c>
      <c r="L81">
        <f t="shared" si="9"/>
        <v>0</v>
      </c>
    </row>
    <row r="82" spans="1:12" x14ac:dyDescent="0.25">
      <c r="A82">
        <v>155245796</v>
      </c>
      <c r="B82" s="1">
        <v>44814</v>
      </c>
      <c r="C82" s="1">
        <f ca="1">TODAY()</f>
        <v>45938</v>
      </c>
      <c r="D82" t="s">
        <v>7</v>
      </c>
      <c r="E82">
        <v>39</v>
      </c>
      <c r="F82" t="s">
        <v>6</v>
      </c>
      <c r="G82" s="8">
        <f t="shared" ca="1" si="6"/>
        <v>1124</v>
      </c>
      <c r="H82">
        <f t="shared" si="7"/>
        <v>7</v>
      </c>
      <c r="I82" t="str">
        <f t="shared" si="8"/>
        <v>Saturday</v>
      </c>
      <c r="L82">
        <f t="shared" ca="1" si="9"/>
        <v>0</v>
      </c>
    </row>
    <row r="83" spans="1:12" x14ac:dyDescent="0.25">
      <c r="A83">
        <v>155326259</v>
      </c>
      <c r="B83" s="1">
        <v>44814</v>
      </c>
      <c r="C83" s="1">
        <v>44978</v>
      </c>
      <c r="D83" t="s">
        <v>7</v>
      </c>
      <c r="E83">
        <v>39</v>
      </c>
      <c r="F83" t="s">
        <v>6</v>
      </c>
      <c r="G83" s="8">
        <f t="shared" si="6"/>
        <v>164</v>
      </c>
      <c r="H83">
        <f t="shared" si="7"/>
        <v>7</v>
      </c>
      <c r="I83" t="str">
        <f t="shared" si="8"/>
        <v>Saturday</v>
      </c>
      <c r="L83">
        <f t="shared" si="9"/>
        <v>0</v>
      </c>
    </row>
    <row r="84" spans="1:12" x14ac:dyDescent="0.25">
      <c r="A84">
        <v>155311918</v>
      </c>
      <c r="B84" s="1">
        <v>44814</v>
      </c>
      <c r="C84" s="1">
        <v>44907</v>
      </c>
      <c r="D84" t="s">
        <v>7</v>
      </c>
      <c r="E84">
        <v>39</v>
      </c>
      <c r="F84" t="s">
        <v>6</v>
      </c>
      <c r="G84" s="8">
        <f t="shared" si="6"/>
        <v>93</v>
      </c>
      <c r="H84">
        <f t="shared" si="7"/>
        <v>7</v>
      </c>
      <c r="I84" t="str">
        <f t="shared" si="8"/>
        <v>Saturday</v>
      </c>
      <c r="L84">
        <f t="shared" si="9"/>
        <v>0</v>
      </c>
    </row>
    <row r="85" spans="1:12" x14ac:dyDescent="0.25">
      <c r="A85">
        <v>154391473</v>
      </c>
      <c r="B85" s="1">
        <v>44814</v>
      </c>
      <c r="C85" s="1">
        <v>44846</v>
      </c>
      <c r="D85" t="s">
        <v>7</v>
      </c>
      <c r="E85">
        <v>39</v>
      </c>
      <c r="F85" t="s">
        <v>6</v>
      </c>
      <c r="G85" s="8">
        <f t="shared" si="6"/>
        <v>32</v>
      </c>
      <c r="H85">
        <f t="shared" si="7"/>
        <v>7</v>
      </c>
      <c r="I85" t="str">
        <f t="shared" si="8"/>
        <v>Saturday</v>
      </c>
      <c r="L85">
        <f t="shared" si="9"/>
        <v>0</v>
      </c>
    </row>
    <row r="86" spans="1:12" x14ac:dyDescent="0.25">
      <c r="A86">
        <v>155283495</v>
      </c>
      <c r="B86" s="1">
        <v>44814</v>
      </c>
      <c r="C86" s="1">
        <v>44842</v>
      </c>
      <c r="D86" t="s">
        <v>7</v>
      </c>
      <c r="E86">
        <v>39</v>
      </c>
      <c r="F86" t="s">
        <v>6</v>
      </c>
      <c r="G86" s="8">
        <f t="shared" si="6"/>
        <v>28</v>
      </c>
      <c r="H86">
        <f t="shared" si="7"/>
        <v>7</v>
      </c>
      <c r="I86" t="str">
        <f t="shared" si="8"/>
        <v>Saturday</v>
      </c>
      <c r="L86">
        <f t="shared" si="9"/>
        <v>0</v>
      </c>
    </row>
    <row r="87" spans="1:12" x14ac:dyDescent="0.25">
      <c r="A87">
        <v>154597373</v>
      </c>
      <c r="B87" s="1">
        <v>44814</v>
      </c>
      <c r="C87" s="1">
        <v>44840</v>
      </c>
      <c r="D87" t="s">
        <v>7</v>
      </c>
      <c r="E87">
        <v>39</v>
      </c>
      <c r="F87" t="s">
        <v>6</v>
      </c>
      <c r="G87" s="8">
        <f t="shared" si="6"/>
        <v>26</v>
      </c>
      <c r="H87">
        <f t="shared" si="7"/>
        <v>7</v>
      </c>
      <c r="I87" t="str">
        <f t="shared" si="8"/>
        <v>Saturday</v>
      </c>
      <c r="L87">
        <f t="shared" si="9"/>
        <v>0</v>
      </c>
    </row>
    <row r="88" spans="1:12" x14ac:dyDescent="0.25">
      <c r="A88">
        <v>155370310</v>
      </c>
      <c r="B88" s="1">
        <v>44815</v>
      </c>
      <c r="C88" s="1">
        <v>45062</v>
      </c>
      <c r="D88" t="s">
        <v>7</v>
      </c>
      <c r="E88">
        <v>39</v>
      </c>
      <c r="F88" t="s">
        <v>6</v>
      </c>
      <c r="G88" s="8">
        <f t="shared" si="6"/>
        <v>247</v>
      </c>
      <c r="H88">
        <f t="shared" si="7"/>
        <v>1</v>
      </c>
      <c r="I88" t="str">
        <f t="shared" si="8"/>
        <v>Sunday</v>
      </c>
      <c r="L88">
        <f t="shared" si="9"/>
        <v>0</v>
      </c>
    </row>
    <row r="89" spans="1:12" x14ac:dyDescent="0.25">
      <c r="A89">
        <v>155289120</v>
      </c>
      <c r="B89" s="1">
        <v>44815</v>
      </c>
      <c r="C89" s="1">
        <v>44972</v>
      </c>
      <c r="D89" t="s">
        <v>7</v>
      </c>
      <c r="E89">
        <v>39</v>
      </c>
      <c r="F89" t="s">
        <v>6</v>
      </c>
      <c r="G89" s="8">
        <f t="shared" si="6"/>
        <v>157</v>
      </c>
      <c r="H89">
        <f t="shared" si="7"/>
        <v>1</v>
      </c>
      <c r="I89" t="str">
        <f t="shared" si="8"/>
        <v>Sunday</v>
      </c>
      <c r="L89">
        <f t="shared" si="9"/>
        <v>0</v>
      </c>
    </row>
    <row r="90" spans="1:12" x14ac:dyDescent="0.25">
      <c r="A90">
        <v>155351408</v>
      </c>
      <c r="B90" s="1">
        <v>44815</v>
      </c>
      <c r="C90" s="1">
        <v>44906</v>
      </c>
      <c r="D90" t="s">
        <v>7</v>
      </c>
      <c r="E90">
        <v>39</v>
      </c>
      <c r="F90" t="s">
        <v>6</v>
      </c>
      <c r="G90" s="8">
        <f t="shared" si="6"/>
        <v>91</v>
      </c>
      <c r="H90">
        <f t="shared" si="7"/>
        <v>1</v>
      </c>
      <c r="I90" t="str">
        <f t="shared" si="8"/>
        <v>Sunday</v>
      </c>
      <c r="L90">
        <f t="shared" si="9"/>
        <v>0</v>
      </c>
    </row>
    <row r="91" spans="1:12" x14ac:dyDescent="0.25">
      <c r="A91">
        <v>155336773</v>
      </c>
      <c r="B91" s="1">
        <v>44815</v>
      </c>
      <c r="C91" s="1">
        <v>44919</v>
      </c>
      <c r="D91" t="s">
        <v>7</v>
      </c>
      <c r="E91">
        <v>39</v>
      </c>
      <c r="F91" t="s">
        <v>6</v>
      </c>
      <c r="G91" s="8">
        <f t="shared" si="6"/>
        <v>104</v>
      </c>
      <c r="H91">
        <f t="shared" si="7"/>
        <v>1</v>
      </c>
      <c r="I91" t="str">
        <f t="shared" si="8"/>
        <v>Sunday</v>
      </c>
      <c r="L91">
        <f t="shared" si="9"/>
        <v>0</v>
      </c>
    </row>
    <row r="92" spans="1:12" x14ac:dyDescent="0.25">
      <c r="A92">
        <v>155017581</v>
      </c>
      <c r="B92" s="1">
        <v>44815</v>
      </c>
      <c r="C92" s="1">
        <v>44867</v>
      </c>
      <c r="D92" t="s">
        <v>7</v>
      </c>
      <c r="E92">
        <v>39</v>
      </c>
      <c r="F92" t="s">
        <v>6</v>
      </c>
      <c r="G92" s="8">
        <f t="shared" si="6"/>
        <v>52</v>
      </c>
      <c r="H92">
        <f t="shared" si="7"/>
        <v>1</v>
      </c>
      <c r="I92" t="str">
        <f t="shared" si="8"/>
        <v>Sunday</v>
      </c>
      <c r="L92">
        <f t="shared" si="9"/>
        <v>0</v>
      </c>
    </row>
    <row r="93" spans="1:12" x14ac:dyDescent="0.25">
      <c r="A93">
        <v>154401329</v>
      </c>
      <c r="B93" s="1">
        <v>44815</v>
      </c>
      <c r="C93" s="1">
        <v>44849</v>
      </c>
      <c r="D93" t="s">
        <v>7</v>
      </c>
      <c r="E93">
        <v>39</v>
      </c>
      <c r="F93" t="s">
        <v>6</v>
      </c>
      <c r="G93" s="8">
        <f t="shared" si="6"/>
        <v>34</v>
      </c>
      <c r="H93">
        <f t="shared" si="7"/>
        <v>1</v>
      </c>
      <c r="I93" t="str">
        <f t="shared" si="8"/>
        <v>Sunday</v>
      </c>
      <c r="L93">
        <f t="shared" si="9"/>
        <v>0</v>
      </c>
    </row>
    <row r="94" spans="1:12" x14ac:dyDescent="0.25">
      <c r="A94">
        <v>155334828</v>
      </c>
      <c r="B94" s="1">
        <v>44815</v>
      </c>
      <c r="C94" s="1">
        <v>44845</v>
      </c>
      <c r="D94" t="s">
        <v>7</v>
      </c>
      <c r="E94">
        <v>39</v>
      </c>
      <c r="F94" t="s">
        <v>6</v>
      </c>
      <c r="G94" s="8">
        <f t="shared" si="6"/>
        <v>30</v>
      </c>
      <c r="H94">
        <f t="shared" si="7"/>
        <v>1</v>
      </c>
      <c r="I94" t="str">
        <f t="shared" si="8"/>
        <v>Sunday</v>
      </c>
      <c r="L94">
        <f t="shared" si="9"/>
        <v>0</v>
      </c>
    </row>
    <row r="95" spans="1:12" x14ac:dyDescent="0.25">
      <c r="A95">
        <v>154815431</v>
      </c>
      <c r="B95" s="1">
        <v>44815</v>
      </c>
      <c r="C95" s="1">
        <v>44815</v>
      </c>
      <c r="D95" t="s">
        <v>7</v>
      </c>
      <c r="E95">
        <v>39</v>
      </c>
      <c r="F95" t="s">
        <v>6</v>
      </c>
      <c r="G95" s="8">
        <f t="shared" si="6"/>
        <v>0</v>
      </c>
      <c r="H95">
        <f t="shared" si="7"/>
        <v>1</v>
      </c>
      <c r="I95" t="str">
        <f t="shared" si="8"/>
        <v>Sunday</v>
      </c>
      <c r="L95">
        <f t="shared" si="9"/>
        <v>1</v>
      </c>
    </row>
    <row r="96" spans="1:12" x14ac:dyDescent="0.25">
      <c r="A96">
        <v>155343938</v>
      </c>
      <c r="B96" s="1">
        <v>44815</v>
      </c>
      <c r="C96" s="1">
        <v>45156</v>
      </c>
      <c r="D96" t="s">
        <v>7</v>
      </c>
      <c r="E96">
        <v>39</v>
      </c>
      <c r="F96" t="s">
        <v>6</v>
      </c>
      <c r="G96" s="8">
        <f t="shared" si="6"/>
        <v>341</v>
      </c>
      <c r="H96">
        <f t="shared" si="7"/>
        <v>1</v>
      </c>
      <c r="I96" t="str">
        <f t="shared" si="8"/>
        <v>Sunday</v>
      </c>
      <c r="L96">
        <f t="shared" si="9"/>
        <v>0</v>
      </c>
    </row>
    <row r="97" spans="1:12" x14ac:dyDescent="0.25">
      <c r="A97">
        <v>152436458</v>
      </c>
      <c r="B97" s="1">
        <v>44816</v>
      </c>
      <c r="C97" s="1">
        <v>44816</v>
      </c>
      <c r="D97" t="s">
        <v>7</v>
      </c>
      <c r="E97">
        <v>39</v>
      </c>
      <c r="F97" t="s">
        <v>6</v>
      </c>
      <c r="G97" s="8">
        <f t="shared" si="6"/>
        <v>0</v>
      </c>
      <c r="H97">
        <f t="shared" si="7"/>
        <v>2</v>
      </c>
      <c r="I97" t="str">
        <f t="shared" si="8"/>
        <v>Monday</v>
      </c>
      <c r="L97">
        <f t="shared" si="9"/>
        <v>1</v>
      </c>
    </row>
    <row r="98" spans="1:12" x14ac:dyDescent="0.25">
      <c r="A98">
        <v>154689541</v>
      </c>
      <c r="B98" s="1">
        <v>44816</v>
      </c>
      <c r="C98" s="1">
        <v>44817</v>
      </c>
      <c r="D98" t="s">
        <v>8</v>
      </c>
      <c r="E98">
        <v>39</v>
      </c>
      <c r="F98" t="s">
        <v>6</v>
      </c>
      <c r="G98" s="8">
        <f t="shared" si="6"/>
        <v>1</v>
      </c>
      <c r="H98">
        <f t="shared" si="7"/>
        <v>2</v>
      </c>
      <c r="I98" t="str">
        <f t="shared" si="8"/>
        <v>Monday</v>
      </c>
      <c r="L98">
        <f t="shared" si="9"/>
        <v>1</v>
      </c>
    </row>
    <row r="99" spans="1:12" x14ac:dyDescent="0.25">
      <c r="A99">
        <v>155425695</v>
      </c>
      <c r="B99" s="1">
        <v>44816</v>
      </c>
      <c r="C99" s="1">
        <v>44853</v>
      </c>
      <c r="D99" t="s">
        <v>7</v>
      </c>
      <c r="E99">
        <v>39</v>
      </c>
      <c r="F99" t="s">
        <v>6</v>
      </c>
      <c r="G99" s="8">
        <f t="shared" si="6"/>
        <v>37</v>
      </c>
      <c r="H99">
        <f t="shared" si="7"/>
        <v>2</v>
      </c>
      <c r="I99" t="str">
        <f t="shared" si="8"/>
        <v>Monday</v>
      </c>
      <c r="L99">
        <f t="shared" si="9"/>
        <v>0</v>
      </c>
    </row>
    <row r="100" spans="1:12" x14ac:dyDescent="0.25">
      <c r="A100">
        <v>152698255</v>
      </c>
      <c r="B100" s="1">
        <v>44816</v>
      </c>
      <c r="C100" s="1">
        <v>44846</v>
      </c>
      <c r="D100" t="s">
        <v>7</v>
      </c>
      <c r="E100">
        <v>39</v>
      </c>
      <c r="F100" t="s">
        <v>6</v>
      </c>
      <c r="G100" s="8">
        <f t="shared" si="6"/>
        <v>30</v>
      </c>
      <c r="H100">
        <f t="shared" si="7"/>
        <v>2</v>
      </c>
      <c r="I100" t="str">
        <f t="shared" si="8"/>
        <v>Monday</v>
      </c>
      <c r="L100">
        <f t="shared" si="9"/>
        <v>0</v>
      </c>
    </row>
    <row r="101" spans="1:12" x14ac:dyDescent="0.25">
      <c r="A101">
        <v>155406449</v>
      </c>
      <c r="B101" s="1">
        <v>44817</v>
      </c>
      <c r="C101" s="1">
        <v>45165</v>
      </c>
      <c r="D101" t="s">
        <v>7</v>
      </c>
      <c r="E101">
        <v>39</v>
      </c>
      <c r="F101" t="s">
        <v>6</v>
      </c>
      <c r="G101" s="8">
        <f t="shared" si="6"/>
        <v>348</v>
      </c>
      <c r="H101">
        <f t="shared" si="7"/>
        <v>3</v>
      </c>
      <c r="I101" t="str">
        <f t="shared" si="8"/>
        <v>Tuesday</v>
      </c>
      <c r="L101">
        <f t="shared" si="9"/>
        <v>0</v>
      </c>
    </row>
    <row r="102" spans="1:12" x14ac:dyDescent="0.25">
      <c r="A102">
        <v>137338480</v>
      </c>
      <c r="B102" s="1">
        <v>44817</v>
      </c>
      <c r="C102" s="1">
        <v>44818</v>
      </c>
      <c r="D102" t="s">
        <v>7</v>
      </c>
      <c r="E102">
        <v>39</v>
      </c>
      <c r="F102" t="s">
        <v>6</v>
      </c>
      <c r="G102" s="8">
        <f t="shared" si="6"/>
        <v>1</v>
      </c>
      <c r="H102">
        <f t="shared" si="7"/>
        <v>3</v>
      </c>
      <c r="I102" t="str">
        <f t="shared" si="8"/>
        <v>Tuesday</v>
      </c>
      <c r="L102">
        <f t="shared" si="9"/>
        <v>1</v>
      </c>
    </row>
    <row r="103" spans="1:12" x14ac:dyDescent="0.25">
      <c r="A103">
        <v>155508519</v>
      </c>
      <c r="B103" s="1">
        <v>44817</v>
      </c>
      <c r="C103" s="1">
        <v>44857</v>
      </c>
      <c r="D103" t="s">
        <v>7</v>
      </c>
      <c r="E103">
        <v>39</v>
      </c>
      <c r="F103" t="s">
        <v>6</v>
      </c>
      <c r="G103" s="8">
        <f t="shared" si="6"/>
        <v>40</v>
      </c>
      <c r="H103">
        <f t="shared" si="7"/>
        <v>3</v>
      </c>
      <c r="I103" t="str">
        <f t="shared" si="8"/>
        <v>Tuesday</v>
      </c>
      <c r="L103">
        <f t="shared" si="9"/>
        <v>0</v>
      </c>
    </row>
    <row r="104" spans="1:12" x14ac:dyDescent="0.25">
      <c r="A104">
        <v>155463846</v>
      </c>
      <c r="B104" s="1">
        <v>44817</v>
      </c>
      <c r="C104" s="1">
        <v>44837</v>
      </c>
      <c r="D104" t="s">
        <v>7</v>
      </c>
      <c r="E104">
        <v>39</v>
      </c>
      <c r="F104" t="s">
        <v>6</v>
      </c>
      <c r="G104" s="8">
        <f t="shared" si="6"/>
        <v>20</v>
      </c>
      <c r="H104">
        <f t="shared" si="7"/>
        <v>3</v>
      </c>
      <c r="I104" t="str">
        <f t="shared" si="8"/>
        <v>Tuesday</v>
      </c>
      <c r="L104">
        <f t="shared" si="9"/>
        <v>0</v>
      </c>
    </row>
    <row r="105" spans="1:12" x14ac:dyDescent="0.25">
      <c r="A105">
        <v>122335220</v>
      </c>
      <c r="B105" s="1">
        <v>44817</v>
      </c>
      <c r="C105" s="1">
        <v>44821</v>
      </c>
      <c r="D105" t="s">
        <v>7</v>
      </c>
      <c r="E105">
        <v>39</v>
      </c>
      <c r="F105" t="s">
        <v>6</v>
      </c>
      <c r="G105" s="8">
        <f t="shared" si="6"/>
        <v>4</v>
      </c>
      <c r="H105">
        <f t="shared" si="7"/>
        <v>3</v>
      </c>
      <c r="I105" t="str">
        <f t="shared" si="8"/>
        <v>Tuesday</v>
      </c>
      <c r="L105">
        <f t="shared" si="9"/>
        <v>0</v>
      </c>
    </row>
    <row r="106" spans="1:12" x14ac:dyDescent="0.25">
      <c r="A106">
        <v>155460904</v>
      </c>
      <c r="B106" s="1">
        <v>44817</v>
      </c>
      <c r="C106" s="1">
        <v>45091</v>
      </c>
      <c r="D106" t="s">
        <v>7</v>
      </c>
      <c r="E106">
        <v>39</v>
      </c>
      <c r="F106" t="s">
        <v>6</v>
      </c>
      <c r="G106" s="8">
        <f t="shared" si="6"/>
        <v>274</v>
      </c>
      <c r="H106">
        <f t="shared" si="7"/>
        <v>3</v>
      </c>
      <c r="I106" t="str">
        <f t="shared" si="8"/>
        <v>Tuesday</v>
      </c>
      <c r="L106">
        <f t="shared" si="9"/>
        <v>0</v>
      </c>
    </row>
    <row r="107" spans="1:12" x14ac:dyDescent="0.25">
      <c r="A107">
        <v>155534484</v>
      </c>
      <c r="B107" s="1">
        <v>44818</v>
      </c>
      <c r="C107" s="1">
        <v>44819</v>
      </c>
      <c r="D107" t="s">
        <v>8</v>
      </c>
      <c r="E107">
        <v>39</v>
      </c>
      <c r="F107" t="s">
        <v>6</v>
      </c>
      <c r="G107" s="8">
        <f t="shared" si="6"/>
        <v>1</v>
      </c>
      <c r="H107">
        <f t="shared" si="7"/>
        <v>4</v>
      </c>
      <c r="I107" t="str">
        <f t="shared" si="8"/>
        <v>Wednesday</v>
      </c>
      <c r="L107">
        <f t="shared" si="9"/>
        <v>1</v>
      </c>
    </row>
    <row r="108" spans="1:12" x14ac:dyDescent="0.25">
      <c r="A108">
        <v>155465332</v>
      </c>
      <c r="B108" s="1">
        <v>44818</v>
      </c>
      <c r="C108" s="1">
        <v>44991</v>
      </c>
      <c r="D108" t="s">
        <v>7</v>
      </c>
      <c r="E108">
        <v>39</v>
      </c>
      <c r="F108" t="s">
        <v>6</v>
      </c>
      <c r="G108" s="8">
        <f t="shared" si="6"/>
        <v>173</v>
      </c>
      <c r="H108">
        <f t="shared" si="7"/>
        <v>4</v>
      </c>
      <c r="I108" t="str">
        <f t="shared" si="8"/>
        <v>Wednesday</v>
      </c>
      <c r="L108">
        <f t="shared" si="9"/>
        <v>0</v>
      </c>
    </row>
    <row r="109" spans="1:12" x14ac:dyDescent="0.25">
      <c r="A109">
        <v>155562517</v>
      </c>
      <c r="B109" s="1">
        <v>44818</v>
      </c>
      <c r="C109" s="1">
        <v>44902</v>
      </c>
      <c r="D109" t="s">
        <v>7</v>
      </c>
      <c r="E109">
        <v>39</v>
      </c>
      <c r="F109" t="s">
        <v>6</v>
      </c>
      <c r="G109" s="8">
        <f t="shared" si="6"/>
        <v>84</v>
      </c>
      <c r="H109">
        <f t="shared" si="7"/>
        <v>4</v>
      </c>
      <c r="I109" t="str">
        <f t="shared" si="8"/>
        <v>Wednesday</v>
      </c>
      <c r="L109">
        <f t="shared" si="9"/>
        <v>0</v>
      </c>
    </row>
    <row r="110" spans="1:12" x14ac:dyDescent="0.25">
      <c r="A110">
        <v>153577096</v>
      </c>
      <c r="B110" s="1">
        <v>44818</v>
      </c>
      <c r="C110" s="1">
        <v>44855</v>
      </c>
      <c r="D110" t="s">
        <v>7</v>
      </c>
      <c r="E110">
        <v>39</v>
      </c>
      <c r="F110" t="s">
        <v>6</v>
      </c>
      <c r="G110" s="8">
        <f t="shared" si="6"/>
        <v>37</v>
      </c>
      <c r="H110">
        <f t="shared" si="7"/>
        <v>4</v>
      </c>
      <c r="I110" t="str">
        <f t="shared" si="8"/>
        <v>Wednesday</v>
      </c>
      <c r="L110">
        <f t="shared" si="9"/>
        <v>0</v>
      </c>
    </row>
    <row r="111" spans="1:12" x14ac:dyDescent="0.25">
      <c r="A111">
        <v>154937101</v>
      </c>
      <c r="B111" s="1">
        <v>44819</v>
      </c>
      <c r="C111" s="1">
        <f ca="1">TODAY()</f>
        <v>45938</v>
      </c>
      <c r="D111" t="s">
        <v>7</v>
      </c>
      <c r="E111">
        <v>39</v>
      </c>
      <c r="F111" t="s">
        <v>6</v>
      </c>
      <c r="G111" s="8">
        <f t="shared" ca="1" si="6"/>
        <v>1119</v>
      </c>
      <c r="H111">
        <f t="shared" si="7"/>
        <v>5</v>
      </c>
      <c r="I111" t="str">
        <f t="shared" si="8"/>
        <v>Thursday</v>
      </c>
      <c r="L111">
        <f t="shared" ca="1" si="9"/>
        <v>0</v>
      </c>
    </row>
    <row r="112" spans="1:12" x14ac:dyDescent="0.25">
      <c r="A112">
        <v>144968444</v>
      </c>
      <c r="B112" s="1">
        <v>44819</v>
      </c>
      <c r="C112" s="1">
        <v>44819</v>
      </c>
      <c r="D112" t="s">
        <v>8</v>
      </c>
      <c r="E112">
        <v>39</v>
      </c>
      <c r="F112" t="s">
        <v>6</v>
      </c>
      <c r="G112" s="8">
        <f t="shared" si="6"/>
        <v>0</v>
      </c>
      <c r="H112">
        <f t="shared" si="7"/>
        <v>5</v>
      </c>
      <c r="I112" t="str">
        <f t="shared" si="8"/>
        <v>Thursday</v>
      </c>
      <c r="L112">
        <f t="shared" si="9"/>
        <v>1</v>
      </c>
    </row>
    <row r="113" spans="1:12" x14ac:dyDescent="0.25">
      <c r="A113">
        <v>155270889</v>
      </c>
      <c r="B113" s="1">
        <v>44819</v>
      </c>
      <c r="C113" s="1">
        <v>44991</v>
      </c>
      <c r="D113" t="s">
        <v>7</v>
      </c>
      <c r="E113">
        <v>39</v>
      </c>
      <c r="F113" t="s">
        <v>6</v>
      </c>
      <c r="G113" s="8">
        <f t="shared" si="6"/>
        <v>172</v>
      </c>
      <c r="H113">
        <f t="shared" si="7"/>
        <v>5</v>
      </c>
      <c r="I113" t="str">
        <f t="shared" si="8"/>
        <v>Thursday</v>
      </c>
      <c r="L113">
        <f t="shared" si="9"/>
        <v>0</v>
      </c>
    </row>
    <row r="114" spans="1:12" x14ac:dyDescent="0.25">
      <c r="A114">
        <v>155601465</v>
      </c>
      <c r="B114" s="1">
        <v>44819</v>
      </c>
      <c r="C114" s="1">
        <v>45078</v>
      </c>
      <c r="D114" t="s">
        <v>7</v>
      </c>
      <c r="E114">
        <v>39</v>
      </c>
      <c r="F114" t="s">
        <v>6</v>
      </c>
      <c r="G114" s="8">
        <f t="shared" si="6"/>
        <v>259</v>
      </c>
      <c r="H114">
        <f t="shared" si="7"/>
        <v>5</v>
      </c>
      <c r="I114" t="str">
        <f t="shared" si="8"/>
        <v>Thursday</v>
      </c>
      <c r="L114">
        <f t="shared" si="9"/>
        <v>0</v>
      </c>
    </row>
    <row r="115" spans="1:12" x14ac:dyDescent="0.25">
      <c r="A115">
        <v>154045370</v>
      </c>
      <c r="B115" s="1">
        <v>44819</v>
      </c>
      <c r="C115" s="1">
        <v>44893</v>
      </c>
      <c r="D115" t="s">
        <v>7</v>
      </c>
      <c r="E115">
        <v>39</v>
      </c>
      <c r="F115" t="s">
        <v>6</v>
      </c>
      <c r="G115" s="8">
        <f t="shared" si="6"/>
        <v>74</v>
      </c>
      <c r="H115">
        <f t="shared" si="7"/>
        <v>5</v>
      </c>
      <c r="I115" t="str">
        <f t="shared" si="8"/>
        <v>Thursday</v>
      </c>
      <c r="L115">
        <f t="shared" si="9"/>
        <v>0</v>
      </c>
    </row>
    <row r="116" spans="1:12" x14ac:dyDescent="0.25">
      <c r="A116">
        <v>155612742</v>
      </c>
      <c r="B116" s="1">
        <v>44819</v>
      </c>
      <c r="C116" s="1">
        <v>44873</v>
      </c>
      <c r="D116" t="s">
        <v>7</v>
      </c>
      <c r="E116">
        <v>39</v>
      </c>
      <c r="F116" t="s">
        <v>6</v>
      </c>
      <c r="G116" s="8">
        <f t="shared" si="6"/>
        <v>54</v>
      </c>
      <c r="H116">
        <f t="shared" si="7"/>
        <v>5</v>
      </c>
      <c r="I116" t="str">
        <f t="shared" si="8"/>
        <v>Thursday</v>
      </c>
      <c r="L116">
        <f t="shared" si="9"/>
        <v>0</v>
      </c>
    </row>
    <row r="117" spans="1:12" x14ac:dyDescent="0.25">
      <c r="A117">
        <v>155621162</v>
      </c>
      <c r="B117" s="1">
        <v>44819</v>
      </c>
      <c r="C117" s="1">
        <v>44879</v>
      </c>
      <c r="D117" t="s">
        <v>7</v>
      </c>
      <c r="E117">
        <v>39</v>
      </c>
      <c r="F117" t="s">
        <v>6</v>
      </c>
      <c r="G117" s="8">
        <f t="shared" si="6"/>
        <v>60</v>
      </c>
      <c r="H117">
        <f t="shared" si="7"/>
        <v>5</v>
      </c>
      <c r="I117" t="str">
        <f t="shared" si="8"/>
        <v>Thursday</v>
      </c>
      <c r="L117">
        <f t="shared" si="9"/>
        <v>0</v>
      </c>
    </row>
    <row r="118" spans="1:12" x14ac:dyDescent="0.25">
      <c r="A118">
        <v>154904040</v>
      </c>
      <c r="B118" s="1">
        <v>44819</v>
      </c>
      <c r="C118" s="1">
        <v>44856</v>
      </c>
      <c r="D118" t="s">
        <v>7</v>
      </c>
      <c r="E118">
        <v>39</v>
      </c>
      <c r="F118" t="s">
        <v>6</v>
      </c>
      <c r="G118" s="8">
        <f t="shared" si="6"/>
        <v>37</v>
      </c>
      <c r="H118">
        <f t="shared" si="7"/>
        <v>5</v>
      </c>
      <c r="I118" t="str">
        <f t="shared" si="8"/>
        <v>Thursday</v>
      </c>
      <c r="L118">
        <f t="shared" si="9"/>
        <v>0</v>
      </c>
    </row>
    <row r="119" spans="1:12" x14ac:dyDescent="0.25">
      <c r="A119">
        <v>150810434</v>
      </c>
      <c r="B119" s="1">
        <v>44819</v>
      </c>
      <c r="C119" s="1">
        <v>44846</v>
      </c>
      <c r="D119" t="s">
        <v>7</v>
      </c>
      <c r="E119">
        <v>39</v>
      </c>
      <c r="F119" t="s">
        <v>6</v>
      </c>
      <c r="G119" s="8">
        <f t="shared" si="6"/>
        <v>27</v>
      </c>
      <c r="H119">
        <f t="shared" si="7"/>
        <v>5</v>
      </c>
      <c r="I119" t="str">
        <f t="shared" si="8"/>
        <v>Thursday</v>
      </c>
      <c r="L119">
        <f t="shared" si="9"/>
        <v>0</v>
      </c>
    </row>
    <row r="120" spans="1:12" x14ac:dyDescent="0.25">
      <c r="A120">
        <v>150825802</v>
      </c>
      <c r="B120" s="1">
        <v>44819</v>
      </c>
      <c r="C120" s="1">
        <v>44847</v>
      </c>
      <c r="D120" t="s">
        <v>7</v>
      </c>
      <c r="E120">
        <v>39</v>
      </c>
      <c r="F120" t="s">
        <v>6</v>
      </c>
      <c r="G120" s="8">
        <f t="shared" si="6"/>
        <v>28</v>
      </c>
      <c r="H120">
        <f t="shared" si="7"/>
        <v>5</v>
      </c>
      <c r="I120" t="str">
        <f t="shared" si="8"/>
        <v>Thursday</v>
      </c>
      <c r="L120">
        <f t="shared" si="9"/>
        <v>0</v>
      </c>
    </row>
    <row r="121" spans="1:12" x14ac:dyDescent="0.25">
      <c r="A121">
        <v>151907203</v>
      </c>
      <c r="B121" s="1">
        <v>44819</v>
      </c>
      <c r="C121" s="1">
        <v>44845</v>
      </c>
      <c r="D121" t="s">
        <v>7</v>
      </c>
      <c r="E121">
        <v>39</v>
      </c>
      <c r="F121" t="s">
        <v>6</v>
      </c>
      <c r="G121" s="8">
        <f t="shared" si="6"/>
        <v>26</v>
      </c>
      <c r="H121">
        <f t="shared" si="7"/>
        <v>5</v>
      </c>
      <c r="I121" t="str">
        <f t="shared" si="8"/>
        <v>Thursday</v>
      </c>
      <c r="L121">
        <f t="shared" si="9"/>
        <v>0</v>
      </c>
    </row>
    <row r="122" spans="1:12" x14ac:dyDescent="0.25">
      <c r="A122">
        <v>149595273</v>
      </c>
      <c r="B122" s="1">
        <v>44819</v>
      </c>
      <c r="C122" s="1">
        <v>44833</v>
      </c>
      <c r="D122" t="s">
        <v>7</v>
      </c>
      <c r="E122">
        <v>39</v>
      </c>
      <c r="F122" t="s">
        <v>6</v>
      </c>
      <c r="G122" s="8">
        <f t="shared" si="6"/>
        <v>14</v>
      </c>
      <c r="H122">
        <f t="shared" si="7"/>
        <v>5</v>
      </c>
      <c r="I122" t="str">
        <f t="shared" si="8"/>
        <v>Thursday</v>
      </c>
      <c r="L122">
        <f t="shared" si="9"/>
        <v>0</v>
      </c>
    </row>
    <row r="123" spans="1:12" x14ac:dyDescent="0.25">
      <c r="A123">
        <v>155596960</v>
      </c>
      <c r="B123" s="1">
        <v>44819</v>
      </c>
      <c r="C123" s="1">
        <v>44827</v>
      </c>
      <c r="D123" t="s">
        <v>7</v>
      </c>
      <c r="E123">
        <v>39</v>
      </c>
      <c r="F123" t="s">
        <v>6</v>
      </c>
      <c r="G123" s="8">
        <f t="shared" si="6"/>
        <v>8</v>
      </c>
      <c r="H123">
        <f t="shared" si="7"/>
        <v>5</v>
      </c>
      <c r="I123" t="str">
        <f t="shared" si="8"/>
        <v>Thursday</v>
      </c>
      <c r="L123">
        <f t="shared" si="9"/>
        <v>0</v>
      </c>
    </row>
    <row r="124" spans="1:12" x14ac:dyDescent="0.25">
      <c r="A124">
        <v>155192606</v>
      </c>
      <c r="B124" s="1">
        <v>44820</v>
      </c>
      <c r="C124" s="1">
        <f ca="1">TODAY()</f>
        <v>45938</v>
      </c>
      <c r="D124" t="s">
        <v>7</v>
      </c>
      <c r="E124">
        <v>39</v>
      </c>
      <c r="F124" t="s">
        <v>6</v>
      </c>
      <c r="G124" s="8">
        <f t="shared" ca="1" si="6"/>
        <v>1118</v>
      </c>
      <c r="H124">
        <f t="shared" si="7"/>
        <v>6</v>
      </c>
      <c r="I124" t="str">
        <f t="shared" si="8"/>
        <v>Friday</v>
      </c>
      <c r="L124">
        <f t="shared" ca="1" si="9"/>
        <v>0</v>
      </c>
    </row>
    <row r="125" spans="1:12" x14ac:dyDescent="0.25">
      <c r="A125">
        <v>129111644</v>
      </c>
      <c r="B125" s="1">
        <v>44820</v>
      </c>
      <c r="C125" s="1">
        <v>45008</v>
      </c>
      <c r="D125" t="s">
        <v>7</v>
      </c>
      <c r="E125">
        <v>39</v>
      </c>
      <c r="F125" t="s">
        <v>6</v>
      </c>
      <c r="G125" s="8">
        <f t="shared" si="6"/>
        <v>188</v>
      </c>
      <c r="H125">
        <f t="shared" si="7"/>
        <v>6</v>
      </c>
      <c r="I125" t="str">
        <f t="shared" si="8"/>
        <v>Friday</v>
      </c>
      <c r="L125">
        <f t="shared" si="9"/>
        <v>0</v>
      </c>
    </row>
    <row r="126" spans="1:12" x14ac:dyDescent="0.25">
      <c r="A126">
        <v>155426674</v>
      </c>
      <c r="B126" s="1">
        <v>44820</v>
      </c>
      <c r="C126" s="1">
        <v>45026</v>
      </c>
      <c r="D126" t="s">
        <v>7</v>
      </c>
      <c r="E126">
        <v>39</v>
      </c>
      <c r="F126" t="s">
        <v>6</v>
      </c>
      <c r="G126" s="8">
        <f t="shared" si="6"/>
        <v>206</v>
      </c>
      <c r="H126">
        <f t="shared" si="7"/>
        <v>6</v>
      </c>
      <c r="I126" t="str">
        <f t="shared" si="8"/>
        <v>Friday</v>
      </c>
      <c r="L126">
        <f t="shared" si="9"/>
        <v>0</v>
      </c>
    </row>
    <row r="127" spans="1:12" x14ac:dyDescent="0.25">
      <c r="A127">
        <v>154389303</v>
      </c>
      <c r="B127" s="1">
        <v>44820</v>
      </c>
      <c r="C127" s="1">
        <v>44931</v>
      </c>
      <c r="D127" t="s">
        <v>7</v>
      </c>
      <c r="E127">
        <v>39</v>
      </c>
      <c r="F127" t="s">
        <v>6</v>
      </c>
      <c r="G127" s="8">
        <f t="shared" si="6"/>
        <v>111</v>
      </c>
      <c r="H127">
        <f t="shared" si="7"/>
        <v>6</v>
      </c>
      <c r="I127" t="str">
        <f t="shared" si="8"/>
        <v>Friday</v>
      </c>
      <c r="L127">
        <f t="shared" si="9"/>
        <v>0</v>
      </c>
    </row>
    <row r="128" spans="1:12" x14ac:dyDescent="0.25">
      <c r="A128">
        <v>155671632</v>
      </c>
      <c r="B128" s="1">
        <v>44820</v>
      </c>
      <c r="C128" s="1">
        <v>44917</v>
      </c>
      <c r="D128" t="s">
        <v>7</v>
      </c>
      <c r="E128">
        <v>39</v>
      </c>
      <c r="F128" t="s">
        <v>6</v>
      </c>
      <c r="G128" s="8">
        <f t="shared" si="6"/>
        <v>97</v>
      </c>
      <c r="H128">
        <f t="shared" si="7"/>
        <v>6</v>
      </c>
      <c r="I128" t="str">
        <f t="shared" si="8"/>
        <v>Friday</v>
      </c>
      <c r="L128">
        <f t="shared" si="9"/>
        <v>0</v>
      </c>
    </row>
    <row r="129" spans="1:15" x14ac:dyDescent="0.25">
      <c r="A129">
        <v>155663101</v>
      </c>
      <c r="B129" s="1">
        <v>44820</v>
      </c>
      <c r="C129" s="1">
        <v>44838</v>
      </c>
      <c r="D129" t="s">
        <v>7</v>
      </c>
      <c r="E129">
        <v>39</v>
      </c>
      <c r="F129" t="s">
        <v>6</v>
      </c>
      <c r="G129" s="8">
        <f t="shared" si="6"/>
        <v>18</v>
      </c>
      <c r="H129">
        <f t="shared" si="7"/>
        <v>6</v>
      </c>
      <c r="I129" t="str">
        <f t="shared" si="8"/>
        <v>Friday</v>
      </c>
      <c r="L129">
        <f t="shared" si="9"/>
        <v>0</v>
      </c>
    </row>
    <row r="130" spans="1:15" x14ac:dyDescent="0.25">
      <c r="A130">
        <v>152084572</v>
      </c>
      <c r="B130" s="1">
        <v>44821</v>
      </c>
      <c r="C130" s="1">
        <f ca="1">TODAY()</f>
        <v>45938</v>
      </c>
      <c r="D130" t="s">
        <v>7</v>
      </c>
      <c r="E130">
        <v>39</v>
      </c>
      <c r="F130" t="s">
        <v>6</v>
      </c>
      <c r="G130" s="8">
        <f t="shared" ca="1" si="6"/>
        <v>1117</v>
      </c>
      <c r="H130">
        <f t="shared" si="7"/>
        <v>7</v>
      </c>
      <c r="I130" t="str">
        <f t="shared" si="8"/>
        <v>Saturday</v>
      </c>
      <c r="L130">
        <f t="shared" ca="1" si="9"/>
        <v>0</v>
      </c>
    </row>
    <row r="131" spans="1:15" x14ac:dyDescent="0.25">
      <c r="A131">
        <v>155783230</v>
      </c>
      <c r="B131" s="1">
        <v>44821</v>
      </c>
      <c r="C131" s="1">
        <v>45058</v>
      </c>
      <c r="D131" t="s">
        <v>7</v>
      </c>
      <c r="E131">
        <v>39</v>
      </c>
      <c r="F131" t="s">
        <v>6</v>
      </c>
      <c r="G131" s="8">
        <f t="shared" ref="G131:G194" si="10">IFERROR(DATEDIF(B131,C131,"D"),"0")</f>
        <v>237</v>
      </c>
      <c r="H131">
        <f t="shared" ref="H131:H194" si="11">WEEKDAY(B131,1)</f>
        <v>7</v>
      </c>
      <c r="I131" t="str">
        <f t="shared" ref="I131:I194" si="12">TEXT(B131,"DDDD")</f>
        <v>Saturday</v>
      </c>
      <c r="L131">
        <f t="shared" ref="L131:L194" si="13">IF( OR($G131=0,$G131 = 1, $G131 = 2), 1, 0 )</f>
        <v>0</v>
      </c>
    </row>
    <row r="132" spans="1:15" x14ac:dyDescent="0.25">
      <c r="A132">
        <v>155714315</v>
      </c>
      <c r="B132" s="1">
        <v>44821</v>
      </c>
      <c r="C132" s="1">
        <v>44940</v>
      </c>
      <c r="D132" t="s">
        <v>7</v>
      </c>
      <c r="E132">
        <v>39</v>
      </c>
      <c r="F132" t="s">
        <v>6</v>
      </c>
      <c r="G132" s="8">
        <f t="shared" si="10"/>
        <v>119</v>
      </c>
      <c r="H132">
        <f t="shared" si="11"/>
        <v>7</v>
      </c>
      <c r="I132" t="str">
        <f t="shared" si="12"/>
        <v>Saturday</v>
      </c>
      <c r="L132">
        <f t="shared" si="13"/>
        <v>0</v>
      </c>
    </row>
    <row r="133" spans="1:15" x14ac:dyDescent="0.25">
      <c r="A133">
        <v>155774393</v>
      </c>
      <c r="B133" s="1">
        <v>44821</v>
      </c>
      <c r="C133" s="1">
        <v>44852</v>
      </c>
      <c r="D133" t="s">
        <v>7</v>
      </c>
      <c r="E133">
        <v>39</v>
      </c>
      <c r="F133" t="s">
        <v>6</v>
      </c>
      <c r="G133" s="8">
        <f t="shared" si="10"/>
        <v>31</v>
      </c>
      <c r="H133">
        <f t="shared" si="11"/>
        <v>7</v>
      </c>
      <c r="I133" t="str">
        <f t="shared" si="12"/>
        <v>Saturday</v>
      </c>
      <c r="L133">
        <f t="shared" si="13"/>
        <v>0</v>
      </c>
    </row>
    <row r="134" spans="1:15" x14ac:dyDescent="0.25">
      <c r="A134">
        <v>152901090</v>
      </c>
      <c r="B134" s="1">
        <v>44822</v>
      </c>
      <c r="C134" s="1">
        <v>44951</v>
      </c>
      <c r="D134" t="s">
        <v>7</v>
      </c>
      <c r="E134">
        <v>39</v>
      </c>
      <c r="F134" t="s">
        <v>6</v>
      </c>
      <c r="G134" s="8">
        <f t="shared" si="10"/>
        <v>129</v>
      </c>
      <c r="H134">
        <f t="shared" si="11"/>
        <v>1</v>
      </c>
      <c r="I134" t="str">
        <f t="shared" si="12"/>
        <v>Sunday</v>
      </c>
      <c r="L134">
        <f t="shared" si="13"/>
        <v>0</v>
      </c>
    </row>
    <row r="135" spans="1:15" x14ac:dyDescent="0.25">
      <c r="A135">
        <v>147029752</v>
      </c>
      <c r="B135" s="1">
        <v>44822</v>
      </c>
      <c r="C135" s="1">
        <v>44886</v>
      </c>
      <c r="D135" t="s">
        <v>7</v>
      </c>
      <c r="E135">
        <v>39</v>
      </c>
      <c r="F135" t="s">
        <v>6</v>
      </c>
      <c r="G135" s="8">
        <f t="shared" si="10"/>
        <v>64</v>
      </c>
      <c r="H135">
        <f t="shared" si="11"/>
        <v>1</v>
      </c>
      <c r="I135" t="str">
        <f t="shared" si="12"/>
        <v>Sunday</v>
      </c>
      <c r="L135">
        <f t="shared" si="13"/>
        <v>0</v>
      </c>
    </row>
    <row r="136" spans="1:15" x14ac:dyDescent="0.25">
      <c r="A136">
        <v>155809043</v>
      </c>
      <c r="B136" s="1">
        <v>44822</v>
      </c>
      <c r="C136" s="1">
        <v>44903</v>
      </c>
      <c r="D136" t="s">
        <v>7</v>
      </c>
      <c r="E136">
        <v>39</v>
      </c>
      <c r="F136" t="s">
        <v>6</v>
      </c>
      <c r="G136" s="8">
        <f t="shared" si="10"/>
        <v>81</v>
      </c>
      <c r="H136">
        <f t="shared" si="11"/>
        <v>1</v>
      </c>
      <c r="I136" t="str">
        <f t="shared" si="12"/>
        <v>Sunday</v>
      </c>
      <c r="L136">
        <f t="shared" si="13"/>
        <v>0</v>
      </c>
    </row>
    <row r="137" spans="1:15" x14ac:dyDescent="0.25">
      <c r="A137">
        <v>155180991</v>
      </c>
      <c r="B137" s="1">
        <v>44822</v>
      </c>
      <c r="C137" s="1">
        <v>44877</v>
      </c>
      <c r="D137" t="s">
        <v>7</v>
      </c>
      <c r="E137">
        <v>39</v>
      </c>
      <c r="F137" t="s">
        <v>6</v>
      </c>
      <c r="G137" s="8">
        <f t="shared" si="10"/>
        <v>55</v>
      </c>
      <c r="H137">
        <f t="shared" si="11"/>
        <v>1</v>
      </c>
      <c r="I137" t="str">
        <f t="shared" si="12"/>
        <v>Sunday</v>
      </c>
      <c r="L137">
        <f t="shared" si="13"/>
        <v>0</v>
      </c>
    </row>
    <row r="138" spans="1:15" x14ac:dyDescent="0.25">
      <c r="A138">
        <v>155713732</v>
      </c>
      <c r="B138" s="1">
        <v>44822</v>
      </c>
      <c r="C138" s="1">
        <v>44834</v>
      </c>
      <c r="D138" t="s">
        <v>7</v>
      </c>
      <c r="E138">
        <v>39</v>
      </c>
      <c r="F138" t="s">
        <v>6</v>
      </c>
      <c r="G138" s="8">
        <f t="shared" si="10"/>
        <v>12</v>
      </c>
      <c r="H138">
        <f t="shared" si="11"/>
        <v>1</v>
      </c>
      <c r="I138" t="str">
        <f t="shared" si="12"/>
        <v>Sunday</v>
      </c>
      <c r="L138">
        <f t="shared" si="13"/>
        <v>0</v>
      </c>
    </row>
    <row r="139" spans="1:15" x14ac:dyDescent="0.25">
      <c r="A139">
        <v>155204060</v>
      </c>
      <c r="B139" s="1">
        <v>44822</v>
      </c>
      <c r="C139" s="1">
        <v>44851</v>
      </c>
      <c r="D139" t="s">
        <v>7</v>
      </c>
      <c r="E139">
        <v>39</v>
      </c>
      <c r="F139" t="s">
        <v>6</v>
      </c>
      <c r="G139" s="8">
        <f t="shared" si="10"/>
        <v>29</v>
      </c>
      <c r="H139">
        <f t="shared" si="11"/>
        <v>1</v>
      </c>
      <c r="I139" t="str">
        <f t="shared" si="12"/>
        <v>Sunday</v>
      </c>
      <c r="L139">
        <f t="shared" si="13"/>
        <v>0</v>
      </c>
    </row>
    <row r="140" spans="1:15" x14ac:dyDescent="0.25">
      <c r="A140">
        <v>136817161</v>
      </c>
      <c r="B140" s="1">
        <v>44823</v>
      </c>
      <c r="C140" s="1">
        <v>44851</v>
      </c>
      <c r="D140" t="s">
        <v>8</v>
      </c>
      <c r="E140">
        <v>39</v>
      </c>
      <c r="F140" t="s">
        <v>6</v>
      </c>
      <c r="G140" s="8">
        <f t="shared" si="10"/>
        <v>28</v>
      </c>
      <c r="H140">
        <f t="shared" si="11"/>
        <v>2</v>
      </c>
      <c r="I140" t="str">
        <f t="shared" si="12"/>
        <v>Monday</v>
      </c>
      <c r="L140">
        <f t="shared" si="13"/>
        <v>0</v>
      </c>
    </row>
    <row r="141" spans="1:15" x14ac:dyDescent="0.25">
      <c r="A141">
        <v>126212861</v>
      </c>
      <c r="B141" s="1">
        <v>44823</v>
      </c>
      <c r="C141" s="1">
        <v>44823</v>
      </c>
      <c r="D141" t="s">
        <v>7</v>
      </c>
      <c r="E141">
        <v>39</v>
      </c>
      <c r="F141" t="s">
        <v>6</v>
      </c>
      <c r="G141" s="8">
        <f t="shared" si="10"/>
        <v>0</v>
      </c>
      <c r="H141">
        <f t="shared" si="11"/>
        <v>2</v>
      </c>
      <c r="I141" t="str">
        <f t="shared" si="12"/>
        <v>Monday</v>
      </c>
      <c r="L141">
        <f t="shared" si="13"/>
        <v>1</v>
      </c>
      <c r="N141">
        <v>1</v>
      </c>
      <c r="O141">
        <v>282</v>
      </c>
    </row>
    <row r="142" spans="1:15" x14ac:dyDescent="0.25">
      <c r="A142">
        <v>155265877</v>
      </c>
      <c r="B142" s="1">
        <v>44823</v>
      </c>
      <c r="C142" s="1">
        <v>44967</v>
      </c>
      <c r="D142" t="s">
        <v>7</v>
      </c>
      <c r="E142">
        <v>39</v>
      </c>
      <c r="F142" t="s">
        <v>6</v>
      </c>
      <c r="G142" s="8">
        <f t="shared" si="10"/>
        <v>144</v>
      </c>
      <c r="H142">
        <f t="shared" si="11"/>
        <v>2</v>
      </c>
      <c r="I142" t="str">
        <f t="shared" si="12"/>
        <v>Monday</v>
      </c>
      <c r="L142">
        <f t="shared" si="13"/>
        <v>0</v>
      </c>
    </row>
    <row r="143" spans="1:15" x14ac:dyDescent="0.25">
      <c r="A143">
        <v>155916753</v>
      </c>
      <c r="B143" s="1">
        <v>44823</v>
      </c>
      <c r="C143" s="1">
        <v>44976</v>
      </c>
      <c r="D143" t="s">
        <v>7</v>
      </c>
      <c r="E143">
        <v>39</v>
      </c>
      <c r="F143" t="s">
        <v>6</v>
      </c>
      <c r="G143" s="8">
        <f t="shared" si="10"/>
        <v>153</v>
      </c>
      <c r="H143">
        <f t="shared" si="11"/>
        <v>2</v>
      </c>
      <c r="I143" t="str">
        <f t="shared" si="12"/>
        <v>Monday</v>
      </c>
      <c r="L143">
        <f t="shared" si="13"/>
        <v>0</v>
      </c>
    </row>
    <row r="144" spans="1:15" x14ac:dyDescent="0.25">
      <c r="A144">
        <v>155927984</v>
      </c>
      <c r="B144" s="1">
        <v>44823</v>
      </c>
      <c r="C144" s="1">
        <v>44912</v>
      </c>
      <c r="D144" t="s">
        <v>7</v>
      </c>
      <c r="E144">
        <v>39</v>
      </c>
      <c r="F144" t="s">
        <v>6</v>
      </c>
      <c r="G144" s="8">
        <f t="shared" si="10"/>
        <v>89</v>
      </c>
      <c r="H144">
        <f t="shared" si="11"/>
        <v>2</v>
      </c>
      <c r="I144" t="str">
        <f t="shared" si="12"/>
        <v>Monday</v>
      </c>
      <c r="L144">
        <f t="shared" si="13"/>
        <v>0</v>
      </c>
    </row>
    <row r="145" spans="1:12" x14ac:dyDescent="0.25">
      <c r="A145">
        <v>155876104</v>
      </c>
      <c r="B145" s="1">
        <v>44823</v>
      </c>
      <c r="C145" s="1">
        <v>44909</v>
      </c>
      <c r="D145" t="s">
        <v>7</v>
      </c>
      <c r="E145">
        <v>39</v>
      </c>
      <c r="F145" t="s">
        <v>6</v>
      </c>
      <c r="G145" s="8">
        <f t="shared" si="10"/>
        <v>86</v>
      </c>
      <c r="H145">
        <f t="shared" si="11"/>
        <v>2</v>
      </c>
      <c r="I145" t="str">
        <f t="shared" si="12"/>
        <v>Monday</v>
      </c>
      <c r="L145">
        <f t="shared" si="13"/>
        <v>0</v>
      </c>
    </row>
    <row r="146" spans="1:12" x14ac:dyDescent="0.25">
      <c r="A146">
        <v>155733164</v>
      </c>
      <c r="B146" s="1">
        <v>44823</v>
      </c>
      <c r="C146" s="1">
        <v>44823</v>
      </c>
      <c r="D146" t="s">
        <v>7</v>
      </c>
      <c r="E146">
        <v>39</v>
      </c>
      <c r="F146" t="s">
        <v>6</v>
      </c>
      <c r="G146" s="8">
        <f t="shared" si="10"/>
        <v>0</v>
      </c>
      <c r="H146">
        <f t="shared" si="11"/>
        <v>2</v>
      </c>
      <c r="I146" t="str">
        <f t="shared" si="12"/>
        <v>Monday</v>
      </c>
      <c r="L146">
        <f t="shared" si="13"/>
        <v>1</v>
      </c>
    </row>
    <row r="147" spans="1:12" x14ac:dyDescent="0.25">
      <c r="A147">
        <v>153832728</v>
      </c>
      <c r="B147" s="1">
        <v>44823</v>
      </c>
      <c r="C147" s="1">
        <v>44852</v>
      </c>
      <c r="D147" t="s">
        <v>7</v>
      </c>
      <c r="E147">
        <v>39</v>
      </c>
      <c r="F147" t="s">
        <v>6</v>
      </c>
      <c r="G147" s="8">
        <f t="shared" si="10"/>
        <v>29</v>
      </c>
      <c r="H147">
        <f t="shared" si="11"/>
        <v>2</v>
      </c>
      <c r="I147" t="str">
        <f t="shared" si="12"/>
        <v>Monday</v>
      </c>
      <c r="L147">
        <f t="shared" si="13"/>
        <v>0</v>
      </c>
    </row>
    <row r="148" spans="1:12" x14ac:dyDescent="0.25">
      <c r="A148">
        <v>155876188</v>
      </c>
      <c r="B148" s="1">
        <v>44823</v>
      </c>
      <c r="C148" s="1">
        <v>44854</v>
      </c>
      <c r="D148" t="s">
        <v>7</v>
      </c>
      <c r="E148">
        <v>39</v>
      </c>
      <c r="F148" t="s">
        <v>6</v>
      </c>
      <c r="G148" s="8">
        <f t="shared" si="10"/>
        <v>31</v>
      </c>
      <c r="H148">
        <f t="shared" si="11"/>
        <v>2</v>
      </c>
      <c r="I148" t="str">
        <f t="shared" si="12"/>
        <v>Monday</v>
      </c>
      <c r="L148">
        <f t="shared" si="13"/>
        <v>0</v>
      </c>
    </row>
    <row r="149" spans="1:12" x14ac:dyDescent="0.25">
      <c r="A149">
        <v>150687940</v>
      </c>
      <c r="B149" s="1">
        <v>44823</v>
      </c>
      <c r="C149" s="1">
        <v>44852</v>
      </c>
      <c r="D149" t="s">
        <v>7</v>
      </c>
      <c r="E149">
        <v>39</v>
      </c>
      <c r="F149" t="s">
        <v>6</v>
      </c>
      <c r="G149" s="8">
        <f t="shared" si="10"/>
        <v>29</v>
      </c>
      <c r="H149">
        <f t="shared" si="11"/>
        <v>2</v>
      </c>
      <c r="I149" t="str">
        <f t="shared" si="12"/>
        <v>Monday</v>
      </c>
      <c r="L149">
        <f t="shared" si="13"/>
        <v>0</v>
      </c>
    </row>
    <row r="150" spans="1:12" x14ac:dyDescent="0.25">
      <c r="A150">
        <v>155967446</v>
      </c>
      <c r="B150" s="1">
        <v>44824</v>
      </c>
      <c r="C150" s="1">
        <f ca="1">TODAY()</f>
        <v>45938</v>
      </c>
      <c r="D150" t="s">
        <v>7</v>
      </c>
      <c r="E150">
        <v>39</v>
      </c>
      <c r="F150" t="s">
        <v>6</v>
      </c>
      <c r="G150" s="8">
        <f t="shared" ca="1" si="10"/>
        <v>1114</v>
      </c>
      <c r="H150">
        <f t="shared" si="11"/>
        <v>3</v>
      </c>
      <c r="I150" t="str">
        <f t="shared" si="12"/>
        <v>Tuesday</v>
      </c>
      <c r="L150">
        <f t="shared" ca="1" si="13"/>
        <v>0</v>
      </c>
    </row>
    <row r="151" spans="1:12" x14ac:dyDescent="0.25">
      <c r="A151">
        <v>155687378</v>
      </c>
      <c r="B151" s="1">
        <v>44824</v>
      </c>
      <c r="C151" s="1">
        <v>45012</v>
      </c>
      <c r="D151" t="s">
        <v>7</v>
      </c>
      <c r="E151">
        <v>39</v>
      </c>
      <c r="F151" t="s">
        <v>6</v>
      </c>
      <c r="G151" s="8">
        <f t="shared" si="10"/>
        <v>188</v>
      </c>
      <c r="H151">
        <f t="shared" si="11"/>
        <v>3</v>
      </c>
      <c r="I151" t="str">
        <f t="shared" si="12"/>
        <v>Tuesday</v>
      </c>
      <c r="L151">
        <f t="shared" si="13"/>
        <v>0</v>
      </c>
    </row>
    <row r="152" spans="1:12" x14ac:dyDescent="0.25">
      <c r="A152">
        <v>156020667</v>
      </c>
      <c r="B152" s="1">
        <v>44824</v>
      </c>
      <c r="C152" s="1">
        <v>45055</v>
      </c>
      <c r="D152" t="s">
        <v>7</v>
      </c>
      <c r="E152">
        <v>39</v>
      </c>
      <c r="F152" t="s">
        <v>6</v>
      </c>
      <c r="G152" s="8">
        <f t="shared" si="10"/>
        <v>231</v>
      </c>
      <c r="H152">
        <f t="shared" si="11"/>
        <v>3</v>
      </c>
      <c r="I152" t="str">
        <f t="shared" si="12"/>
        <v>Tuesday</v>
      </c>
      <c r="L152">
        <f t="shared" si="13"/>
        <v>0</v>
      </c>
    </row>
    <row r="153" spans="1:12" x14ac:dyDescent="0.25">
      <c r="A153">
        <v>155869412</v>
      </c>
      <c r="B153" s="1">
        <v>44824</v>
      </c>
      <c r="C153" s="1">
        <v>44916</v>
      </c>
      <c r="D153" t="s">
        <v>7</v>
      </c>
      <c r="E153">
        <v>39</v>
      </c>
      <c r="F153" t="s">
        <v>6</v>
      </c>
      <c r="G153" s="8">
        <f t="shared" si="10"/>
        <v>92</v>
      </c>
      <c r="H153">
        <f t="shared" si="11"/>
        <v>3</v>
      </c>
      <c r="I153" t="str">
        <f t="shared" si="12"/>
        <v>Tuesday</v>
      </c>
      <c r="L153">
        <f t="shared" si="13"/>
        <v>0</v>
      </c>
    </row>
    <row r="154" spans="1:12" x14ac:dyDescent="0.25">
      <c r="A154">
        <v>156042204</v>
      </c>
      <c r="B154" s="1">
        <v>44824</v>
      </c>
      <c r="C154" s="1">
        <v>44873</v>
      </c>
      <c r="D154" t="s">
        <v>7</v>
      </c>
      <c r="E154">
        <v>39</v>
      </c>
      <c r="F154" t="s">
        <v>6</v>
      </c>
      <c r="G154" s="8">
        <f t="shared" si="10"/>
        <v>49</v>
      </c>
      <c r="H154">
        <f t="shared" si="11"/>
        <v>3</v>
      </c>
      <c r="I154" t="str">
        <f t="shared" si="12"/>
        <v>Tuesday</v>
      </c>
      <c r="L154">
        <f t="shared" si="13"/>
        <v>0</v>
      </c>
    </row>
    <row r="155" spans="1:12" x14ac:dyDescent="0.25">
      <c r="A155">
        <v>153568990</v>
      </c>
      <c r="B155" s="1">
        <v>44824</v>
      </c>
      <c r="C155" s="1">
        <v>44834</v>
      </c>
      <c r="D155" t="s">
        <v>7</v>
      </c>
      <c r="E155">
        <v>39</v>
      </c>
      <c r="F155" t="s">
        <v>6</v>
      </c>
      <c r="G155" s="8">
        <f t="shared" si="10"/>
        <v>10</v>
      </c>
      <c r="H155">
        <f t="shared" si="11"/>
        <v>3</v>
      </c>
      <c r="I155" t="str">
        <f t="shared" si="12"/>
        <v>Tuesday</v>
      </c>
      <c r="L155">
        <f t="shared" si="13"/>
        <v>0</v>
      </c>
    </row>
    <row r="156" spans="1:12" x14ac:dyDescent="0.25">
      <c r="A156">
        <v>155327111</v>
      </c>
      <c r="B156" s="1">
        <v>44824</v>
      </c>
      <c r="C156" s="1">
        <v>44865</v>
      </c>
      <c r="D156" t="s">
        <v>7</v>
      </c>
      <c r="E156">
        <v>39</v>
      </c>
      <c r="F156" t="s">
        <v>6</v>
      </c>
      <c r="G156" s="8">
        <f t="shared" si="10"/>
        <v>41</v>
      </c>
      <c r="H156">
        <f t="shared" si="11"/>
        <v>3</v>
      </c>
      <c r="I156" t="str">
        <f t="shared" si="12"/>
        <v>Tuesday</v>
      </c>
      <c r="L156">
        <f t="shared" si="13"/>
        <v>0</v>
      </c>
    </row>
    <row r="157" spans="1:12" x14ac:dyDescent="0.25">
      <c r="A157">
        <v>155270521</v>
      </c>
      <c r="B157" s="1">
        <v>44824</v>
      </c>
      <c r="C157" s="1">
        <v>45146</v>
      </c>
      <c r="D157" t="s">
        <v>7</v>
      </c>
      <c r="E157">
        <v>39</v>
      </c>
      <c r="F157" t="s">
        <v>6</v>
      </c>
      <c r="G157" s="8">
        <f t="shared" si="10"/>
        <v>322</v>
      </c>
      <c r="H157">
        <f t="shared" si="11"/>
        <v>3</v>
      </c>
      <c r="I157" t="str">
        <f t="shared" si="12"/>
        <v>Tuesday</v>
      </c>
      <c r="L157">
        <f t="shared" si="13"/>
        <v>0</v>
      </c>
    </row>
    <row r="158" spans="1:12" x14ac:dyDescent="0.25">
      <c r="A158">
        <v>155991618</v>
      </c>
      <c r="B158" s="1">
        <v>44825</v>
      </c>
      <c r="C158" s="1">
        <v>45105</v>
      </c>
      <c r="D158" t="s">
        <v>7</v>
      </c>
      <c r="E158">
        <v>39</v>
      </c>
      <c r="F158" t="s">
        <v>6</v>
      </c>
      <c r="G158" s="8">
        <f t="shared" si="10"/>
        <v>280</v>
      </c>
      <c r="H158">
        <f t="shared" si="11"/>
        <v>4</v>
      </c>
      <c r="I158" t="str">
        <f t="shared" si="12"/>
        <v>Wednesday</v>
      </c>
      <c r="L158">
        <f t="shared" si="13"/>
        <v>0</v>
      </c>
    </row>
    <row r="159" spans="1:12" x14ac:dyDescent="0.25">
      <c r="A159">
        <v>156045144</v>
      </c>
      <c r="B159" s="1">
        <v>44825</v>
      </c>
      <c r="C159" s="1">
        <v>44901</v>
      </c>
      <c r="D159" t="s">
        <v>7</v>
      </c>
      <c r="E159">
        <v>39</v>
      </c>
      <c r="F159" t="s">
        <v>6</v>
      </c>
      <c r="G159" s="8">
        <f t="shared" si="10"/>
        <v>76</v>
      </c>
      <c r="H159">
        <f t="shared" si="11"/>
        <v>4</v>
      </c>
      <c r="I159" t="str">
        <f t="shared" si="12"/>
        <v>Wednesday</v>
      </c>
      <c r="L159">
        <f t="shared" si="13"/>
        <v>0</v>
      </c>
    </row>
    <row r="160" spans="1:12" x14ac:dyDescent="0.25">
      <c r="A160">
        <v>155439932</v>
      </c>
      <c r="B160" s="1">
        <v>44825</v>
      </c>
      <c r="C160" s="1">
        <v>44879</v>
      </c>
      <c r="D160" t="s">
        <v>7</v>
      </c>
      <c r="E160">
        <v>39</v>
      </c>
      <c r="F160" t="s">
        <v>6</v>
      </c>
      <c r="G160" s="8">
        <f t="shared" si="10"/>
        <v>54</v>
      </c>
      <c r="H160">
        <f t="shared" si="11"/>
        <v>4</v>
      </c>
      <c r="I160" t="str">
        <f t="shared" si="12"/>
        <v>Wednesday</v>
      </c>
      <c r="L160">
        <f t="shared" si="13"/>
        <v>0</v>
      </c>
    </row>
    <row r="161" spans="1:12" x14ac:dyDescent="0.25">
      <c r="A161">
        <v>152674430</v>
      </c>
      <c r="B161" s="1">
        <v>44825</v>
      </c>
      <c r="C161" s="1">
        <v>44837</v>
      </c>
      <c r="D161" t="s">
        <v>7</v>
      </c>
      <c r="E161">
        <v>39</v>
      </c>
      <c r="F161" t="s">
        <v>6</v>
      </c>
      <c r="G161" s="8">
        <f t="shared" si="10"/>
        <v>12</v>
      </c>
      <c r="H161">
        <f t="shared" si="11"/>
        <v>4</v>
      </c>
      <c r="I161" t="str">
        <f t="shared" si="12"/>
        <v>Wednesday</v>
      </c>
      <c r="L161">
        <f t="shared" si="13"/>
        <v>0</v>
      </c>
    </row>
    <row r="162" spans="1:12" x14ac:dyDescent="0.25">
      <c r="A162">
        <v>156135106</v>
      </c>
      <c r="B162" s="1">
        <v>44826</v>
      </c>
      <c r="C162" s="1">
        <f ca="1">TODAY()</f>
        <v>45938</v>
      </c>
      <c r="D162" t="s">
        <v>7</v>
      </c>
      <c r="E162">
        <v>39</v>
      </c>
      <c r="F162" t="s">
        <v>6</v>
      </c>
      <c r="G162" s="8">
        <f t="shared" ca="1" si="10"/>
        <v>1112</v>
      </c>
      <c r="H162">
        <f t="shared" si="11"/>
        <v>5</v>
      </c>
      <c r="I162" t="str">
        <f t="shared" si="12"/>
        <v>Thursday</v>
      </c>
      <c r="L162">
        <f t="shared" ca="1" si="13"/>
        <v>0</v>
      </c>
    </row>
    <row r="163" spans="1:12" x14ac:dyDescent="0.25">
      <c r="A163">
        <v>156185490</v>
      </c>
      <c r="B163" s="1">
        <v>44826</v>
      </c>
      <c r="C163" s="1">
        <v>45048</v>
      </c>
      <c r="D163" t="s">
        <v>7</v>
      </c>
      <c r="E163">
        <v>39</v>
      </c>
      <c r="F163" t="s">
        <v>6</v>
      </c>
      <c r="G163" s="8">
        <f t="shared" si="10"/>
        <v>222</v>
      </c>
      <c r="H163">
        <f t="shared" si="11"/>
        <v>5</v>
      </c>
      <c r="I163" t="str">
        <f t="shared" si="12"/>
        <v>Thursday</v>
      </c>
      <c r="L163">
        <f t="shared" si="13"/>
        <v>0</v>
      </c>
    </row>
    <row r="164" spans="1:12" x14ac:dyDescent="0.25">
      <c r="A164">
        <v>156180312</v>
      </c>
      <c r="B164" s="1">
        <v>44826</v>
      </c>
      <c r="C164" s="1">
        <v>44880</v>
      </c>
      <c r="D164" t="s">
        <v>7</v>
      </c>
      <c r="E164">
        <v>39</v>
      </c>
      <c r="F164" t="s">
        <v>6</v>
      </c>
      <c r="G164" s="8">
        <f t="shared" si="10"/>
        <v>54</v>
      </c>
      <c r="H164">
        <f t="shared" si="11"/>
        <v>5</v>
      </c>
      <c r="I164" t="str">
        <f t="shared" si="12"/>
        <v>Thursday</v>
      </c>
      <c r="L164">
        <f t="shared" si="13"/>
        <v>0</v>
      </c>
    </row>
    <row r="165" spans="1:12" x14ac:dyDescent="0.25">
      <c r="A165">
        <v>151263484</v>
      </c>
      <c r="B165" s="1">
        <v>44826</v>
      </c>
      <c r="C165" s="1">
        <v>44863</v>
      </c>
      <c r="D165" t="s">
        <v>7</v>
      </c>
      <c r="E165">
        <v>39</v>
      </c>
      <c r="F165" t="s">
        <v>6</v>
      </c>
      <c r="G165" s="8">
        <f t="shared" si="10"/>
        <v>37</v>
      </c>
      <c r="H165">
        <f t="shared" si="11"/>
        <v>5</v>
      </c>
      <c r="I165" t="str">
        <f t="shared" si="12"/>
        <v>Thursday</v>
      </c>
      <c r="L165">
        <f t="shared" si="13"/>
        <v>0</v>
      </c>
    </row>
    <row r="166" spans="1:12" x14ac:dyDescent="0.25">
      <c r="A166">
        <v>156008989</v>
      </c>
      <c r="B166" s="1">
        <v>44826</v>
      </c>
      <c r="C166" s="1">
        <v>44855</v>
      </c>
      <c r="D166" t="s">
        <v>7</v>
      </c>
      <c r="E166">
        <v>39</v>
      </c>
      <c r="F166" t="s">
        <v>6</v>
      </c>
      <c r="G166" s="8">
        <f t="shared" si="10"/>
        <v>29</v>
      </c>
      <c r="H166">
        <f t="shared" si="11"/>
        <v>5</v>
      </c>
      <c r="I166" t="str">
        <f t="shared" si="12"/>
        <v>Thursday</v>
      </c>
      <c r="L166">
        <f t="shared" si="13"/>
        <v>0</v>
      </c>
    </row>
    <row r="167" spans="1:12" x14ac:dyDescent="0.25">
      <c r="A167">
        <v>147687218</v>
      </c>
      <c r="B167" s="1">
        <v>44826</v>
      </c>
      <c r="C167" s="1">
        <v>44863</v>
      </c>
      <c r="D167" t="s">
        <v>7</v>
      </c>
      <c r="E167">
        <v>39</v>
      </c>
      <c r="F167" t="s">
        <v>6</v>
      </c>
      <c r="G167" s="8">
        <f t="shared" si="10"/>
        <v>37</v>
      </c>
      <c r="H167">
        <f t="shared" si="11"/>
        <v>5</v>
      </c>
      <c r="I167" t="str">
        <f t="shared" si="12"/>
        <v>Thursday</v>
      </c>
      <c r="L167">
        <f t="shared" si="13"/>
        <v>0</v>
      </c>
    </row>
    <row r="168" spans="1:12" x14ac:dyDescent="0.25">
      <c r="A168">
        <v>156235650</v>
      </c>
      <c r="B168" s="1">
        <v>44827</v>
      </c>
      <c r="C168" s="1">
        <f ca="1">TODAY()</f>
        <v>45938</v>
      </c>
      <c r="D168" t="s">
        <v>7</v>
      </c>
      <c r="E168">
        <v>39</v>
      </c>
      <c r="F168" t="s">
        <v>6</v>
      </c>
      <c r="G168" s="8">
        <f t="shared" ca="1" si="10"/>
        <v>1111</v>
      </c>
      <c r="H168">
        <f t="shared" si="11"/>
        <v>6</v>
      </c>
      <c r="I168" t="str">
        <f t="shared" si="12"/>
        <v>Friday</v>
      </c>
      <c r="L168">
        <f t="shared" ca="1" si="13"/>
        <v>0</v>
      </c>
    </row>
    <row r="169" spans="1:12" x14ac:dyDescent="0.25">
      <c r="A169">
        <v>131128612</v>
      </c>
      <c r="B169" s="1">
        <v>44827</v>
      </c>
      <c r="C169" s="1">
        <v>44942</v>
      </c>
      <c r="D169" t="s">
        <v>7</v>
      </c>
      <c r="E169">
        <v>39</v>
      </c>
      <c r="F169" t="s">
        <v>6</v>
      </c>
      <c r="G169" s="8">
        <f t="shared" si="10"/>
        <v>115</v>
      </c>
      <c r="H169">
        <f t="shared" si="11"/>
        <v>6</v>
      </c>
      <c r="I169" t="str">
        <f t="shared" si="12"/>
        <v>Friday</v>
      </c>
      <c r="L169">
        <f t="shared" si="13"/>
        <v>0</v>
      </c>
    </row>
    <row r="170" spans="1:12" x14ac:dyDescent="0.25">
      <c r="A170">
        <v>156198840</v>
      </c>
      <c r="B170" s="1">
        <v>44827</v>
      </c>
      <c r="C170" s="1">
        <v>44947</v>
      </c>
      <c r="D170" t="s">
        <v>7</v>
      </c>
      <c r="E170">
        <v>39</v>
      </c>
      <c r="F170" t="s">
        <v>6</v>
      </c>
      <c r="G170" s="8">
        <f t="shared" si="10"/>
        <v>120</v>
      </c>
      <c r="H170">
        <f t="shared" si="11"/>
        <v>6</v>
      </c>
      <c r="I170" t="str">
        <f t="shared" si="12"/>
        <v>Friday</v>
      </c>
      <c r="L170">
        <f t="shared" si="13"/>
        <v>0</v>
      </c>
    </row>
    <row r="171" spans="1:12" x14ac:dyDescent="0.25">
      <c r="A171">
        <v>144166296</v>
      </c>
      <c r="B171" s="1">
        <v>44827</v>
      </c>
      <c r="C171" s="1">
        <v>44853</v>
      </c>
      <c r="D171" t="s">
        <v>7</v>
      </c>
      <c r="E171">
        <v>39</v>
      </c>
      <c r="F171" t="s">
        <v>6</v>
      </c>
      <c r="G171" s="8">
        <f t="shared" si="10"/>
        <v>26</v>
      </c>
      <c r="H171">
        <f t="shared" si="11"/>
        <v>6</v>
      </c>
      <c r="I171" t="str">
        <f t="shared" si="12"/>
        <v>Friday</v>
      </c>
      <c r="L171">
        <f t="shared" si="13"/>
        <v>0</v>
      </c>
    </row>
    <row r="172" spans="1:12" x14ac:dyDescent="0.25">
      <c r="A172">
        <v>136108848</v>
      </c>
      <c r="B172" s="1">
        <v>44827</v>
      </c>
      <c r="C172" s="1">
        <v>44895</v>
      </c>
      <c r="D172" t="s">
        <v>7</v>
      </c>
      <c r="E172">
        <v>39</v>
      </c>
      <c r="F172" t="s">
        <v>6</v>
      </c>
      <c r="G172" s="8">
        <f t="shared" si="10"/>
        <v>68</v>
      </c>
      <c r="H172">
        <f t="shared" si="11"/>
        <v>6</v>
      </c>
      <c r="I172" t="str">
        <f t="shared" si="12"/>
        <v>Friday</v>
      </c>
      <c r="L172">
        <f t="shared" si="13"/>
        <v>0</v>
      </c>
    </row>
    <row r="173" spans="1:12" x14ac:dyDescent="0.25">
      <c r="A173">
        <v>156225482</v>
      </c>
      <c r="B173" s="1">
        <v>44827</v>
      </c>
      <c r="C173" s="1">
        <v>44848</v>
      </c>
      <c r="D173" t="s">
        <v>7</v>
      </c>
      <c r="E173">
        <v>39</v>
      </c>
      <c r="F173" t="s">
        <v>6</v>
      </c>
      <c r="G173" s="8">
        <f t="shared" si="10"/>
        <v>21</v>
      </c>
      <c r="H173">
        <f t="shared" si="11"/>
        <v>6</v>
      </c>
      <c r="I173" t="str">
        <f t="shared" si="12"/>
        <v>Friday</v>
      </c>
      <c r="L173">
        <f t="shared" si="13"/>
        <v>0</v>
      </c>
    </row>
    <row r="174" spans="1:12" x14ac:dyDescent="0.25">
      <c r="A174">
        <v>156209360</v>
      </c>
      <c r="B174" s="1">
        <v>44827</v>
      </c>
      <c r="C174" s="1">
        <v>44864</v>
      </c>
      <c r="D174" t="s">
        <v>7</v>
      </c>
      <c r="E174">
        <v>39</v>
      </c>
      <c r="F174" t="s">
        <v>6</v>
      </c>
      <c r="G174" s="8">
        <f t="shared" si="10"/>
        <v>37</v>
      </c>
      <c r="H174">
        <f t="shared" si="11"/>
        <v>6</v>
      </c>
      <c r="I174" t="str">
        <f t="shared" si="12"/>
        <v>Friday</v>
      </c>
      <c r="L174">
        <f t="shared" si="13"/>
        <v>0</v>
      </c>
    </row>
    <row r="175" spans="1:12" x14ac:dyDescent="0.25">
      <c r="A175">
        <v>153492199</v>
      </c>
      <c r="B175" s="1">
        <v>44828</v>
      </c>
      <c r="C175" s="1">
        <v>44896</v>
      </c>
      <c r="D175" t="s">
        <v>7</v>
      </c>
      <c r="E175">
        <v>39</v>
      </c>
      <c r="F175" t="s">
        <v>6</v>
      </c>
      <c r="G175" s="8">
        <f t="shared" si="10"/>
        <v>68</v>
      </c>
      <c r="H175">
        <f t="shared" si="11"/>
        <v>7</v>
      </c>
      <c r="I175" t="str">
        <f t="shared" si="12"/>
        <v>Saturday</v>
      </c>
      <c r="L175">
        <f t="shared" si="13"/>
        <v>0</v>
      </c>
    </row>
    <row r="176" spans="1:12" x14ac:dyDescent="0.25">
      <c r="A176">
        <v>156127439</v>
      </c>
      <c r="B176" s="1">
        <v>44828</v>
      </c>
      <c r="C176" s="1">
        <v>44866</v>
      </c>
      <c r="D176" t="s">
        <v>7</v>
      </c>
      <c r="E176">
        <v>39</v>
      </c>
      <c r="F176" t="s">
        <v>6</v>
      </c>
      <c r="G176" s="8">
        <f t="shared" si="10"/>
        <v>38</v>
      </c>
      <c r="H176">
        <f t="shared" si="11"/>
        <v>7</v>
      </c>
      <c r="I176" t="str">
        <f t="shared" si="12"/>
        <v>Saturday</v>
      </c>
      <c r="L176">
        <f t="shared" si="13"/>
        <v>0</v>
      </c>
    </row>
    <row r="177" spans="1:12" x14ac:dyDescent="0.25">
      <c r="A177">
        <v>156197748</v>
      </c>
      <c r="B177" s="1">
        <v>44828</v>
      </c>
      <c r="C177" s="1">
        <v>44860</v>
      </c>
      <c r="D177" t="s">
        <v>7</v>
      </c>
      <c r="E177">
        <v>39</v>
      </c>
      <c r="F177" t="s">
        <v>6</v>
      </c>
      <c r="G177" s="8">
        <f t="shared" si="10"/>
        <v>32</v>
      </c>
      <c r="H177">
        <f t="shared" si="11"/>
        <v>7</v>
      </c>
      <c r="I177" t="str">
        <f t="shared" si="12"/>
        <v>Saturday</v>
      </c>
      <c r="L177">
        <f t="shared" si="13"/>
        <v>0</v>
      </c>
    </row>
    <row r="178" spans="1:12" x14ac:dyDescent="0.25">
      <c r="A178">
        <v>156292980</v>
      </c>
      <c r="B178" s="1">
        <v>44829</v>
      </c>
      <c r="C178" s="1">
        <f ca="1">TODAY()</f>
        <v>45938</v>
      </c>
      <c r="D178" t="s">
        <v>7</v>
      </c>
      <c r="E178">
        <v>39</v>
      </c>
      <c r="F178" t="s">
        <v>6</v>
      </c>
      <c r="G178" s="8">
        <f t="shared" ca="1" si="10"/>
        <v>1109</v>
      </c>
      <c r="H178">
        <f t="shared" si="11"/>
        <v>1</v>
      </c>
      <c r="I178" t="str">
        <f t="shared" si="12"/>
        <v>Sunday</v>
      </c>
      <c r="L178">
        <f t="shared" ca="1" si="13"/>
        <v>0</v>
      </c>
    </row>
    <row r="179" spans="1:12" x14ac:dyDescent="0.25">
      <c r="A179">
        <v>129284681</v>
      </c>
      <c r="B179" s="1">
        <v>44829</v>
      </c>
      <c r="C179" s="1">
        <v>44866</v>
      </c>
      <c r="D179" t="s">
        <v>7</v>
      </c>
      <c r="E179">
        <v>39</v>
      </c>
      <c r="F179" t="s">
        <v>6</v>
      </c>
      <c r="G179" s="8">
        <f t="shared" si="10"/>
        <v>37</v>
      </c>
      <c r="H179">
        <f t="shared" si="11"/>
        <v>1</v>
      </c>
      <c r="I179" t="str">
        <f t="shared" si="12"/>
        <v>Sunday</v>
      </c>
      <c r="L179">
        <f t="shared" si="13"/>
        <v>0</v>
      </c>
    </row>
    <row r="180" spans="1:12" x14ac:dyDescent="0.25">
      <c r="A180">
        <v>156249750</v>
      </c>
      <c r="B180" s="1">
        <v>44829</v>
      </c>
      <c r="C180" s="1">
        <v>44867</v>
      </c>
      <c r="D180" t="s">
        <v>7</v>
      </c>
      <c r="E180">
        <v>39</v>
      </c>
      <c r="F180" t="s">
        <v>6</v>
      </c>
      <c r="G180" s="8">
        <f t="shared" si="10"/>
        <v>38</v>
      </c>
      <c r="H180">
        <f t="shared" si="11"/>
        <v>1</v>
      </c>
      <c r="I180" t="str">
        <f t="shared" si="12"/>
        <v>Sunday</v>
      </c>
      <c r="L180">
        <f t="shared" si="13"/>
        <v>0</v>
      </c>
    </row>
    <row r="181" spans="1:12" x14ac:dyDescent="0.25">
      <c r="A181">
        <v>155143974</v>
      </c>
      <c r="B181" s="1">
        <v>44829</v>
      </c>
      <c r="C181" s="1">
        <v>44883</v>
      </c>
      <c r="D181" t="s">
        <v>7</v>
      </c>
      <c r="E181">
        <v>39</v>
      </c>
      <c r="F181" t="s">
        <v>6</v>
      </c>
      <c r="G181" s="8">
        <f t="shared" si="10"/>
        <v>54</v>
      </c>
      <c r="H181">
        <f t="shared" si="11"/>
        <v>1</v>
      </c>
      <c r="I181" t="str">
        <f t="shared" si="12"/>
        <v>Sunday</v>
      </c>
      <c r="L181">
        <f t="shared" si="13"/>
        <v>0</v>
      </c>
    </row>
    <row r="182" spans="1:12" x14ac:dyDescent="0.25">
      <c r="A182">
        <v>151354965</v>
      </c>
      <c r="B182" s="1">
        <v>44829</v>
      </c>
      <c r="C182" s="1">
        <v>44863</v>
      </c>
      <c r="D182" t="s">
        <v>7</v>
      </c>
      <c r="E182">
        <v>39</v>
      </c>
      <c r="F182" t="s">
        <v>6</v>
      </c>
      <c r="G182" s="8">
        <f t="shared" si="10"/>
        <v>34</v>
      </c>
      <c r="H182">
        <f t="shared" si="11"/>
        <v>1</v>
      </c>
      <c r="I182" t="str">
        <f t="shared" si="12"/>
        <v>Sunday</v>
      </c>
      <c r="L182">
        <f t="shared" si="13"/>
        <v>0</v>
      </c>
    </row>
    <row r="183" spans="1:12" x14ac:dyDescent="0.25">
      <c r="A183">
        <v>156178486</v>
      </c>
      <c r="B183" s="1">
        <v>44829</v>
      </c>
      <c r="C183" s="1">
        <v>44858</v>
      </c>
      <c r="D183" t="s">
        <v>7</v>
      </c>
      <c r="E183">
        <v>39</v>
      </c>
      <c r="F183" t="s">
        <v>6</v>
      </c>
      <c r="G183" s="8">
        <f t="shared" si="10"/>
        <v>29</v>
      </c>
      <c r="H183">
        <f t="shared" si="11"/>
        <v>1</v>
      </c>
      <c r="I183" t="str">
        <f t="shared" si="12"/>
        <v>Sunday</v>
      </c>
      <c r="L183">
        <f t="shared" si="13"/>
        <v>0</v>
      </c>
    </row>
    <row r="184" spans="1:12" x14ac:dyDescent="0.25">
      <c r="A184">
        <v>132314522</v>
      </c>
      <c r="B184" s="1">
        <v>44830</v>
      </c>
      <c r="C184" s="1">
        <v>44899</v>
      </c>
      <c r="D184" t="s">
        <v>7</v>
      </c>
      <c r="E184">
        <v>39</v>
      </c>
      <c r="F184" t="s">
        <v>6</v>
      </c>
      <c r="G184" s="8">
        <f t="shared" si="10"/>
        <v>69</v>
      </c>
      <c r="H184">
        <f t="shared" si="11"/>
        <v>2</v>
      </c>
      <c r="I184" t="str">
        <f t="shared" si="12"/>
        <v>Monday</v>
      </c>
      <c r="L184">
        <f t="shared" si="13"/>
        <v>0</v>
      </c>
    </row>
    <row r="185" spans="1:12" x14ac:dyDescent="0.25">
      <c r="A185">
        <v>152505897</v>
      </c>
      <c r="B185" s="1">
        <v>44830</v>
      </c>
      <c r="C185" s="1">
        <v>45023</v>
      </c>
      <c r="D185" t="s">
        <v>7</v>
      </c>
      <c r="E185">
        <v>39</v>
      </c>
      <c r="F185" t="s">
        <v>6</v>
      </c>
      <c r="G185" s="8">
        <f t="shared" si="10"/>
        <v>193</v>
      </c>
      <c r="H185">
        <f t="shared" si="11"/>
        <v>2</v>
      </c>
      <c r="I185" t="str">
        <f t="shared" si="12"/>
        <v>Monday</v>
      </c>
      <c r="L185">
        <f t="shared" si="13"/>
        <v>0</v>
      </c>
    </row>
    <row r="186" spans="1:12" x14ac:dyDescent="0.25">
      <c r="A186">
        <v>151086770</v>
      </c>
      <c r="B186" s="1">
        <v>44830</v>
      </c>
      <c r="C186" s="1">
        <v>44949</v>
      </c>
      <c r="D186" t="s">
        <v>7</v>
      </c>
      <c r="E186">
        <v>39</v>
      </c>
      <c r="F186" t="s">
        <v>6</v>
      </c>
      <c r="G186" s="8">
        <f t="shared" si="10"/>
        <v>119</v>
      </c>
      <c r="H186">
        <f t="shared" si="11"/>
        <v>2</v>
      </c>
      <c r="I186" t="str">
        <f t="shared" si="12"/>
        <v>Monday</v>
      </c>
      <c r="L186">
        <f t="shared" si="13"/>
        <v>0</v>
      </c>
    </row>
    <row r="187" spans="1:12" x14ac:dyDescent="0.25">
      <c r="A187">
        <v>148713821</v>
      </c>
      <c r="B187" s="1">
        <v>44830</v>
      </c>
      <c r="C187" s="1">
        <v>44967</v>
      </c>
      <c r="D187" t="s">
        <v>7</v>
      </c>
      <c r="E187">
        <v>39</v>
      </c>
      <c r="F187" t="s">
        <v>6</v>
      </c>
      <c r="G187" s="8">
        <f t="shared" si="10"/>
        <v>137</v>
      </c>
      <c r="H187">
        <f t="shared" si="11"/>
        <v>2</v>
      </c>
      <c r="I187" t="str">
        <f t="shared" si="12"/>
        <v>Monday</v>
      </c>
      <c r="L187">
        <f t="shared" si="13"/>
        <v>0</v>
      </c>
    </row>
    <row r="188" spans="1:12" x14ac:dyDescent="0.25">
      <c r="A188">
        <v>146422602</v>
      </c>
      <c r="B188" s="1">
        <v>44830</v>
      </c>
      <c r="C188" s="1">
        <v>44868</v>
      </c>
      <c r="D188" t="s">
        <v>7</v>
      </c>
      <c r="E188">
        <v>39</v>
      </c>
      <c r="F188" t="s">
        <v>6</v>
      </c>
      <c r="G188" s="8">
        <f t="shared" si="10"/>
        <v>38</v>
      </c>
      <c r="H188">
        <f t="shared" si="11"/>
        <v>2</v>
      </c>
      <c r="I188" t="str">
        <f t="shared" si="12"/>
        <v>Monday</v>
      </c>
      <c r="L188">
        <f t="shared" si="13"/>
        <v>0</v>
      </c>
    </row>
    <row r="189" spans="1:12" x14ac:dyDescent="0.25">
      <c r="A189">
        <v>156460574</v>
      </c>
      <c r="B189" s="1">
        <v>44830</v>
      </c>
      <c r="C189" s="1">
        <v>44882</v>
      </c>
      <c r="D189" t="s">
        <v>7</v>
      </c>
      <c r="E189">
        <v>39</v>
      </c>
      <c r="F189" t="s">
        <v>6</v>
      </c>
      <c r="G189" s="8">
        <f t="shared" si="10"/>
        <v>52</v>
      </c>
      <c r="H189">
        <f t="shared" si="11"/>
        <v>2</v>
      </c>
      <c r="I189" t="str">
        <f t="shared" si="12"/>
        <v>Monday</v>
      </c>
      <c r="L189">
        <f t="shared" si="13"/>
        <v>0</v>
      </c>
    </row>
    <row r="190" spans="1:12" x14ac:dyDescent="0.25">
      <c r="A190">
        <v>156364063</v>
      </c>
      <c r="B190" s="1">
        <v>44830</v>
      </c>
      <c r="C190" s="1">
        <v>44879</v>
      </c>
      <c r="D190" t="s">
        <v>7</v>
      </c>
      <c r="E190">
        <v>39</v>
      </c>
      <c r="F190" t="s">
        <v>6</v>
      </c>
      <c r="G190" s="8">
        <f t="shared" si="10"/>
        <v>49</v>
      </c>
      <c r="H190">
        <f t="shared" si="11"/>
        <v>2</v>
      </c>
      <c r="I190" t="str">
        <f t="shared" si="12"/>
        <v>Monday</v>
      </c>
      <c r="L190">
        <f t="shared" si="13"/>
        <v>0</v>
      </c>
    </row>
    <row r="191" spans="1:12" x14ac:dyDescent="0.25">
      <c r="A191">
        <v>149139298</v>
      </c>
      <c r="B191" s="1">
        <v>44830</v>
      </c>
      <c r="C191" s="1">
        <v>44860</v>
      </c>
      <c r="D191" t="s">
        <v>7</v>
      </c>
      <c r="E191">
        <v>39</v>
      </c>
      <c r="F191" t="s">
        <v>6</v>
      </c>
      <c r="G191" s="8">
        <f t="shared" si="10"/>
        <v>30</v>
      </c>
      <c r="H191">
        <f t="shared" si="11"/>
        <v>2</v>
      </c>
      <c r="I191" t="str">
        <f t="shared" si="12"/>
        <v>Monday</v>
      </c>
      <c r="L191">
        <f t="shared" si="13"/>
        <v>0</v>
      </c>
    </row>
    <row r="192" spans="1:12" x14ac:dyDescent="0.25">
      <c r="A192">
        <v>156371514</v>
      </c>
      <c r="B192" s="1">
        <v>44830</v>
      </c>
      <c r="C192" s="1">
        <v>44858</v>
      </c>
      <c r="D192" t="s">
        <v>7</v>
      </c>
      <c r="E192">
        <v>39</v>
      </c>
      <c r="F192" t="s">
        <v>6</v>
      </c>
      <c r="G192" s="8">
        <f t="shared" si="10"/>
        <v>28</v>
      </c>
      <c r="H192">
        <f t="shared" si="11"/>
        <v>2</v>
      </c>
      <c r="I192" t="str">
        <f t="shared" si="12"/>
        <v>Monday</v>
      </c>
      <c r="L192">
        <f t="shared" si="13"/>
        <v>0</v>
      </c>
    </row>
    <row r="193" spans="1:12" x14ac:dyDescent="0.25">
      <c r="A193">
        <v>156423167</v>
      </c>
      <c r="B193" s="1">
        <v>44831</v>
      </c>
      <c r="C193" s="1">
        <v>44944</v>
      </c>
      <c r="D193" t="s">
        <v>7</v>
      </c>
      <c r="E193">
        <v>39</v>
      </c>
      <c r="F193" t="s">
        <v>6</v>
      </c>
      <c r="G193" s="8">
        <f t="shared" si="10"/>
        <v>113</v>
      </c>
      <c r="H193">
        <f t="shared" si="11"/>
        <v>3</v>
      </c>
      <c r="I193" t="str">
        <f t="shared" si="12"/>
        <v>Tuesday</v>
      </c>
      <c r="L193">
        <f t="shared" si="13"/>
        <v>0</v>
      </c>
    </row>
    <row r="194" spans="1:12" x14ac:dyDescent="0.25">
      <c r="A194">
        <v>155199164</v>
      </c>
      <c r="B194" s="1">
        <v>44831</v>
      </c>
      <c r="C194" s="1">
        <v>44929</v>
      </c>
      <c r="D194" t="s">
        <v>7</v>
      </c>
      <c r="E194">
        <v>39</v>
      </c>
      <c r="F194" t="s">
        <v>6</v>
      </c>
      <c r="G194" s="8">
        <f t="shared" si="10"/>
        <v>98</v>
      </c>
      <c r="H194">
        <f t="shared" si="11"/>
        <v>3</v>
      </c>
      <c r="I194" t="str">
        <f t="shared" si="12"/>
        <v>Tuesday</v>
      </c>
      <c r="L194">
        <f t="shared" si="13"/>
        <v>0</v>
      </c>
    </row>
    <row r="195" spans="1:12" x14ac:dyDescent="0.25">
      <c r="A195">
        <v>156373191</v>
      </c>
      <c r="B195" s="1">
        <v>44831</v>
      </c>
      <c r="C195" s="1">
        <v>44923</v>
      </c>
      <c r="D195" t="s">
        <v>7</v>
      </c>
      <c r="E195">
        <v>39</v>
      </c>
      <c r="F195" t="s">
        <v>6</v>
      </c>
      <c r="G195" s="8">
        <f t="shared" ref="G195:G258" si="14">IFERROR(DATEDIF(B195,C195,"D"),"0")</f>
        <v>92</v>
      </c>
      <c r="H195">
        <f t="shared" ref="H195:H258" si="15">WEEKDAY(B195,1)</f>
        <v>3</v>
      </c>
      <c r="I195" t="str">
        <f t="shared" ref="I195:I258" si="16">TEXT(B195,"DDDD")</f>
        <v>Tuesday</v>
      </c>
      <c r="L195">
        <f t="shared" ref="L195:L258" si="17">IF( OR($G195=0,$G195 = 1, $G195 = 2), 1, 0 )</f>
        <v>0</v>
      </c>
    </row>
    <row r="196" spans="1:12" x14ac:dyDescent="0.25">
      <c r="A196">
        <v>156517374</v>
      </c>
      <c r="B196" s="1">
        <v>44831</v>
      </c>
      <c r="C196" s="1">
        <v>44831</v>
      </c>
      <c r="D196" t="s">
        <v>7</v>
      </c>
      <c r="E196">
        <v>39</v>
      </c>
      <c r="F196" t="s">
        <v>6</v>
      </c>
      <c r="G196" s="8">
        <f t="shared" si="14"/>
        <v>0</v>
      </c>
      <c r="H196">
        <f t="shared" si="15"/>
        <v>3</v>
      </c>
      <c r="I196" t="str">
        <f t="shared" si="16"/>
        <v>Tuesday</v>
      </c>
      <c r="L196">
        <f t="shared" si="17"/>
        <v>1</v>
      </c>
    </row>
    <row r="197" spans="1:12" x14ac:dyDescent="0.25">
      <c r="A197">
        <v>156032089</v>
      </c>
      <c r="B197" s="1">
        <v>44832</v>
      </c>
      <c r="C197" s="1">
        <f ca="1">TODAY()</f>
        <v>45938</v>
      </c>
      <c r="D197" t="s">
        <v>7</v>
      </c>
      <c r="E197">
        <v>39</v>
      </c>
      <c r="F197" t="s">
        <v>6</v>
      </c>
      <c r="G197" s="8">
        <f t="shared" ca="1" si="14"/>
        <v>1106</v>
      </c>
      <c r="H197">
        <f t="shared" si="15"/>
        <v>4</v>
      </c>
      <c r="I197" t="str">
        <f t="shared" si="16"/>
        <v>Wednesday</v>
      </c>
      <c r="L197">
        <f t="shared" ca="1" si="17"/>
        <v>0</v>
      </c>
    </row>
    <row r="198" spans="1:12" x14ac:dyDescent="0.25">
      <c r="A198">
        <v>154563706</v>
      </c>
      <c r="B198" s="1">
        <v>44832</v>
      </c>
      <c r="C198" s="1">
        <v>45010</v>
      </c>
      <c r="D198" t="s">
        <v>7</v>
      </c>
      <c r="E198">
        <v>39</v>
      </c>
      <c r="F198" t="s">
        <v>6</v>
      </c>
      <c r="G198" s="8">
        <f t="shared" si="14"/>
        <v>178</v>
      </c>
      <c r="H198">
        <f t="shared" si="15"/>
        <v>4</v>
      </c>
      <c r="I198" t="str">
        <f t="shared" si="16"/>
        <v>Wednesday</v>
      </c>
      <c r="L198">
        <f t="shared" si="17"/>
        <v>0</v>
      </c>
    </row>
    <row r="199" spans="1:12" x14ac:dyDescent="0.25">
      <c r="A199">
        <v>124481723</v>
      </c>
      <c r="B199" s="1">
        <v>44832</v>
      </c>
      <c r="C199" s="1">
        <v>44887</v>
      </c>
      <c r="D199" t="s">
        <v>7</v>
      </c>
      <c r="E199">
        <v>39</v>
      </c>
      <c r="F199" t="s">
        <v>6</v>
      </c>
      <c r="G199" s="8">
        <f t="shared" si="14"/>
        <v>55</v>
      </c>
      <c r="H199">
        <f t="shared" si="15"/>
        <v>4</v>
      </c>
      <c r="I199" t="str">
        <f t="shared" si="16"/>
        <v>Wednesday</v>
      </c>
      <c r="L199">
        <f t="shared" si="17"/>
        <v>0</v>
      </c>
    </row>
    <row r="200" spans="1:12" x14ac:dyDescent="0.25">
      <c r="A200">
        <v>146861757</v>
      </c>
      <c r="B200" s="1">
        <v>44832</v>
      </c>
      <c r="C200" s="1">
        <v>44917</v>
      </c>
      <c r="D200" t="s">
        <v>7</v>
      </c>
      <c r="E200">
        <v>39</v>
      </c>
      <c r="F200" t="s">
        <v>6</v>
      </c>
      <c r="G200" s="8">
        <f t="shared" si="14"/>
        <v>85</v>
      </c>
      <c r="H200">
        <f t="shared" si="15"/>
        <v>4</v>
      </c>
      <c r="I200" t="str">
        <f t="shared" si="16"/>
        <v>Wednesday</v>
      </c>
      <c r="L200">
        <f t="shared" si="17"/>
        <v>0</v>
      </c>
    </row>
    <row r="201" spans="1:12" x14ac:dyDescent="0.25">
      <c r="A201">
        <v>152476124</v>
      </c>
      <c r="B201" s="1">
        <v>44832</v>
      </c>
      <c r="C201" s="1">
        <v>44893</v>
      </c>
      <c r="D201" t="s">
        <v>7</v>
      </c>
      <c r="E201">
        <v>39</v>
      </c>
      <c r="F201" t="s">
        <v>6</v>
      </c>
      <c r="G201" s="8">
        <f t="shared" si="14"/>
        <v>61</v>
      </c>
      <c r="H201">
        <f t="shared" si="15"/>
        <v>4</v>
      </c>
      <c r="I201" t="str">
        <f t="shared" si="16"/>
        <v>Wednesday</v>
      </c>
      <c r="L201">
        <f t="shared" si="17"/>
        <v>0</v>
      </c>
    </row>
    <row r="202" spans="1:12" x14ac:dyDescent="0.25">
      <c r="A202">
        <v>156192628</v>
      </c>
      <c r="B202" s="1">
        <v>44832</v>
      </c>
      <c r="C202" s="1">
        <v>44885</v>
      </c>
      <c r="D202" t="s">
        <v>7</v>
      </c>
      <c r="E202">
        <v>39</v>
      </c>
      <c r="F202" t="s">
        <v>6</v>
      </c>
      <c r="G202" s="8">
        <f t="shared" si="14"/>
        <v>53</v>
      </c>
      <c r="H202">
        <f t="shared" si="15"/>
        <v>4</v>
      </c>
      <c r="I202" t="str">
        <f t="shared" si="16"/>
        <v>Wednesday</v>
      </c>
      <c r="L202">
        <f t="shared" si="17"/>
        <v>0</v>
      </c>
    </row>
    <row r="203" spans="1:12" x14ac:dyDescent="0.25">
      <c r="A203">
        <v>152109538</v>
      </c>
      <c r="B203" s="1">
        <v>44832</v>
      </c>
      <c r="C203" s="1">
        <v>44853</v>
      </c>
      <c r="D203" t="s">
        <v>7</v>
      </c>
      <c r="E203">
        <v>39</v>
      </c>
      <c r="F203" t="s">
        <v>6</v>
      </c>
      <c r="G203" s="8">
        <f t="shared" si="14"/>
        <v>21</v>
      </c>
      <c r="H203">
        <f t="shared" si="15"/>
        <v>4</v>
      </c>
      <c r="I203" t="str">
        <f t="shared" si="16"/>
        <v>Wednesday</v>
      </c>
      <c r="L203">
        <f t="shared" si="17"/>
        <v>0</v>
      </c>
    </row>
    <row r="204" spans="1:12" x14ac:dyDescent="0.25">
      <c r="A204">
        <v>156659071</v>
      </c>
      <c r="B204" s="1">
        <v>44832</v>
      </c>
      <c r="C204" s="1">
        <v>44833</v>
      </c>
      <c r="D204" t="s">
        <v>7</v>
      </c>
      <c r="E204">
        <v>39</v>
      </c>
      <c r="F204" t="s">
        <v>6</v>
      </c>
      <c r="G204" s="8">
        <f t="shared" si="14"/>
        <v>1</v>
      </c>
      <c r="H204">
        <f t="shared" si="15"/>
        <v>4</v>
      </c>
      <c r="I204" t="str">
        <f t="shared" si="16"/>
        <v>Wednesday</v>
      </c>
      <c r="L204">
        <f t="shared" si="17"/>
        <v>1</v>
      </c>
    </row>
    <row r="205" spans="1:12" x14ac:dyDescent="0.25">
      <c r="A205">
        <v>156717075</v>
      </c>
      <c r="B205" s="1">
        <v>44833</v>
      </c>
      <c r="C205" s="1">
        <v>45030</v>
      </c>
      <c r="D205" t="s">
        <v>7</v>
      </c>
      <c r="E205">
        <v>39</v>
      </c>
      <c r="F205" t="s">
        <v>6</v>
      </c>
      <c r="G205" s="8">
        <f t="shared" si="14"/>
        <v>197</v>
      </c>
      <c r="H205">
        <f t="shared" si="15"/>
        <v>5</v>
      </c>
      <c r="I205" t="str">
        <f t="shared" si="16"/>
        <v>Thursday</v>
      </c>
      <c r="L205">
        <f t="shared" si="17"/>
        <v>0</v>
      </c>
    </row>
    <row r="206" spans="1:12" x14ac:dyDescent="0.25">
      <c r="A206">
        <v>156715443</v>
      </c>
      <c r="B206" s="1">
        <v>44833</v>
      </c>
      <c r="C206" s="1">
        <v>44924</v>
      </c>
      <c r="D206" t="s">
        <v>7</v>
      </c>
      <c r="E206">
        <v>39</v>
      </c>
      <c r="F206" t="s">
        <v>6</v>
      </c>
      <c r="G206" s="8">
        <f t="shared" si="14"/>
        <v>91</v>
      </c>
      <c r="H206">
        <f t="shared" si="15"/>
        <v>5</v>
      </c>
      <c r="I206" t="str">
        <f t="shared" si="16"/>
        <v>Thursday</v>
      </c>
      <c r="L206">
        <f t="shared" si="17"/>
        <v>0</v>
      </c>
    </row>
    <row r="207" spans="1:12" x14ac:dyDescent="0.25">
      <c r="A207">
        <v>147656952</v>
      </c>
      <c r="B207" s="1">
        <v>44833</v>
      </c>
      <c r="C207" s="1">
        <v>44923</v>
      </c>
      <c r="D207" t="s">
        <v>7</v>
      </c>
      <c r="E207">
        <v>39</v>
      </c>
      <c r="F207" t="s">
        <v>6</v>
      </c>
      <c r="G207" s="8">
        <f t="shared" si="14"/>
        <v>90</v>
      </c>
      <c r="H207">
        <f t="shared" si="15"/>
        <v>5</v>
      </c>
      <c r="I207" t="str">
        <f t="shared" si="16"/>
        <v>Thursday</v>
      </c>
      <c r="L207">
        <f t="shared" si="17"/>
        <v>0</v>
      </c>
    </row>
    <row r="208" spans="1:12" x14ac:dyDescent="0.25">
      <c r="A208">
        <v>152918862</v>
      </c>
      <c r="B208" s="1">
        <v>44833</v>
      </c>
      <c r="C208" s="1">
        <v>44885</v>
      </c>
      <c r="D208" t="s">
        <v>7</v>
      </c>
      <c r="E208">
        <v>39</v>
      </c>
      <c r="F208" t="s">
        <v>6</v>
      </c>
      <c r="G208" s="8">
        <f t="shared" si="14"/>
        <v>52</v>
      </c>
      <c r="H208">
        <f t="shared" si="15"/>
        <v>5</v>
      </c>
      <c r="I208" t="str">
        <f t="shared" si="16"/>
        <v>Thursday</v>
      </c>
      <c r="L208">
        <f t="shared" si="17"/>
        <v>0</v>
      </c>
    </row>
    <row r="209" spans="1:12" x14ac:dyDescent="0.25">
      <c r="A209">
        <v>146866890</v>
      </c>
      <c r="B209" s="1">
        <v>44833</v>
      </c>
      <c r="C209" s="1">
        <v>44858</v>
      </c>
      <c r="D209" t="s">
        <v>7</v>
      </c>
      <c r="E209">
        <v>39</v>
      </c>
      <c r="F209" t="s">
        <v>6</v>
      </c>
      <c r="G209" s="8">
        <f t="shared" si="14"/>
        <v>25</v>
      </c>
      <c r="H209">
        <f t="shared" si="15"/>
        <v>5</v>
      </c>
      <c r="I209" t="str">
        <f t="shared" si="16"/>
        <v>Thursday</v>
      </c>
      <c r="L209">
        <f t="shared" si="17"/>
        <v>0</v>
      </c>
    </row>
    <row r="210" spans="1:12" x14ac:dyDescent="0.25">
      <c r="A210">
        <v>151735444</v>
      </c>
      <c r="B210" s="1">
        <v>44834</v>
      </c>
      <c r="C210" s="1">
        <f ca="1">TODAY()</f>
        <v>45938</v>
      </c>
      <c r="D210" t="s">
        <v>7</v>
      </c>
      <c r="E210">
        <v>39</v>
      </c>
      <c r="F210" t="s">
        <v>6</v>
      </c>
      <c r="G210" s="8">
        <f t="shared" ca="1" si="14"/>
        <v>1104</v>
      </c>
      <c r="H210">
        <f t="shared" si="15"/>
        <v>6</v>
      </c>
      <c r="I210" t="str">
        <f t="shared" si="16"/>
        <v>Friday</v>
      </c>
      <c r="L210">
        <f t="shared" ca="1" si="17"/>
        <v>0</v>
      </c>
    </row>
    <row r="211" spans="1:12" x14ac:dyDescent="0.25">
      <c r="A211">
        <v>155608371</v>
      </c>
      <c r="B211" s="1">
        <v>44834</v>
      </c>
      <c r="C211" s="1">
        <v>44835</v>
      </c>
      <c r="D211" t="s">
        <v>8</v>
      </c>
      <c r="E211">
        <v>39</v>
      </c>
      <c r="F211" t="s">
        <v>6</v>
      </c>
      <c r="G211" s="8">
        <f t="shared" si="14"/>
        <v>1</v>
      </c>
      <c r="H211">
        <f t="shared" si="15"/>
        <v>6</v>
      </c>
      <c r="I211" t="str">
        <f t="shared" si="16"/>
        <v>Friday</v>
      </c>
      <c r="L211">
        <f t="shared" si="17"/>
        <v>1</v>
      </c>
    </row>
    <row r="212" spans="1:12" x14ac:dyDescent="0.25">
      <c r="A212">
        <v>156809544</v>
      </c>
      <c r="B212" s="1">
        <v>44834</v>
      </c>
      <c r="C212" s="1">
        <v>45013</v>
      </c>
      <c r="D212" t="s">
        <v>7</v>
      </c>
      <c r="E212">
        <v>39</v>
      </c>
      <c r="F212" t="s">
        <v>6</v>
      </c>
      <c r="G212" s="8">
        <f t="shared" si="14"/>
        <v>179</v>
      </c>
      <c r="H212">
        <f t="shared" si="15"/>
        <v>6</v>
      </c>
      <c r="I212" t="str">
        <f t="shared" si="16"/>
        <v>Friday</v>
      </c>
      <c r="L212">
        <f t="shared" si="17"/>
        <v>0</v>
      </c>
    </row>
    <row r="213" spans="1:12" x14ac:dyDescent="0.25">
      <c r="A213">
        <v>156813288</v>
      </c>
      <c r="B213" s="1">
        <v>44834</v>
      </c>
      <c r="C213" s="1">
        <v>45066</v>
      </c>
      <c r="D213" t="s">
        <v>7</v>
      </c>
      <c r="E213">
        <v>39</v>
      </c>
      <c r="F213" t="s">
        <v>6</v>
      </c>
      <c r="G213" s="8">
        <f t="shared" si="14"/>
        <v>232</v>
      </c>
      <c r="H213">
        <f t="shared" si="15"/>
        <v>6</v>
      </c>
      <c r="I213" t="str">
        <f t="shared" si="16"/>
        <v>Friday</v>
      </c>
      <c r="L213">
        <f t="shared" si="17"/>
        <v>0</v>
      </c>
    </row>
    <row r="214" spans="1:12" x14ac:dyDescent="0.25">
      <c r="A214">
        <v>156817946</v>
      </c>
      <c r="B214" s="1">
        <v>44834</v>
      </c>
      <c r="C214" s="1">
        <v>45080</v>
      </c>
      <c r="D214" t="s">
        <v>7</v>
      </c>
      <c r="E214">
        <v>39</v>
      </c>
      <c r="F214" t="s">
        <v>6</v>
      </c>
      <c r="G214" s="8">
        <f t="shared" si="14"/>
        <v>246</v>
      </c>
      <c r="H214">
        <f t="shared" si="15"/>
        <v>6</v>
      </c>
      <c r="I214" t="str">
        <f t="shared" si="16"/>
        <v>Friday</v>
      </c>
      <c r="L214">
        <f t="shared" si="17"/>
        <v>0</v>
      </c>
    </row>
    <row r="215" spans="1:12" x14ac:dyDescent="0.25">
      <c r="A215">
        <v>156194905</v>
      </c>
      <c r="B215" s="1">
        <v>44834</v>
      </c>
      <c r="C215" s="1">
        <v>45022</v>
      </c>
      <c r="D215" t="s">
        <v>7</v>
      </c>
      <c r="E215">
        <v>39</v>
      </c>
      <c r="F215" t="s">
        <v>6</v>
      </c>
      <c r="G215" s="8">
        <f t="shared" si="14"/>
        <v>188</v>
      </c>
      <c r="H215">
        <f t="shared" si="15"/>
        <v>6</v>
      </c>
      <c r="I215" t="str">
        <f t="shared" si="16"/>
        <v>Friday</v>
      </c>
      <c r="L215">
        <f t="shared" si="17"/>
        <v>0</v>
      </c>
    </row>
    <row r="216" spans="1:12" x14ac:dyDescent="0.25">
      <c r="A216">
        <v>148568942</v>
      </c>
      <c r="B216" s="1">
        <v>44834</v>
      </c>
      <c r="C216" s="1">
        <v>44932</v>
      </c>
      <c r="D216" t="s">
        <v>7</v>
      </c>
      <c r="E216">
        <v>39</v>
      </c>
      <c r="F216" t="s">
        <v>6</v>
      </c>
      <c r="G216" s="8">
        <f t="shared" si="14"/>
        <v>98</v>
      </c>
      <c r="H216">
        <f t="shared" si="15"/>
        <v>6</v>
      </c>
      <c r="I216" t="str">
        <f t="shared" si="16"/>
        <v>Friday</v>
      </c>
      <c r="L216">
        <f t="shared" si="17"/>
        <v>0</v>
      </c>
    </row>
    <row r="217" spans="1:12" x14ac:dyDescent="0.25">
      <c r="A217">
        <v>151154171</v>
      </c>
      <c r="B217" s="1">
        <v>44834</v>
      </c>
      <c r="C217" s="1">
        <v>44894</v>
      </c>
      <c r="D217" t="s">
        <v>7</v>
      </c>
      <c r="E217">
        <v>39</v>
      </c>
      <c r="F217" t="s">
        <v>6</v>
      </c>
      <c r="G217" s="8">
        <f t="shared" si="14"/>
        <v>60</v>
      </c>
      <c r="H217">
        <f t="shared" si="15"/>
        <v>6</v>
      </c>
      <c r="I217" t="str">
        <f t="shared" si="16"/>
        <v>Friday</v>
      </c>
      <c r="L217">
        <f t="shared" si="17"/>
        <v>0</v>
      </c>
    </row>
    <row r="218" spans="1:12" x14ac:dyDescent="0.25">
      <c r="A218">
        <v>122921842</v>
      </c>
      <c r="B218" s="1">
        <v>44834</v>
      </c>
      <c r="C218" s="1">
        <v>44871</v>
      </c>
      <c r="D218" t="s">
        <v>7</v>
      </c>
      <c r="E218">
        <v>39</v>
      </c>
      <c r="F218" t="s">
        <v>6</v>
      </c>
      <c r="G218" s="8">
        <f t="shared" si="14"/>
        <v>37</v>
      </c>
      <c r="H218">
        <f t="shared" si="15"/>
        <v>6</v>
      </c>
      <c r="I218" t="str">
        <f t="shared" si="16"/>
        <v>Friday</v>
      </c>
      <c r="L218">
        <f t="shared" si="17"/>
        <v>0</v>
      </c>
    </row>
    <row r="219" spans="1:12" x14ac:dyDescent="0.25">
      <c r="A219">
        <v>156754286</v>
      </c>
      <c r="B219" s="1">
        <v>44835</v>
      </c>
      <c r="C219" s="1">
        <f ca="1">TODAY()</f>
        <v>45938</v>
      </c>
      <c r="D219" t="s">
        <v>7</v>
      </c>
      <c r="E219">
        <v>39</v>
      </c>
      <c r="F219" t="s">
        <v>6</v>
      </c>
      <c r="G219" s="8">
        <f t="shared" ca="1" si="14"/>
        <v>1103</v>
      </c>
      <c r="H219">
        <f t="shared" si="15"/>
        <v>7</v>
      </c>
      <c r="I219" t="str">
        <f t="shared" si="16"/>
        <v>Saturday</v>
      </c>
      <c r="L219">
        <f t="shared" ca="1" si="17"/>
        <v>0</v>
      </c>
    </row>
    <row r="220" spans="1:12" x14ac:dyDescent="0.25">
      <c r="A220">
        <v>144160302</v>
      </c>
      <c r="B220" s="1">
        <v>44835</v>
      </c>
      <c r="C220" s="1">
        <v>44836</v>
      </c>
      <c r="D220" t="s">
        <v>7</v>
      </c>
      <c r="E220">
        <v>39</v>
      </c>
      <c r="F220" t="s">
        <v>6</v>
      </c>
      <c r="G220" s="8">
        <f t="shared" si="14"/>
        <v>1</v>
      </c>
      <c r="H220">
        <f t="shared" si="15"/>
        <v>7</v>
      </c>
      <c r="I220" t="str">
        <f t="shared" si="16"/>
        <v>Saturday</v>
      </c>
      <c r="L220">
        <f t="shared" si="17"/>
        <v>1</v>
      </c>
    </row>
    <row r="221" spans="1:12" x14ac:dyDescent="0.25">
      <c r="A221">
        <v>155045053</v>
      </c>
      <c r="B221" s="1">
        <v>44835</v>
      </c>
      <c r="C221" s="1">
        <v>44927</v>
      </c>
      <c r="D221" t="s">
        <v>7</v>
      </c>
      <c r="E221">
        <v>39</v>
      </c>
      <c r="F221" t="s">
        <v>6</v>
      </c>
      <c r="G221" s="8">
        <f t="shared" si="14"/>
        <v>92</v>
      </c>
      <c r="H221">
        <f t="shared" si="15"/>
        <v>7</v>
      </c>
      <c r="I221" t="str">
        <f t="shared" si="16"/>
        <v>Saturday</v>
      </c>
      <c r="L221">
        <f t="shared" si="17"/>
        <v>0</v>
      </c>
    </row>
    <row r="222" spans="1:12" x14ac:dyDescent="0.25">
      <c r="A222">
        <v>133869989</v>
      </c>
      <c r="B222" s="1">
        <v>44835</v>
      </c>
      <c r="C222" s="1">
        <v>44867</v>
      </c>
      <c r="D222" t="s">
        <v>7</v>
      </c>
      <c r="E222">
        <v>39</v>
      </c>
      <c r="F222" t="s">
        <v>6</v>
      </c>
      <c r="G222" s="8">
        <f t="shared" si="14"/>
        <v>32</v>
      </c>
      <c r="H222">
        <f t="shared" si="15"/>
        <v>7</v>
      </c>
      <c r="I222" t="str">
        <f t="shared" si="16"/>
        <v>Saturday</v>
      </c>
      <c r="L222">
        <f t="shared" si="17"/>
        <v>0</v>
      </c>
    </row>
    <row r="223" spans="1:12" x14ac:dyDescent="0.25">
      <c r="A223">
        <v>156863940</v>
      </c>
      <c r="B223" s="1">
        <v>44835</v>
      </c>
      <c r="C223" s="1">
        <v>44867</v>
      </c>
      <c r="D223" t="s">
        <v>7</v>
      </c>
      <c r="E223">
        <v>39</v>
      </c>
      <c r="F223" t="s">
        <v>6</v>
      </c>
      <c r="G223" s="8">
        <f t="shared" si="14"/>
        <v>32</v>
      </c>
      <c r="H223">
        <f t="shared" si="15"/>
        <v>7</v>
      </c>
      <c r="I223" t="str">
        <f t="shared" si="16"/>
        <v>Saturday</v>
      </c>
      <c r="L223">
        <f t="shared" si="17"/>
        <v>0</v>
      </c>
    </row>
    <row r="224" spans="1:12" x14ac:dyDescent="0.25">
      <c r="A224">
        <v>156884323</v>
      </c>
      <c r="B224" s="1">
        <v>44835</v>
      </c>
      <c r="C224" s="1">
        <v>44859</v>
      </c>
      <c r="D224" t="s">
        <v>7</v>
      </c>
      <c r="E224">
        <v>39</v>
      </c>
      <c r="F224" t="s">
        <v>6</v>
      </c>
      <c r="G224" s="8">
        <f t="shared" si="14"/>
        <v>24</v>
      </c>
      <c r="H224">
        <f t="shared" si="15"/>
        <v>7</v>
      </c>
      <c r="I224" t="str">
        <f t="shared" si="16"/>
        <v>Saturday</v>
      </c>
      <c r="L224">
        <f t="shared" si="17"/>
        <v>0</v>
      </c>
    </row>
    <row r="225" spans="1:12" x14ac:dyDescent="0.25">
      <c r="A225">
        <v>156365410</v>
      </c>
      <c r="B225" s="1">
        <v>44835</v>
      </c>
      <c r="C225" s="1">
        <v>44863</v>
      </c>
      <c r="D225" t="s">
        <v>7</v>
      </c>
      <c r="E225">
        <v>39</v>
      </c>
      <c r="F225" t="s">
        <v>6</v>
      </c>
      <c r="G225" s="8">
        <f t="shared" si="14"/>
        <v>28</v>
      </c>
      <c r="H225">
        <f t="shared" si="15"/>
        <v>7</v>
      </c>
      <c r="I225" t="str">
        <f t="shared" si="16"/>
        <v>Saturday</v>
      </c>
      <c r="L225">
        <f t="shared" si="17"/>
        <v>0</v>
      </c>
    </row>
    <row r="226" spans="1:12" x14ac:dyDescent="0.25">
      <c r="A226">
        <v>153957162</v>
      </c>
      <c r="B226" s="1">
        <v>44836</v>
      </c>
      <c r="C226" s="1">
        <f ca="1">TODAY()</f>
        <v>45938</v>
      </c>
      <c r="D226" t="s">
        <v>7</v>
      </c>
      <c r="E226">
        <v>39</v>
      </c>
      <c r="F226" t="s">
        <v>6</v>
      </c>
      <c r="G226" s="8">
        <f t="shared" ca="1" si="14"/>
        <v>1102</v>
      </c>
      <c r="H226">
        <f t="shared" si="15"/>
        <v>1</v>
      </c>
      <c r="I226" t="str">
        <f t="shared" si="16"/>
        <v>Sunday</v>
      </c>
      <c r="L226">
        <f t="shared" ca="1" si="17"/>
        <v>0</v>
      </c>
    </row>
    <row r="227" spans="1:12" x14ac:dyDescent="0.25">
      <c r="A227">
        <v>152436949</v>
      </c>
      <c r="B227" s="1">
        <v>44836</v>
      </c>
      <c r="C227" s="1">
        <v>44837</v>
      </c>
      <c r="D227" t="s">
        <v>8</v>
      </c>
      <c r="E227">
        <v>39</v>
      </c>
      <c r="F227" t="s">
        <v>6</v>
      </c>
      <c r="G227" s="8">
        <f t="shared" si="14"/>
        <v>1</v>
      </c>
      <c r="H227">
        <f t="shared" si="15"/>
        <v>1</v>
      </c>
      <c r="I227" t="str">
        <f t="shared" si="16"/>
        <v>Sunday</v>
      </c>
      <c r="L227">
        <f t="shared" si="17"/>
        <v>1</v>
      </c>
    </row>
    <row r="228" spans="1:12" x14ac:dyDescent="0.25">
      <c r="A228">
        <v>156403612</v>
      </c>
      <c r="B228" s="1">
        <v>44836</v>
      </c>
      <c r="C228" s="1">
        <v>44952</v>
      </c>
      <c r="D228" t="s">
        <v>7</v>
      </c>
      <c r="E228">
        <v>39</v>
      </c>
      <c r="F228" t="s">
        <v>6</v>
      </c>
      <c r="G228" s="8">
        <f t="shared" si="14"/>
        <v>116</v>
      </c>
      <c r="H228">
        <f t="shared" si="15"/>
        <v>1</v>
      </c>
      <c r="I228" t="str">
        <f t="shared" si="16"/>
        <v>Sunday</v>
      </c>
      <c r="L228">
        <f t="shared" si="17"/>
        <v>0</v>
      </c>
    </row>
    <row r="229" spans="1:12" x14ac:dyDescent="0.25">
      <c r="A229">
        <v>154198756</v>
      </c>
      <c r="B229" s="1">
        <v>44836</v>
      </c>
      <c r="C229" s="1">
        <v>44879</v>
      </c>
      <c r="D229" t="s">
        <v>7</v>
      </c>
      <c r="E229">
        <v>39</v>
      </c>
      <c r="F229" t="s">
        <v>6</v>
      </c>
      <c r="G229" s="8">
        <f t="shared" si="14"/>
        <v>43</v>
      </c>
      <c r="H229">
        <f t="shared" si="15"/>
        <v>1</v>
      </c>
      <c r="I229" t="str">
        <f t="shared" si="16"/>
        <v>Sunday</v>
      </c>
      <c r="L229">
        <f t="shared" si="17"/>
        <v>0</v>
      </c>
    </row>
    <row r="230" spans="1:12" x14ac:dyDescent="0.25">
      <c r="A230">
        <v>156917754</v>
      </c>
      <c r="B230" s="1">
        <v>44836</v>
      </c>
      <c r="C230" s="1">
        <v>44862</v>
      </c>
      <c r="D230" t="s">
        <v>7</v>
      </c>
      <c r="E230">
        <v>39</v>
      </c>
      <c r="F230" t="s">
        <v>6</v>
      </c>
      <c r="G230" s="8">
        <f t="shared" si="14"/>
        <v>26</v>
      </c>
      <c r="H230">
        <f t="shared" si="15"/>
        <v>1</v>
      </c>
      <c r="I230" t="str">
        <f t="shared" si="16"/>
        <v>Sunday</v>
      </c>
      <c r="L230">
        <f t="shared" si="17"/>
        <v>0</v>
      </c>
    </row>
    <row r="231" spans="1:12" x14ac:dyDescent="0.25">
      <c r="A231">
        <v>134975906</v>
      </c>
      <c r="B231" s="1">
        <v>44837</v>
      </c>
      <c r="C231" s="1">
        <v>44861</v>
      </c>
      <c r="D231" t="s">
        <v>7</v>
      </c>
      <c r="E231">
        <v>39</v>
      </c>
      <c r="F231" t="s">
        <v>6</v>
      </c>
      <c r="G231" s="8">
        <f t="shared" si="14"/>
        <v>24</v>
      </c>
      <c r="H231">
        <f t="shared" si="15"/>
        <v>2</v>
      </c>
      <c r="I231" t="str">
        <f t="shared" si="16"/>
        <v>Monday</v>
      </c>
      <c r="L231">
        <f t="shared" si="17"/>
        <v>0</v>
      </c>
    </row>
    <row r="232" spans="1:12" x14ac:dyDescent="0.25">
      <c r="A232">
        <v>156955735</v>
      </c>
      <c r="B232" s="1">
        <v>44837</v>
      </c>
      <c r="C232" s="1">
        <v>45109</v>
      </c>
      <c r="D232" t="s">
        <v>7</v>
      </c>
      <c r="E232">
        <v>39</v>
      </c>
      <c r="F232" t="s">
        <v>6</v>
      </c>
      <c r="G232" s="8">
        <f t="shared" si="14"/>
        <v>272</v>
      </c>
      <c r="H232">
        <f t="shared" si="15"/>
        <v>2</v>
      </c>
      <c r="I232" t="str">
        <f t="shared" si="16"/>
        <v>Monday</v>
      </c>
      <c r="L232">
        <f t="shared" si="17"/>
        <v>0</v>
      </c>
    </row>
    <row r="233" spans="1:12" x14ac:dyDescent="0.25">
      <c r="A233">
        <v>156982750</v>
      </c>
      <c r="B233" s="1">
        <v>44837</v>
      </c>
      <c r="C233" s="1">
        <v>44963</v>
      </c>
      <c r="D233" t="s">
        <v>7</v>
      </c>
      <c r="E233">
        <v>39</v>
      </c>
      <c r="F233" t="s">
        <v>6</v>
      </c>
      <c r="G233" s="8">
        <f t="shared" si="14"/>
        <v>126</v>
      </c>
      <c r="H233">
        <f t="shared" si="15"/>
        <v>2</v>
      </c>
      <c r="I233" t="str">
        <f t="shared" si="16"/>
        <v>Monday</v>
      </c>
      <c r="L233">
        <f t="shared" si="17"/>
        <v>0</v>
      </c>
    </row>
    <row r="234" spans="1:12" x14ac:dyDescent="0.25">
      <c r="A234">
        <v>156953312</v>
      </c>
      <c r="B234" s="1">
        <v>44837</v>
      </c>
      <c r="C234" s="1">
        <v>45002</v>
      </c>
      <c r="D234" t="s">
        <v>7</v>
      </c>
      <c r="E234">
        <v>39</v>
      </c>
      <c r="F234" t="s">
        <v>6</v>
      </c>
      <c r="G234" s="8">
        <f t="shared" si="14"/>
        <v>165</v>
      </c>
      <c r="H234">
        <f t="shared" si="15"/>
        <v>2</v>
      </c>
      <c r="I234" t="str">
        <f t="shared" si="16"/>
        <v>Monday</v>
      </c>
      <c r="L234">
        <f t="shared" si="17"/>
        <v>0</v>
      </c>
    </row>
    <row r="235" spans="1:12" x14ac:dyDescent="0.25">
      <c r="A235">
        <v>124642102</v>
      </c>
      <c r="B235" s="1">
        <v>44837</v>
      </c>
      <c r="C235" s="1">
        <v>44929</v>
      </c>
      <c r="D235" t="s">
        <v>7</v>
      </c>
      <c r="E235">
        <v>39</v>
      </c>
      <c r="F235" t="s">
        <v>6</v>
      </c>
      <c r="G235" s="8">
        <f t="shared" si="14"/>
        <v>92</v>
      </c>
      <c r="H235">
        <f t="shared" si="15"/>
        <v>2</v>
      </c>
      <c r="I235" t="str">
        <f t="shared" si="16"/>
        <v>Monday</v>
      </c>
      <c r="L235">
        <f t="shared" si="17"/>
        <v>0</v>
      </c>
    </row>
    <row r="236" spans="1:12" x14ac:dyDescent="0.25">
      <c r="A236">
        <v>156940530</v>
      </c>
      <c r="B236" s="1">
        <v>44837</v>
      </c>
      <c r="C236" s="1">
        <v>44936</v>
      </c>
      <c r="D236" t="s">
        <v>7</v>
      </c>
      <c r="E236">
        <v>39</v>
      </c>
      <c r="F236" t="s">
        <v>6</v>
      </c>
      <c r="G236" s="8">
        <f t="shared" si="14"/>
        <v>99</v>
      </c>
      <c r="H236">
        <f t="shared" si="15"/>
        <v>2</v>
      </c>
      <c r="I236" t="str">
        <f t="shared" si="16"/>
        <v>Monday</v>
      </c>
      <c r="L236">
        <f t="shared" si="17"/>
        <v>0</v>
      </c>
    </row>
    <row r="237" spans="1:12" x14ac:dyDescent="0.25">
      <c r="A237">
        <v>155602780</v>
      </c>
      <c r="B237" s="1">
        <v>44837</v>
      </c>
      <c r="C237" s="1">
        <v>44946</v>
      </c>
      <c r="D237" t="s">
        <v>7</v>
      </c>
      <c r="E237">
        <v>39</v>
      </c>
      <c r="F237" t="s">
        <v>6</v>
      </c>
      <c r="G237" s="8">
        <f t="shared" si="14"/>
        <v>109</v>
      </c>
      <c r="H237">
        <f t="shared" si="15"/>
        <v>2</v>
      </c>
      <c r="I237" t="str">
        <f t="shared" si="16"/>
        <v>Monday</v>
      </c>
      <c r="L237">
        <f t="shared" si="17"/>
        <v>0</v>
      </c>
    </row>
    <row r="238" spans="1:12" x14ac:dyDescent="0.25">
      <c r="A238">
        <v>149635726</v>
      </c>
      <c r="B238" s="1">
        <v>44837</v>
      </c>
      <c r="C238" s="1">
        <v>44873</v>
      </c>
      <c r="D238" t="s">
        <v>7</v>
      </c>
      <c r="E238">
        <v>39</v>
      </c>
      <c r="F238" t="s">
        <v>6</v>
      </c>
      <c r="G238" s="8">
        <f t="shared" si="14"/>
        <v>36</v>
      </c>
      <c r="H238">
        <f t="shared" si="15"/>
        <v>2</v>
      </c>
      <c r="I238" t="str">
        <f t="shared" si="16"/>
        <v>Monday</v>
      </c>
      <c r="L238">
        <f t="shared" si="17"/>
        <v>0</v>
      </c>
    </row>
    <row r="239" spans="1:12" x14ac:dyDescent="0.25">
      <c r="A239">
        <v>152660102</v>
      </c>
      <c r="B239" s="1">
        <v>44837</v>
      </c>
      <c r="C239" s="1">
        <v>44893</v>
      </c>
      <c r="D239" t="s">
        <v>7</v>
      </c>
      <c r="E239">
        <v>39</v>
      </c>
      <c r="F239" t="s">
        <v>6</v>
      </c>
      <c r="G239" s="8">
        <f t="shared" si="14"/>
        <v>56</v>
      </c>
      <c r="H239">
        <f t="shared" si="15"/>
        <v>2</v>
      </c>
      <c r="I239" t="str">
        <f t="shared" si="16"/>
        <v>Monday</v>
      </c>
      <c r="L239">
        <f t="shared" si="17"/>
        <v>0</v>
      </c>
    </row>
    <row r="240" spans="1:12" x14ac:dyDescent="0.25">
      <c r="A240">
        <v>153620734</v>
      </c>
      <c r="B240" s="1">
        <v>44837</v>
      </c>
      <c r="C240" s="1">
        <v>44894</v>
      </c>
      <c r="D240" t="s">
        <v>7</v>
      </c>
      <c r="E240">
        <v>39</v>
      </c>
      <c r="F240" t="s">
        <v>6</v>
      </c>
      <c r="G240" s="8">
        <f t="shared" si="14"/>
        <v>57</v>
      </c>
      <c r="H240">
        <f t="shared" si="15"/>
        <v>2</v>
      </c>
      <c r="I240" t="str">
        <f t="shared" si="16"/>
        <v>Monday</v>
      </c>
      <c r="L240">
        <f t="shared" si="17"/>
        <v>0</v>
      </c>
    </row>
    <row r="241" spans="1:12" x14ac:dyDescent="0.25">
      <c r="A241">
        <v>156940254</v>
      </c>
      <c r="B241" s="1">
        <v>44837</v>
      </c>
      <c r="C241" s="1">
        <v>44837</v>
      </c>
      <c r="D241" t="s">
        <v>7</v>
      </c>
      <c r="E241">
        <v>39</v>
      </c>
      <c r="F241" t="s">
        <v>6</v>
      </c>
      <c r="G241" s="8">
        <f t="shared" si="14"/>
        <v>0</v>
      </c>
      <c r="H241">
        <f t="shared" si="15"/>
        <v>2</v>
      </c>
      <c r="I241" t="str">
        <f t="shared" si="16"/>
        <v>Monday</v>
      </c>
      <c r="L241">
        <f t="shared" si="17"/>
        <v>1</v>
      </c>
    </row>
    <row r="242" spans="1:12" x14ac:dyDescent="0.25">
      <c r="A242">
        <v>156940060</v>
      </c>
      <c r="B242" s="1">
        <v>44837</v>
      </c>
      <c r="C242" s="1">
        <v>44844</v>
      </c>
      <c r="D242" t="s">
        <v>7</v>
      </c>
      <c r="E242">
        <v>39</v>
      </c>
      <c r="F242" t="s">
        <v>6</v>
      </c>
      <c r="G242" s="8">
        <f t="shared" si="14"/>
        <v>7</v>
      </c>
      <c r="H242">
        <f t="shared" si="15"/>
        <v>2</v>
      </c>
      <c r="I242" t="str">
        <f t="shared" si="16"/>
        <v>Monday</v>
      </c>
      <c r="L242">
        <f t="shared" si="17"/>
        <v>0</v>
      </c>
    </row>
    <row r="243" spans="1:12" x14ac:dyDescent="0.25">
      <c r="A243">
        <v>156938938</v>
      </c>
      <c r="B243" s="1">
        <v>44837</v>
      </c>
      <c r="C243" s="1">
        <v>44837</v>
      </c>
      <c r="D243" t="s">
        <v>7</v>
      </c>
      <c r="E243">
        <v>39</v>
      </c>
      <c r="F243" t="s">
        <v>6</v>
      </c>
      <c r="G243" s="8">
        <f t="shared" si="14"/>
        <v>0</v>
      </c>
      <c r="H243">
        <f t="shared" si="15"/>
        <v>2</v>
      </c>
      <c r="I243" t="str">
        <f t="shared" si="16"/>
        <v>Monday</v>
      </c>
      <c r="L243">
        <f t="shared" si="17"/>
        <v>1</v>
      </c>
    </row>
    <row r="244" spans="1:12" x14ac:dyDescent="0.25">
      <c r="A244">
        <v>156955272</v>
      </c>
      <c r="B244" s="1">
        <v>44838</v>
      </c>
      <c r="C244" s="1">
        <v>45037</v>
      </c>
      <c r="D244" t="s">
        <v>7</v>
      </c>
      <c r="E244">
        <v>39</v>
      </c>
      <c r="F244" t="s">
        <v>6</v>
      </c>
      <c r="G244" s="8">
        <f t="shared" si="14"/>
        <v>199</v>
      </c>
      <c r="H244">
        <f t="shared" si="15"/>
        <v>3</v>
      </c>
      <c r="I244" t="str">
        <f t="shared" si="16"/>
        <v>Tuesday</v>
      </c>
      <c r="L244">
        <f t="shared" si="17"/>
        <v>0</v>
      </c>
    </row>
    <row r="245" spans="1:12" x14ac:dyDescent="0.25">
      <c r="A245">
        <v>156941638</v>
      </c>
      <c r="B245" s="1">
        <v>44838</v>
      </c>
      <c r="C245" s="1">
        <v>45000</v>
      </c>
      <c r="D245" t="s">
        <v>7</v>
      </c>
      <c r="E245">
        <v>39</v>
      </c>
      <c r="F245" t="s">
        <v>6</v>
      </c>
      <c r="G245" s="8">
        <f t="shared" si="14"/>
        <v>162</v>
      </c>
      <c r="H245">
        <f t="shared" si="15"/>
        <v>3</v>
      </c>
      <c r="I245" t="str">
        <f t="shared" si="16"/>
        <v>Tuesday</v>
      </c>
      <c r="L245">
        <f t="shared" si="17"/>
        <v>0</v>
      </c>
    </row>
    <row r="246" spans="1:12" x14ac:dyDescent="0.25">
      <c r="A246">
        <v>157154624</v>
      </c>
      <c r="B246" s="1">
        <v>44838</v>
      </c>
      <c r="C246" s="1">
        <v>44956</v>
      </c>
      <c r="D246" t="s">
        <v>7</v>
      </c>
      <c r="E246">
        <v>39</v>
      </c>
      <c r="F246" t="s">
        <v>6</v>
      </c>
      <c r="G246" s="8">
        <f t="shared" si="14"/>
        <v>118</v>
      </c>
      <c r="H246">
        <f t="shared" si="15"/>
        <v>3</v>
      </c>
      <c r="I246" t="str">
        <f t="shared" si="16"/>
        <v>Tuesday</v>
      </c>
      <c r="L246">
        <f t="shared" si="17"/>
        <v>0</v>
      </c>
    </row>
    <row r="247" spans="1:12" x14ac:dyDescent="0.25">
      <c r="A247">
        <v>151677119</v>
      </c>
      <c r="B247" s="1">
        <v>44838</v>
      </c>
      <c r="C247" s="1">
        <v>44909</v>
      </c>
      <c r="D247" t="s">
        <v>7</v>
      </c>
      <c r="E247">
        <v>39</v>
      </c>
      <c r="F247" t="s">
        <v>6</v>
      </c>
      <c r="G247" s="8">
        <f t="shared" si="14"/>
        <v>71</v>
      </c>
      <c r="H247">
        <f t="shared" si="15"/>
        <v>3</v>
      </c>
      <c r="I247" t="str">
        <f t="shared" si="16"/>
        <v>Tuesday</v>
      </c>
      <c r="L247">
        <f t="shared" si="17"/>
        <v>0</v>
      </c>
    </row>
    <row r="248" spans="1:12" x14ac:dyDescent="0.25">
      <c r="A248">
        <v>139465940</v>
      </c>
      <c r="B248" s="1">
        <v>44838</v>
      </c>
      <c r="C248" s="1">
        <v>44870</v>
      </c>
      <c r="D248" t="s">
        <v>7</v>
      </c>
      <c r="E248">
        <v>39</v>
      </c>
      <c r="F248" t="s">
        <v>6</v>
      </c>
      <c r="G248" s="8">
        <f t="shared" si="14"/>
        <v>32</v>
      </c>
      <c r="H248">
        <f t="shared" si="15"/>
        <v>3</v>
      </c>
      <c r="I248" t="str">
        <f t="shared" si="16"/>
        <v>Tuesday</v>
      </c>
      <c r="L248">
        <f t="shared" si="17"/>
        <v>0</v>
      </c>
    </row>
    <row r="249" spans="1:12" x14ac:dyDescent="0.25">
      <c r="A249">
        <v>156895692</v>
      </c>
      <c r="B249" s="1">
        <v>44839</v>
      </c>
      <c r="C249" s="1">
        <f t="shared" ref="C249:C250" ca="1" si="18">TODAY()</f>
        <v>45938</v>
      </c>
      <c r="D249" t="s">
        <v>7</v>
      </c>
      <c r="E249">
        <v>39</v>
      </c>
      <c r="F249" t="s">
        <v>6</v>
      </c>
      <c r="G249" s="8">
        <f t="shared" ca="1" si="14"/>
        <v>1099</v>
      </c>
      <c r="H249">
        <f t="shared" si="15"/>
        <v>4</v>
      </c>
      <c r="I249" t="str">
        <f t="shared" si="16"/>
        <v>Wednesday</v>
      </c>
      <c r="L249">
        <f t="shared" ca="1" si="17"/>
        <v>0</v>
      </c>
    </row>
    <row r="250" spans="1:12" x14ac:dyDescent="0.25">
      <c r="A250">
        <v>153587226</v>
      </c>
      <c r="B250" s="1">
        <v>44839</v>
      </c>
      <c r="C250" s="1">
        <f t="shared" ca="1" si="18"/>
        <v>45938</v>
      </c>
      <c r="D250" t="s">
        <v>7</v>
      </c>
      <c r="E250">
        <v>39</v>
      </c>
      <c r="F250" t="s">
        <v>6</v>
      </c>
      <c r="G250" s="8">
        <f t="shared" ca="1" si="14"/>
        <v>1099</v>
      </c>
      <c r="H250">
        <f t="shared" si="15"/>
        <v>4</v>
      </c>
      <c r="I250" t="str">
        <f t="shared" si="16"/>
        <v>Wednesday</v>
      </c>
      <c r="L250">
        <f t="shared" ca="1" si="17"/>
        <v>0</v>
      </c>
    </row>
    <row r="251" spans="1:12" x14ac:dyDescent="0.25">
      <c r="A251">
        <v>157295262</v>
      </c>
      <c r="B251" s="1">
        <v>44839</v>
      </c>
      <c r="C251" s="1">
        <v>45019</v>
      </c>
      <c r="D251" t="s">
        <v>7</v>
      </c>
      <c r="E251">
        <v>39</v>
      </c>
      <c r="F251" t="s">
        <v>6</v>
      </c>
      <c r="G251" s="8">
        <f t="shared" si="14"/>
        <v>180</v>
      </c>
      <c r="H251">
        <f t="shared" si="15"/>
        <v>4</v>
      </c>
      <c r="I251" t="str">
        <f t="shared" si="16"/>
        <v>Wednesday</v>
      </c>
      <c r="L251">
        <f t="shared" si="17"/>
        <v>0</v>
      </c>
    </row>
    <row r="252" spans="1:12" x14ac:dyDescent="0.25">
      <c r="A252">
        <v>157284386</v>
      </c>
      <c r="B252" s="1">
        <v>44839</v>
      </c>
      <c r="C252" s="1">
        <v>45018</v>
      </c>
      <c r="D252" t="s">
        <v>7</v>
      </c>
      <c r="E252">
        <v>39</v>
      </c>
      <c r="F252" t="s">
        <v>6</v>
      </c>
      <c r="G252" s="8">
        <f t="shared" si="14"/>
        <v>179</v>
      </c>
      <c r="H252">
        <f t="shared" si="15"/>
        <v>4</v>
      </c>
      <c r="I252" t="str">
        <f t="shared" si="16"/>
        <v>Wednesday</v>
      </c>
      <c r="L252">
        <f t="shared" si="17"/>
        <v>0</v>
      </c>
    </row>
    <row r="253" spans="1:12" x14ac:dyDescent="0.25">
      <c r="A253">
        <v>148762867</v>
      </c>
      <c r="B253" s="1">
        <v>44839</v>
      </c>
      <c r="C253" s="1">
        <v>45100</v>
      </c>
      <c r="D253" t="s">
        <v>7</v>
      </c>
      <c r="E253">
        <v>39</v>
      </c>
      <c r="F253" t="s">
        <v>6</v>
      </c>
      <c r="G253" s="8">
        <f t="shared" si="14"/>
        <v>261</v>
      </c>
      <c r="H253">
        <f t="shared" si="15"/>
        <v>4</v>
      </c>
      <c r="I253" t="str">
        <f t="shared" si="16"/>
        <v>Wednesday</v>
      </c>
      <c r="L253">
        <f t="shared" si="17"/>
        <v>0</v>
      </c>
    </row>
    <row r="254" spans="1:12" x14ac:dyDescent="0.25">
      <c r="A254">
        <v>150433978</v>
      </c>
      <c r="B254" s="1">
        <v>44839</v>
      </c>
      <c r="C254" s="1">
        <v>44870</v>
      </c>
      <c r="D254" t="s">
        <v>7</v>
      </c>
      <c r="E254">
        <v>39</v>
      </c>
      <c r="F254" t="s">
        <v>6</v>
      </c>
      <c r="G254" s="8">
        <f t="shared" si="14"/>
        <v>31</v>
      </c>
      <c r="H254">
        <f t="shared" si="15"/>
        <v>4</v>
      </c>
      <c r="I254" t="str">
        <f t="shared" si="16"/>
        <v>Wednesday</v>
      </c>
      <c r="L254">
        <f t="shared" si="17"/>
        <v>0</v>
      </c>
    </row>
    <row r="255" spans="1:12" x14ac:dyDescent="0.25">
      <c r="A255">
        <v>157272487</v>
      </c>
      <c r="B255" s="1">
        <v>44839</v>
      </c>
      <c r="C255" s="1">
        <v>44902</v>
      </c>
      <c r="D255" t="s">
        <v>7</v>
      </c>
      <c r="E255">
        <v>39</v>
      </c>
      <c r="F255" t="s">
        <v>6</v>
      </c>
      <c r="G255" s="8">
        <f t="shared" si="14"/>
        <v>63</v>
      </c>
      <c r="H255">
        <f t="shared" si="15"/>
        <v>4</v>
      </c>
      <c r="I255" t="str">
        <f t="shared" si="16"/>
        <v>Wednesday</v>
      </c>
      <c r="L255">
        <f t="shared" si="17"/>
        <v>0</v>
      </c>
    </row>
    <row r="256" spans="1:12" x14ac:dyDescent="0.25">
      <c r="A256">
        <v>153776370</v>
      </c>
      <c r="B256" s="1">
        <v>44840</v>
      </c>
      <c r="C256" s="1">
        <v>44901</v>
      </c>
      <c r="D256" t="s">
        <v>7</v>
      </c>
      <c r="E256">
        <v>39</v>
      </c>
      <c r="F256" t="s">
        <v>6</v>
      </c>
      <c r="G256" s="8">
        <f t="shared" si="14"/>
        <v>61</v>
      </c>
      <c r="H256">
        <f t="shared" si="15"/>
        <v>5</v>
      </c>
      <c r="I256" t="str">
        <f t="shared" si="16"/>
        <v>Thursday</v>
      </c>
      <c r="L256">
        <f t="shared" si="17"/>
        <v>0</v>
      </c>
    </row>
    <row r="257" spans="1:12" x14ac:dyDescent="0.25">
      <c r="A257">
        <v>157371444</v>
      </c>
      <c r="B257" s="1">
        <v>44840</v>
      </c>
      <c r="C257" s="1">
        <v>44903</v>
      </c>
      <c r="D257" t="s">
        <v>7</v>
      </c>
      <c r="E257">
        <v>39</v>
      </c>
      <c r="F257" t="s">
        <v>6</v>
      </c>
      <c r="G257" s="8">
        <f t="shared" si="14"/>
        <v>63</v>
      </c>
      <c r="H257">
        <f t="shared" si="15"/>
        <v>5</v>
      </c>
      <c r="I257" t="str">
        <f t="shared" si="16"/>
        <v>Thursday</v>
      </c>
      <c r="L257">
        <f t="shared" si="17"/>
        <v>0</v>
      </c>
    </row>
    <row r="258" spans="1:12" x14ac:dyDescent="0.25">
      <c r="A258">
        <v>157095464</v>
      </c>
      <c r="B258" s="1">
        <v>44840</v>
      </c>
      <c r="C258" s="1">
        <v>45120</v>
      </c>
      <c r="D258" t="s">
        <v>7</v>
      </c>
      <c r="E258">
        <v>39</v>
      </c>
      <c r="F258" t="s">
        <v>6</v>
      </c>
      <c r="G258" s="8">
        <f t="shared" si="14"/>
        <v>280</v>
      </c>
      <c r="H258">
        <f t="shared" si="15"/>
        <v>5</v>
      </c>
      <c r="I258" t="str">
        <f t="shared" si="16"/>
        <v>Thursday</v>
      </c>
      <c r="L258">
        <f t="shared" si="17"/>
        <v>0</v>
      </c>
    </row>
    <row r="259" spans="1:12" x14ac:dyDescent="0.25">
      <c r="A259">
        <v>153554190</v>
      </c>
      <c r="B259" s="1">
        <v>44841</v>
      </c>
      <c r="C259" s="1">
        <f t="shared" ref="C259:C260" ca="1" si="19">TODAY()</f>
        <v>45938</v>
      </c>
      <c r="D259" t="s">
        <v>7</v>
      </c>
      <c r="E259">
        <v>39</v>
      </c>
      <c r="F259" t="s">
        <v>6</v>
      </c>
      <c r="G259" s="8">
        <f t="shared" ref="G259:G322" ca="1" si="20">IFERROR(DATEDIF(B259,C259,"D"),"0")</f>
        <v>1097</v>
      </c>
      <c r="H259">
        <f t="shared" ref="H259:H322" si="21">WEEKDAY(B259,1)</f>
        <v>6</v>
      </c>
      <c r="I259" t="str">
        <f t="shared" ref="I259:I322" si="22">TEXT(B259,"DDDD")</f>
        <v>Friday</v>
      </c>
      <c r="L259">
        <f t="shared" ref="L259:L322" ca="1" si="23">IF( OR($G259=0,$G259 = 1, $G259 = 2), 1, 0 )</f>
        <v>0</v>
      </c>
    </row>
    <row r="260" spans="1:12" x14ac:dyDescent="0.25">
      <c r="A260">
        <v>157411994</v>
      </c>
      <c r="B260" s="1">
        <v>44841</v>
      </c>
      <c r="C260" s="1">
        <f t="shared" ca="1" si="19"/>
        <v>45938</v>
      </c>
      <c r="D260" t="s">
        <v>7</v>
      </c>
      <c r="E260">
        <v>39</v>
      </c>
      <c r="F260" t="s">
        <v>6</v>
      </c>
      <c r="G260" s="8">
        <f t="shared" ca="1" si="20"/>
        <v>1097</v>
      </c>
      <c r="H260">
        <f t="shared" si="21"/>
        <v>6</v>
      </c>
      <c r="I260" t="str">
        <f t="shared" si="22"/>
        <v>Friday</v>
      </c>
      <c r="L260">
        <f t="shared" ca="1" si="23"/>
        <v>0</v>
      </c>
    </row>
    <row r="261" spans="1:12" x14ac:dyDescent="0.25">
      <c r="A261">
        <v>157374056</v>
      </c>
      <c r="B261" s="1">
        <v>44841</v>
      </c>
      <c r="C261" s="1">
        <v>44872</v>
      </c>
      <c r="D261" t="s">
        <v>7</v>
      </c>
      <c r="E261">
        <v>39</v>
      </c>
      <c r="F261" t="s">
        <v>6</v>
      </c>
      <c r="G261" s="8">
        <f t="shared" si="20"/>
        <v>31</v>
      </c>
      <c r="H261">
        <f t="shared" si="21"/>
        <v>6</v>
      </c>
      <c r="I261" t="str">
        <f t="shared" si="22"/>
        <v>Friday</v>
      </c>
      <c r="L261">
        <f t="shared" si="23"/>
        <v>0</v>
      </c>
    </row>
    <row r="262" spans="1:12" x14ac:dyDescent="0.25">
      <c r="A262">
        <v>157397941</v>
      </c>
      <c r="B262" s="1">
        <v>44841</v>
      </c>
      <c r="C262" s="1">
        <v>44868</v>
      </c>
      <c r="D262" t="s">
        <v>7</v>
      </c>
      <c r="E262">
        <v>39</v>
      </c>
      <c r="F262" t="s">
        <v>6</v>
      </c>
      <c r="G262" s="8">
        <f t="shared" si="20"/>
        <v>27</v>
      </c>
      <c r="H262">
        <f t="shared" si="21"/>
        <v>6</v>
      </c>
      <c r="I262" t="str">
        <f t="shared" si="22"/>
        <v>Friday</v>
      </c>
      <c r="L262">
        <f t="shared" si="23"/>
        <v>0</v>
      </c>
    </row>
    <row r="263" spans="1:12" x14ac:dyDescent="0.25">
      <c r="A263">
        <v>157234944</v>
      </c>
      <c r="B263" s="1">
        <v>44841</v>
      </c>
      <c r="C263" s="1">
        <v>44858</v>
      </c>
      <c r="D263" t="s">
        <v>7</v>
      </c>
      <c r="E263">
        <v>39</v>
      </c>
      <c r="F263" t="s">
        <v>6</v>
      </c>
      <c r="G263" s="8">
        <f t="shared" si="20"/>
        <v>17</v>
      </c>
      <c r="H263">
        <f t="shared" si="21"/>
        <v>6</v>
      </c>
      <c r="I263" t="str">
        <f t="shared" si="22"/>
        <v>Friday</v>
      </c>
      <c r="L263">
        <f t="shared" si="23"/>
        <v>0</v>
      </c>
    </row>
    <row r="264" spans="1:12" x14ac:dyDescent="0.25">
      <c r="A264">
        <v>157490039</v>
      </c>
      <c r="B264" s="1">
        <v>44842</v>
      </c>
      <c r="C264" s="1">
        <v>45000</v>
      </c>
      <c r="D264" t="s">
        <v>7</v>
      </c>
      <c r="E264">
        <v>39</v>
      </c>
      <c r="F264" t="s">
        <v>6</v>
      </c>
      <c r="G264" s="8">
        <f t="shared" si="20"/>
        <v>158</v>
      </c>
      <c r="H264">
        <f t="shared" si="21"/>
        <v>7</v>
      </c>
      <c r="I264" t="str">
        <f t="shared" si="22"/>
        <v>Saturday</v>
      </c>
      <c r="L264">
        <f t="shared" si="23"/>
        <v>0</v>
      </c>
    </row>
    <row r="265" spans="1:12" x14ac:dyDescent="0.25">
      <c r="A265">
        <v>157484010</v>
      </c>
      <c r="B265" s="1">
        <v>44842</v>
      </c>
      <c r="C265" s="1">
        <v>45000</v>
      </c>
      <c r="D265" t="s">
        <v>7</v>
      </c>
      <c r="E265">
        <v>39</v>
      </c>
      <c r="F265" t="s">
        <v>6</v>
      </c>
      <c r="G265" s="8">
        <f t="shared" si="20"/>
        <v>158</v>
      </c>
      <c r="H265">
        <f t="shared" si="21"/>
        <v>7</v>
      </c>
      <c r="I265" t="str">
        <f t="shared" si="22"/>
        <v>Saturday</v>
      </c>
      <c r="L265">
        <f t="shared" si="23"/>
        <v>0</v>
      </c>
    </row>
    <row r="266" spans="1:12" x14ac:dyDescent="0.25">
      <c r="A266">
        <v>125038257</v>
      </c>
      <c r="B266" s="1">
        <v>44842</v>
      </c>
      <c r="C266" s="1">
        <v>44882</v>
      </c>
      <c r="D266" t="s">
        <v>7</v>
      </c>
      <c r="E266">
        <v>39</v>
      </c>
      <c r="F266" t="s">
        <v>6</v>
      </c>
      <c r="G266" s="8">
        <f t="shared" si="20"/>
        <v>40</v>
      </c>
      <c r="H266">
        <f t="shared" si="21"/>
        <v>7</v>
      </c>
      <c r="I266" t="str">
        <f t="shared" si="22"/>
        <v>Saturday</v>
      </c>
      <c r="L266">
        <f t="shared" si="23"/>
        <v>0</v>
      </c>
    </row>
    <row r="267" spans="1:12" x14ac:dyDescent="0.25">
      <c r="A267">
        <v>157400730</v>
      </c>
      <c r="B267" s="1">
        <v>44842</v>
      </c>
      <c r="C267" s="1">
        <v>44860</v>
      </c>
      <c r="D267" t="s">
        <v>7</v>
      </c>
      <c r="E267">
        <v>39</v>
      </c>
      <c r="F267" t="s">
        <v>6</v>
      </c>
      <c r="G267" s="8">
        <f t="shared" si="20"/>
        <v>18</v>
      </c>
      <c r="H267">
        <f t="shared" si="21"/>
        <v>7</v>
      </c>
      <c r="I267" t="str">
        <f t="shared" si="22"/>
        <v>Saturday</v>
      </c>
      <c r="L267">
        <f t="shared" si="23"/>
        <v>0</v>
      </c>
    </row>
    <row r="268" spans="1:12" x14ac:dyDescent="0.25">
      <c r="A268">
        <v>157450645</v>
      </c>
      <c r="B268" s="1">
        <v>44842</v>
      </c>
      <c r="C268" s="1">
        <v>44852</v>
      </c>
      <c r="D268" t="s">
        <v>7</v>
      </c>
      <c r="E268">
        <v>39</v>
      </c>
      <c r="F268" t="s">
        <v>6</v>
      </c>
      <c r="G268" s="8">
        <f t="shared" si="20"/>
        <v>10</v>
      </c>
      <c r="H268">
        <f t="shared" si="21"/>
        <v>7</v>
      </c>
      <c r="I268" t="str">
        <f t="shared" si="22"/>
        <v>Saturday</v>
      </c>
      <c r="L268">
        <f t="shared" si="23"/>
        <v>0</v>
      </c>
    </row>
    <row r="269" spans="1:12" x14ac:dyDescent="0.25">
      <c r="A269">
        <v>156943008</v>
      </c>
      <c r="B269" s="1">
        <v>44843</v>
      </c>
      <c r="C269" s="1">
        <v>44844</v>
      </c>
      <c r="D269" t="s">
        <v>7</v>
      </c>
      <c r="E269">
        <v>39</v>
      </c>
      <c r="F269" t="s">
        <v>6</v>
      </c>
      <c r="G269" s="8">
        <f t="shared" si="20"/>
        <v>1</v>
      </c>
      <c r="H269">
        <f t="shared" si="21"/>
        <v>1</v>
      </c>
      <c r="I269" t="str">
        <f t="shared" si="22"/>
        <v>Sunday</v>
      </c>
      <c r="L269">
        <f t="shared" si="23"/>
        <v>1</v>
      </c>
    </row>
    <row r="270" spans="1:12" x14ac:dyDescent="0.25">
      <c r="A270">
        <v>127328047</v>
      </c>
      <c r="B270" s="1">
        <v>44843</v>
      </c>
      <c r="C270" s="1">
        <v>44942</v>
      </c>
      <c r="D270" t="s">
        <v>7</v>
      </c>
      <c r="E270">
        <v>39</v>
      </c>
      <c r="F270" t="s">
        <v>6</v>
      </c>
      <c r="G270" s="8">
        <f t="shared" si="20"/>
        <v>99</v>
      </c>
      <c r="H270">
        <f t="shared" si="21"/>
        <v>1</v>
      </c>
      <c r="I270" t="str">
        <f t="shared" si="22"/>
        <v>Sunday</v>
      </c>
      <c r="L270">
        <f t="shared" si="23"/>
        <v>0</v>
      </c>
    </row>
    <row r="271" spans="1:12" x14ac:dyDescent="0.25">
      <c r="A271">
        <v>157506842</v>
      </c>
      <c r="B271" s="1">
        <v>44843</v>
      </c>
      <c r="C271" s="1">
        <v>44880</v>
      </c>
      <c r="D271" t="s">
        <v>7</v>
      </c>
      <c r="E271">
        <v>39</v>
      </c>
      <c r="F271" t="s">
        <v>6</v>
      </c>
      <c r="G271" s="8">
        <f t="shared" si="20"/>
        <v>37</v>
      </c>
      <c r="H271">
        <f t="shared" si="21"/>
        <v>1</v>
      </c>
      <c r="I271" t="str">
        <f t="shared" si="22"/>
        <v>Sunday</v>
      </c>
      <c r="L271">
        <f t="shared" si="23"/>
        <v>0</v>
      </c>
    </row>
    <row r="272" spans="1:12" x14ac:dyDescent="0.25">
      <c r="A272">
        <v>150924853</v>
      </c>
      <c r="B272" s="1">
        <v>44843</v>
      </c>
      <c r="C272" s="1">
        <v>44888</v>
      </c>
      <c r="D272" t="s">
        <v>7</v>
      </c>
      <c r="E272">
        <v>39</v>
      </c>
      <c r="F272" t="s">
        <v>6</v>
      </c>
      <c r="G272" s="8">
        <f t="shared" si="20"/>
        <v>45</v>
      </c>
      <c r="H272">
        <f t="shared" si="21"/>
        <v>1</v>
      </c>
      <c r="I272" t="str">
        <f t="shared" si="22"/>
        <v>Sunday</v>
      </c>
      <c r="L272">
        <f t="shared" si="23"/>
        <v>0</v>
      </c>
    </row>
    <row r="273" spans="1:12" x14ac:dyDescent="0.25">
      <c r="A273">
        <v>156996568</v>
      </c>
      <c r="B273" s="1">
        <v>44844</v>
      </c>
      <c r="C273" s="1">
        <f ca="1">TODAY()</f>
        <v>45938</v>
      </c>
      <c r="D273" t="s">
        <v>7</v>
      </c>
      <c r="E273">
        <v>39</v>
      </c>
      <c r="F273" t="s">
        <v>6</v>
      </c>
      <c r="G273" s="8">
        <f t="shared" ca="1" si="20"/>
        <v>1094</v>
      </c>
      <c r="H273">
        <f t="shared" si="21"/>
        <v>2</v>
      </c>
      <c r="I273" t="str">
        <f t="shared" si="22"/>
        <v>Monday</v>
      </c>
      <c r="L273">
        <f t="shared" ca="1" si="23"/>
        <v>0</v>
      </c>
    </row>
    <row r="274" spans="1:12" x14ac:dyDescent="0.25">
      <c r="A274">
        <v>157627904</v>
      </c>
      <c r="B274" s="1">
        <v>44844</v>
      </c>
      <c r="C274" s="1">
        <v>44937</v>
      </c>
      <c r="D274" t="s">
        <v>7</v>
      </c>
      <c r="E274">
        <v>39</v>
      </c>
      <c r="F274" t="s">
        <v>6</v>
      </c>
      <c r="G274" s="8">
        <f t="shared" si="20"/>
        <v>93</v>
      </c>
      <c r="H274">
        <f t="shared" si="21"/>
        <v>2</v>
      </c>
      <c r="I274" t="str">
        <f t="shared" si="22"/>
        <v>Monday</v>
      </c>
      <c r="L274">
        <f t="shared" si="23"/>
        <v>0</v>
      </c>
    </row>
    <row r="275" spans="1:12" x14ac:dyDescent="0.25">
      <c r="A275">
        <v>157058101</v>
      </c>
      <c r="B275" s="1">
        <v>44844</v>
      </c>
      <c r="C275" s="1">
        <v>44874</v>
      </c>
      <c r="D275" t="s">
        <v>7</v>
      </c>
      <c r="E275">
        <v>39</v>
      </c>
      <c r="F275" t="s">
        <v>6</v>
      </c>
      <c r="G275" s="8">
        <f t="shared" si="20"/>
        <v>30</v>
      </c>
      <c r="H275">
        <f t="shared" si="21"/>
        <v>2</v>
      </c>
      <c r="I275" t="str">
        <f t="shared" si="22"/>
        <v>Monday</v>
      </c>
      <c r="L275">
        <f t="shared" si="23"/>
        <v>0</v>
      </c>
    </row>
    <row r="276" spans="1:12" x14ac:dyDescent="0.25">
      <c r="A276">
        <v>157394598</v>
      </c>
      <c r="B276" s="1">
        <v>44845</v>
      </c>
      <c r="C276" s="1">
        <v>44846</v>
      </c>
      <c r="D276" t="s">
        <v>8</v>
      </c>
      <c r="E276">
        <v>39</v>
      </c>
      <c r="F276" t="s">
        <v>6</v>
      </c>
      <c r="G276" s="8">
        <f t="shared" si="20"/>
        <v>1</v>
      </c>
      <c r="H276">
        <f t="shared" si="21"/>
        <v>3</v>
      </c>
      <c r="I276" t="str">
        <f t="shared" si="22"/>
        <v>Tuesday</v>
      </c>
      <c r="L276">
        <f t="shared" si="23"/>
        <v>1</v>
      </c>
    </row>
    <row r="277" spans="1:12" x14ac:dyDescent="0.25">
      <c r="A277">
        <v>157765918</v>
      </c>
      <c r="B277" s="1">
        <v>44845</v>
      </c>
      <c r="C277" s="1">
        <v>44846</v>
      </c>
      <c r="D277" t="s">
        <v>8</v>
      </c>
      <c r="E277">
        <v>39</v>
      </c>
      <c r="F277" t="s">
        <v>6</v>
      </c>
      <c r="G277" s="8">
        <f t="shared" si="20"/>
        <v>1</v>
      </c>
      <c r="H277">
        <f t="shared" si="21"/>
        <v>3</v>
      </c>
      <c r="I277" t="str">
        <f t="shared" si="22"/>
        <v>Tuesday</v>
      </c>
      <c r="L277">
        <f t="shared" si="23"/>
        <v>1</v>
      </c>
    </row>
    <row r="278" spans="1:12" x14ac:dyDescent="0.25">
      <c r="A278">
        <v>157746458</v>
      </c>
      <c r="B278" s="1">
        <v>44845</v>
      </c>
      <c r="C278" s="1">
        <v>45041</v>
      </c>
      <c r="D278" t="s">
        <v>7</v>
      </c>
      <c r="E278">
        <v>39</v>
      </c>
      <c r="F278" t="s">
        <v>6</v>
      </c>
      <c r="G278" s="8">
        <f t="shared" si="20"/>
        <v>196</v>
      </c>
      <c r="H278">
        <f t="shared" si="21"/>
        <v>3</v>
      </c>
      <c r="I278" t="str">
        <f t="shared" si="22"/>
        <v>Tuesday</v>
      </c>
      <c r="L278">
        <f t="shared" si="23"/>
        <v>0</v>
      </c>
    </row>
    <row r="279" spans="1:12" x14ac:dyDescent="0.25">
      <c r="A279">
        <v>157590918</v>
      </c>
      <c r="B279" s="1">
        <v>44845</v>
      </c>
      <c r="C279" s="1">
        <v>44969</v>
      </c>
      <c r="D279" t="s">
        <v>7</v>
      </c>
      <c r="E279">
        <v>39</v>
      </c>
      <c r="F279" t="s">
        <v>6</v>
      </c>
      <c r="G279" s="8">
        <f t="shared" si="20"/>
        <v>124</v>
      </c>
      <c r="H279">
        <f t="shared" si="21"/>
        <v>3</v>
      </c>
      <c r="I279" t="str">
        <f t="shared" si="22"/>
        <v>Tuesday</v>
      </c>
      <c r="L279">
        <f t="shared" si="23"/>
        <v>0</v>
      </c>
    </row>
    <row r="280" spans="1:12" x14ac:dyDescent="0.25">
      <c r="A280">
        <v>157290992</v>
      </c>
      <c r="B280" s="1">
        <v>44845</v>
      </c>
      <c r="C280" s="1">
        <v>44936</v>
      </c>
      <c r="D280" t="s">
        <v>7</v>
      </c>
      <c r="E280">
        <v>39</v>
      </c>
      <c r="F280" t="s">
        <v>6</v>
      </c>
      <c r="G280" s="8">
        <f t="shared" si="20"/>
        <v>91</v>
      </c>
      <c r="H280">
        <f t="shared" si="21"/>
        <v>3</v>
      </c>
      <c r="I280" t="str">
        <f t="shared" si="22"/>
        <v>Tuesday</v>
      </c>
      <c r="L280">
        <f t="shared" si="23"/>
        <v>0</v>
      </c>
    </row>
    <row r="281" spans="1:12" x14ac:dyDescent="0.25">
      <c r="A281">
        <v>156895701</v>
      </c>
      <c r="B281" s="1">
        <v>44845</v>
      </c>
      <c r="C281" s="1">
        <v>44913</v>
      </c>
      <c r="D281" t="s">
        <v>7</v>
      </c>
      <c r="E281">
        <v>39</v>
      </c>
      <c r="F281" t="s">
        <v>6</v>
      </c>
      <c r="G281" s="8">
        <f t="shared" si="20"/>
        <v>68</v>
      </c>
      <c r="H281">
        <f t="shared" si="21"/>
        <v>3</v>
      </c>
      <c r="I281" t="str">
        <f t="shared" si="22"/>
        <v>Tuesday</v>
      </c>
      <c r="L281">
        <f t="shared" si="23"/>
        <v>0</v>
      </c>
    </row>
    <row r="282" spans="1:12" x14ac:dyDescent="0.25">
      <c r="A282">
        <v>155926313</v>
      </c>
      <c r="B282" s="1">
        <v>44845</v>
      </c>
      <c r="C282" s="1">
        <v>44893</v>
      </c>
      <c r="D282" t="s">
        <v>7</v>
      </c>
      <c r="E282">
        <v>39</v>
      </c>
      <c r="F282" t="s">
        <v>6</v>
      </c>
      <c r="G282" s="8">
        <f t="shared" si="20"/>
        <v>48</v>
      </c>
      <c r="H282">
        <f t="shared" si="21"/>
        <v>3</v>
      </c>
      <c r="I282" t="str">
        <f t="shared" si="22"/>
        <v>Tuesday</v>
      </c>
      <c r="L282">
        <f t="shared" si="23"/>
        <v>0</v>
      </c>
    </row>
    <row r="283" spans="1:12" x14ac:dyDescent="0.25">
      <c r="A283">
        <v>156110000</v>
      </c>
      <c r="B283" s="1">
        <v>44845</v>
      </c>
      <c r="C283" s="1">
        <v>44881</v>
      </c>
      <c r="D283" t="s">
        <v>7</v>
      </c>
      <c r="E283">
        <v>39</v>
      </c>
      <c r="F283" t="s">
        <v>6</v>
      </c>
      <c r="G283" s="8">
        <f t="shared" si="20"/>
        <v>36</v>
      </c>
      <c r="H283">
        <f t="shared" si="21"/>
        <v>3</v>
      </c>
      <c r="I283" t="str">
        <f t="shared" si="22"/>
        <v>Tuesday</v>
      </c>
      <c r="L283">
        <f t="shared" si="23"/>
        <v>0</v>
      </c>
    </row>
    <row r="284" spans="1:12" x14ac:dyDescent="0.25">
      <c r="A284">
        <v>157851493</v>
      </c>
      <c r="B284" s="1">
        <v>44846</v>
      </c>
      <c r="C284" s="1">
        <v>45020</v>
      </c>
      <c r="D284" t="s">
        <v>7</v>
      </c>
      <c r="E284">
        <v>39</v>
      </c>
      <c r="F284" t="s">
        <v>6</v>
      </c>
      <c r="G284" s="8">
        <f t="shared" si="20"/>
        <v>174</v>
      </c>
      <c r="H284">
        <f t="shared" si="21"/>
        <v>4</v>
      </c>
      <c r="I284" t="str">
        <f t="shared" si="22"/>
        <v>Wednesday</v>
      </c>
      <c r="L284">
        <f t="shared" si="23"/>
        <v>0</v>
      </c>
    </row>
    <row r="285" spans="1:12" x14ac:dyDescent="0.25">
      <c r="A285">
        <v>157792408</v>
      </c>
      <c r="B285" s="1">
        <v>44846</v>
      </c>
      <c r="C285" s="1">
        <v>45087</v>
      </c>
      <c r="D285" t="s">
        <v>7</v>
      </c>
      <c r="E285">
        <v>39</v>
      </c>
      <c r="F285" t="s">
        <v>6</v>
      </c>
      <c r="G285" s="8">
        <f t="shared" si="20"/>
        <v>241</v>
      </c>
      <c r="H285">
        <f t="shared" si="21"/>
        <v>4</v>
      </c>
      <c r="I285" t="str">
        <f t="shared" si="22"/>
        <v>Wednesday</v>
      </c>
      <c r="L285">
        <f t="shared" si="23"/>
        <v>0</v>
      </c>
    </row>
    <row r="286" spans="1:12" x14ac:dyDescent="0.25">
      <c r="A286">
        <v>157868778</v>
      </c>
      <c r="B286" s="1">
        <v>44846</v>
      </c>
      <c r="C286" s="1">
        <v>44872</v>
      </c>
      <c r="D286" t="s">
        <v>7</v>
      </c>
      <c r="E286">
        <v>39</v>
      </c>
      <c r="F286" t="s">
        <v>6</v>
      </c>
      <c r="G286" s="8">
        <f t="shared" si="20"/>
        <v>26</v>
      </c>
      <c r="H286">
        <f t="shared" si="21"/>
        <v>4</v>
      </c>
      <c r="I286" t="str">
        <f t="shared" si="22"/>
        <v>Wednesday</v>
      </c>
      <c r="L286">
        <f t="shared" si="23"/>
        <v>0</v>
      </c>
    </row>
    <row r="287" spans="1:12" x14ac:dyDescent="0.25">
      <c r="A287">
        <v>157833252</v>
      </c>
      <c r="B287" s="1">
        <v>44846</v>
      </c>
      <c r="C287" s="1">
        <v>44857</v>
      </c>
      <c r="D287" t="s">
        <v>7</v>
      </c>
      <c r="E287">
        <v>39</v>
      </c>
      <c r="F287" t="s">
        <v>6</v>
      </c>
      <c r="G287" s="8">
        <f t="shared" si="20"/>
        <v>11</v>
      </c>
      <c r="H287">
        <f t="shared" si="21"/>
        <v>4</v>
      </c>
      <c r="I287" t="str">
        <f t="shared" si="22"/>
        <v>Wednesday</v>
      </c>
      <c r="L287">
        <f t="shared" si="23"/>
        <v>0</v>
      </c>
    </row>
    <row r="288" spans="1:12" x14ac:dyDescent="0.25">
      <c r="A288">
        <v>149662340</v>
      </c>
      <c r="B288" s="1">
        <v>44847</v>
      </c>
      <c r="C288" s="1">
        <f t="shared" ref="C288:C289" ca="1" si="24">TODAY()</f>
        <v>45938</v>
      </c>
      <c r="D288" t="s">
        <v>7</v>
      </c>
      <c r="E288">
        <v>39</v>
      </c>
      <c r="F288" t="s">
        <v>6</v>
      </c>
      <c r="G288" s="8">
        <f t="shared" ca="1" si="20"/>
        <v>1091</v>
      </c>
      <c r="H288">
        <f t="shared" si="21"/>
        <v>5</v>
      </c>
      <c r="I288" t="str">
        <f t="shared" si="22"/>
        <v>Thursday</v>
      </c>
      <c r="L288">
        <f t="shared" ca="1" si="23"/>
        <v>0</v>
      </c>
    </row>
    <row r="289" spans="1:12" x14ac:dyDescent="0.25">
      <c r="A289">
        <v>126918448</v>
      </c>
      <c r="B289" s="1">
        <v>44847</v>
      </c>
      <c r="C289" s="1">
        <f t="shared" ca="1" si="24"/>
        <v>45938</v>
      </c>
      <c r="D289" t="s">
        <v>7</v>
      </c>
      <c r="E289">
        <v>39</v>
      </c>
      <c r="F289" t="s">
        <v>6</v>
      </c>
      <c r="G289" s="8">
        <f t="shared" ca="1" si="20"/>
        <v>1091</v>
      </c>
      <c r="H289">
        <f t="shared" si="21"/>
        <v>5</v>
      </c>
      <c r="I289" t="str">
        <f t="shared" si="22"/>
        <v>Thursday</v>
      </c>
      <c r="L289">
        <f t="shared" ca="1" si="23"/>
        <v>0</v>
      </c>
    </row>
    <row r="290" spans="1:12" x14ac:dyDescent="0.25">
      <c r="A290">
        <v>136897370</v>
      </c>
      <c r="B290" s="1">
        <v>44847</v>
      </c>
      <c r="C290" s="1">
        <v>44943</v>
      </c>
      <c r="D290" t="s">
        <v>7</v>
      </c>
      <c r="E290">
        <v>39</v>
      </c>
      <c r="F290" t="s">
        <v>6</v>
      </c>
      <c r="G290" s="8">
        <f t="shared" si="20"/>
        <v>96</v>
      </c>
      <c r="H290">
        <f t="shared" si="21"/>
        <v>5</v>
      </c>
      <c r="I290" t="str">
        <f t="shared" si="22"/>
        <v>Thursday</v>
      </c>
      <c r="L290">
        <f t="shared" si="23"/>
        <v>0</v>
      </c>
    </row>
    <row r="291" spans="1:12" x14ac:dyDescent="0.25">
      <c r="A291">
        <v>157921307</v>
      </c>
      <c r="B291" s="1">
        <v>44847</v>
      </c>
      <c r="C291" s="1">
        <v>45076</v>
      </c>
      <c r="D291" t="s">
        <v>7</v>
      </c>
      <c r="E291">
        <v>39</v>
      </c>
      <c r="F291" t="s">
        <v>6</v>
      </c>
      <c r="G291" s="8">
        <f t="shared" si="20"/>
        <v>229</v>
      </c>
      <c r="H291">
        <f t="shared" si="21"/>
        <v>5</v>
      </c>
      <c r="I291" t="str">
        <f t="shared" si="22"/>
        <v>Thursday</v>
      </c>
      <c r="L291">
        <f t="shared" si="23"/>
        <v>0</v>
      </c>
    </row>
    <row r="292" spans="1:12" x14ac:dyDescent="0.25">
      <c r="A292">
        <v>157905868</v>
      </c>
      <c r="B292" s="1">
        <v>44847</v>
      </c>
      <c r="C292" s="1">
        <v>44963</v>
      </c>
      <c r="D292" t="s">
        <v>7</v>
      </c>
      <c r="E292">
        <v>39</v>
      </c>
      <c r="F292" t="s">
        <v>6</v>
      </c>
      <c r="G292" s="8">
        <f t="shared" si="20"/>
        <v>116</v>
      </c>
      <c r="H292">
        <f t="shared" si="21"/>
        <v>5</v>
      </c>
      <c r="I292" t="str">
        <f t="shared" si="22"/>
        <v>Thursday</v>
      </c>
      <c r="L292">
        <f t="shared" si="23"/>
        <v>0</v>
      </c>
    </row>
    <row r="293" spans="1:12" x14ac:dyDescent="0.25">
      <c r="A293">
        <v>152377785</v>
      </c>
      <c r="B293" s="1">
        <v>44847</v>
      </c>
      <c r="C293" s="1">
        <v>44937</v>
      </c>
      <c r="D293" t="s">
        <v>7</v>
      </c>
      <c r="E293">
        <v>39</v>
      </c>
      <c r="F293" t="s">
        <v>6</v>
      </c>
      <c r="G293" s="8">
        <f t="shared" si="20"/>
        <v>90</v>
      </c>
      <c r="H293">
        <f t="shared" si="21"/>
        <v>5</v>
      </c>
      <c r="I293" t="str">
        <f t="shared" si="22"/>
        <v>Thursday</v>
      </c>
      <c r="L293">
        <f t="shared" si="23"/>
        <v>0</v>
      </c>
    </row>
    <row r="294" spans="1:12" x14ac:dyDescent="0.25">
      <c r="A294">
        <v>157567612</v>
      </c>
      <c r="B294" s="1">
        <v>44847</v>
      </c>
      <c r="C294" s="1">
        <v>44868</v>
      </c>
      <c r="D294" t="s">
        <v>7</v>
      </c>
      <c r="E294">
        <v>39</v>
      </c>
      <c r="F294" t="s">
        <v>6</v>
      </c>
      <c r="G294" s="8">
        <f t="shared" si="20"/>
        <v>21</v>
      </c>
      <c r="H294">
        <f t="shared" si="21"/>
        <v>5</v>
      </c>
      <c r="I294" t="str">
        <f t="shared" si="22"/>
        <v>Thursday</v>
      </c>
      <c r="L294">
        <f t="shared" si="23"/>
        <v>0</v>
      </c>
    </row>
    <row r="295" spans="1:12" x14ac:dyDescent="0.25">
      <c r="A295">
        <v>157993772</v>
      </c>
      <c r="B295" s="1">
        <v>44849</v>
      </c>
      <c r="C295" s="1">
        <v>44849</v>
      </c>
      <c r="D295" t="s">
        <v>8</v>
      </c>
      <c r="E295">
        <v>39</v>
      </c>
      <c r="F295" t="s">
        <v>6</v>
      </c>
      <c r="G295" s="8">
        <f t="shared" si="20"/>
        <v>0</v>
      </c>
      <c r="H295">
        <f t="shared" si="21"/>
        <v>7</v>
      </c>
      <c r="I295" t="str">
        <f t="shared" si="22"/>
        <v>Saturday</v>
      </c>
      <c r="L295">
        <f t="shared" si="23"/>
        <v>1</v>
      </c>
    </row>
    <row r="296" spans="1:12" x14ac:dyDescent="0.25">
      <c r="A296">
        <v>148769034</v>
      </c>
      <c r="B296" s="1">
        <v>44849</v>
      </c>
      <c r="C296" s="1">
        <v>44998</v>
      </c>
      <c r="D296" t="s">
        <v>7</v>
      </c>
      <c r="E296">
        <v>39</v>
      </c>
      <c r="F296" t="s">
        <v>6</v>
      </c>
      <c r="G296" s="8">
        <f t="shared" si="20"/>
        <v>149</v>
      </c>
      <c r="H296">
        <f t="shared" si="21"/>
        <v>7</v>
      </c>
      <c r="I296" t="str">
        <f t="shared" si="22"/>
        <v>Saturday</v>
      </c>
      <c r="L296">
        <f t="shared" si="23"/>
        <v>0</v>
      </c>
    </row>
    <row r="297" spans="1:12" x14ac:dyDescent="0.25">
      <c r="A297">
        <v>158050283</v>
      </c>
      <c r="B297" s="1">
        <v>44849</v>
      </c>
      <c r="C297" s="1">
        <v>45114</v>
      </c>
      <c r="D297" t="s">
        <v>7</v>
      </c>
      <c r="E297">
        <v>39</v>
      </c>
      <c r="F297" t="s">
        <v>6</v>
      </c>
      <c r="G297" s="8">
        <f t="shared" si="20"/>
        <v>265</v>
      </c>
      <c r="H297">
        <f t="shared" si="21"/>
        <v>7</v>
      </c>
      <c r="I297" t="str">
        <f t="shared" si="22"/>
        <v>Saturday</v>
      </c>
      <c r="L297">
        <f t="shared" si="23"/>
        <v>0</v>
      </c>
    </row>
    <row r="298" spans="1:12" x14ac:dyDescent="0.25">
      <c r="A298">
        <v>157436507</v>
      </c>
      <c r="B298" s="1">
        <v>44850</v>
      </c>
      <c r="C298" s="1">
        <f ca="1">TODAY()</f>
        <v>45938</v>
      </c>
      <c r="D298" t="s">
        <v>7</v>
      </c>
      <c r="E298">
        <v>39</v>
      </c>
      <c r="F298" t="s">
        <v>6</v>
      </c>
      <c r="G298" s="8">
        <f t="shared" ca="1" si="20"/>
        <v>1088</v>
      </c>
      <c r="H298">
        <f t="shared" si="21"/>
        <v>1</v>
      </c>
      <c r="I298" t="str">
        <f t="shared" si="22"/>
        <v>Sunday</v>
      </c>
      <c r="L298">
        <f t="shared" ca="1" si="23"/>
        <v>0</v>
      </c>
    </row>
    <row r="299" spans="1:12" x14ac:dyDescent="0.25">
      <c r="A299">
        <v>123808301</v>
      </c>
      <c r="B299" s="1">
        <v>44850</v>
      </c>
      <c r="C299" s="1">
        <v>44861</v>
      </c>
      <c r="D299" t="s">
        <v>7</v>
      </c>
      <c r="E299">
        <v>39</v>
      </c>
      <c r="F299" t="s">
        <v>6</v>
      </c>
      <c r="G299" s="8">
        <f t="shared" si="20"/>
        <v>11</v>
      </c>
      <c r="H299">
        <f t="shared" si="21"/>
        <v>1</v>
      </c>
      <c r="I299" t="str">
        <f t="shared" si="22"/>
        <v>Sunday</v>
      </c>
      <c r="L299">
        <f t="shared" si="23"/>
        <v>0</v>
      </c>
    </row>
    <row r="300" spans="1:12" x14ac:dyDescent="0.25">
      <c r="A300">
        <v>158033452</v>
      </c>
      <c r="B300" s="1">
        <v>44850</v>
      </c>
      <c r="C300" s="1">
        <v>44987</v>
      </c>
      <c r="D300" t="s">
        <v>7</v>
      </c>
      <c r="E300">
        <v>39</v>
      </c>
      <c r="F300" t="s">
        <v>6</v>
      </c>
      <c r="G300" s="8">
        <f t="shared" si="20"/>
        <v>137</v>
      </c>
      <c r="H300">
        <f t="shared" si="21"/>
        <v>1</v>
      </c>
      <c r="I300" t="str">
        <f t="shared" si="22"/>
        <v>Sunday</v>
      </c>
      <c r="L300">
        <f t="shared" si="23"/>
        <v>0</v>
      </c>
    </row>
    <row r="301" spans="1:12" x14ac:dyDescent="0.25">
      <c r="A301">
        <v>156796659</v>
      </c>
      <c r="B301" s="1">
        <v>44850</v>
      </c>
      <c r="C301" s="1">
        <v>44994</v>
      </c>
      <c r="D301" t="s">
        <v>7</v>
      </c>
      <c r="E301">
        <v>39</v>
      </c>
      <c r="F301" t="s">
        <v>6</v>
      </c>
      <c r="G301" s="8">
        <f t="shared" si="20"/>
        <v>144</v>
      </c>
      <c r="H301">
        <f t="shared" si="21"/>
        <v>1</v>
      </c>
      <c r="I301" t="str">
        <f t="shared" si="22"/>
        <v>Sunday</v>
      </c>
      <c r="L301">
        <f t="shared" si="23"/>
        <v>0</v>
      </c>
    </row>
    <row r="302" spans="1:12" x14ac:dyDescent="0.25">
      <c r="A302">
        <v>158093021</v>
      </c>
      <c r="B302" s="1">
        <v>44850</v>
      </c>
      <c r="C302" s="1">
        <v>44922</v>
      </c>
      <c r="D302" t="s">
        <v>7</v>
      </c>
      <c r="E302">
        <v>39</v>
      </c>
      <c r="F302" t="s">
        <v>6</v>
      </c>
      <c r="G302" s="8">
        <f t="shared" si="20"/>
        <v>72</v>
      </c>
      <c r="H302">
        <f t="shared" si="21"/>
        <v>1</v>
      </c>
      <c r="I302" t="str">
        <f t="shared" si="22"/>
        <v>Sunday</v>
      </c>
      <c r="L302">
        <f t="shared" si="23"/>
        <v>0</v>
      </c>
    </row>
    <row r="303" spans="1:12" x14ac:dyDescent="0.25">
      <c r="A303">
        <v>157900412</v>
      </c>
      <c r="B303" s="1">
        <v>44850</v>
      </c>
      <c r="C303" s="1">
        <v>44874</v>
      </c>
      <c r="D303" t="s">
        <v>7</v>
      </c>
      <c r="E303">
        <v>39</v>
      </c>
      <c r="F303" t="s">
        <v>6</v>
      </c>
      <c r="G303" s="8">
        <f t="shared" si="20"/>
        <v>24</v>
      </c>
      <c r="H303">
        <f t="shared" si="21"/>
        <v>1</v>
      </c>
      <c r="I303" t="str">
        <f t="shared" si="22"/>
        <v>Sunday</v>
      </c>
      <c r="L303">
        <f t="shared" si="23"/>
        <v>0</v>
      </c>
    </row>
    <row r="304" spans="1:12" x14ac:dyDescent="0.25">
      <c r="A304">
        <v>152892719</v>
      </c>
      <c r="B304" s="1">
        <v>44850</v>
      </c>
      <c r="C304" s="1">
        <v>44850</v>
      </c>
      <c r="D304" t="s">
        <v>7</v>
      </c>
      <c r="E304">
        <v>39</v>
      </c>
      <c r="F304" t="s">
        <v>6</v>
      </c>
      <c r="G304" s="8">
        <f t="shared" si="20"/>
        <v>0</v>
      </c>
      <c r="H304">
        <f t="shared" si="21"/>
        <v>1</v>
      </c>
      <c r="I304" t="str">
        <f t="shared" si="22"/>
        <v>Sunday</v>
      </c>
      <c r="L304">
        <f t="shared" si="23"/>
        <v>1</v>
      </c>
    </row>
    <row r="305" spans="1:12" x14ac:dyDescent="0.25">
      <c r="A305">
        <v>158009130</v>
      </c>
      <c r="B305" s="1">
        <v>44851</v>
      </c>
      <c r="C305" s="1">
        <f ca="1">TODAY()</f>
        <v>45938</v>
      </c>
      <c r="D305" t="s">
        <v>7</v>
      </c>
      <c r="E305">
        <v>39</v>
      </c>
      <c r="F305" t="s">
        <v>6</v>
      </c>
      <c r="G305" s="8">
        <f t="shared" ca="1" si="20"/>
        <v>1087</v>
      </c>
      <c r="H305">
        <f t="shared" si="21"/>
        <v>2</v>
      </c>
      <c r="I305" t="str">
        <f t="shared" si="22"/>
        <v>Monday</v>
      </c>
      <c r="L305">
        <f t="shared" ca="1" si="23"/>
        <v>0</v>
      </c>
    </row>
    <row r="306" spans="1:12" x14ac:dyDescent="0.25">
      <c r="A306">
        <v>157904656</v>
      </c>
      <c r="B306" s="1">
        <v>44851</v>
      </c>
      <c r="C306" s="1">
        <v>44910</v>
      </c>
      <c r="D306" t="s">
        <v>7</v>
      </c>
      <c r="E306">
        <v>39</v>
      </c>
      <c r="F306" t="s">
        <v>6</v>
      </c>
      <c r="G306" s="8">
        <f t="shared" si="20"/>
        <v>59</v>
      </c>
      <c r="H306">
        <f t="shared" si="21"/>
        <v>2</v>
      </c>
      <c r="I306" t="str">
        <f t="shared" si="22"/>
        <v>Monday</v>
      </c>
      <c r="L306">
        <f t="shared" si="23"/>
        <v>0</v>
      </c>
    </row>
    <row r="307" spans="1:12" x14ac:dyDescent="0.25">
      <c r="A307">
        <v>157838980</v>
      </c>
      <c r="B307" s="1">
        <v>44851</v>
      </c>
      <c r="C307" s="1">
        <v>44973</v>
      </c>
      <c r="D307" t="s">
        <v>7</v>
      </c>
      <c r="E307">
        <v>39</v>
      </c>
      <c r="F307" t="s">
        <v>6</v>
      </c>
      <c r="G307" s="8">
        <f t="shared" si="20"/>
        <v>122</v>
      </c>
      <c r="H307">
        <f t="shared" si="21"/>
        <v>2</v>
      </c>
      <c r="I307" t="str">
        <f t="shared" si="22"/>
        <v>Monday</v>
      </c>
      <c r="L307">
        <f t="shared" si="23"/>
        <v>0</v>
      </c>
    </row>
    <row r="308" spans="1:12" x14ac:dyDescent="0.25">
      <c r="A308">
        <v>123402996</v>
      </c>
      <c r="B308" s="1">
        <v>44851</v>
      </c>
      <c r="C308" s="1">
        <v>44930</v>
      </c>
      <c r="D308" t="s">
        <v>7</v>
      </c>
      <c r="E308">
        <v>39</v>
      </c>
      <c r="F308" t="s">
        <v>6</v>
      </c>
      <c r="G308" s="8">
        <f t="shared" si="20"/>
        <v>79</v>
      </c>
      <c r="H308">
        <f t="shared" si="21"/>
        <v>2</v>
      </c>
      <c r="I308" t="str">
        <f t="shared" si="22"/>
        <v>Monday</v>
      </c>
      <c r="L308">
        <f t="shared" si="23"/>
        <v>0</v>
      </c>
    </row>
    <row r="309" spans="1:12" x14ac:dyDescent="0.25">
      <c r="A309">
        <v>158112356</v>
      </c>
      <c r="B309" s="1">
        <v>44851</v>
      </c>
      <c r="C309" s="1">
        <v>44925</v>
      </c>
      <c r="D309" t="s">
        <v>7</v>
      </c>
      <c r="E309">
        <v>39</v>
      </c>
      <c r="F309" t="s">
        <v>6</v>
      </c>
      <c r="G309" s="8">
        <f t="shared" si="20"/>
        <v>74</v>
      </c>
      <c r="H309">
        <f t="shared" si="21"/>
        <v>2</v>
      </c>
      <c r="I309" t="str">
        <f t="shared" si="22"/>
        <v>Monday</v>
      </c>
      <c r="L309">
        <f t="shared" si="23"/>
        <v>0</v>
      </c>
    </row>
    <row r="310" spans="1:12" x14ac:dyDescent="0.25">
      <c r="A310">
        <v>152410420</v>
      </c>
      <c r="B310" s="1">
        <v>44851</v>
      </c>
      <c r="C310" s="1">
        <v>44883</v>
      </c>
      <c r="D310" t="s">
        <v>7</v>
      </c>
      <c r="E310">
        <v>39</v>
      </c>
      <c r="F310" t="s">
        <v>6</v>
      </c>
      <c r="G310" s="8">
        <f t="shared" si="20"/>
        <v>32</v>
      </c>
      <c r="H310">
        <f t="shared" si="21"/>
        <v>2</v>
      </c>
      <c r="I310" t="str">
        <f t="shared" si="22"/>
        <v>Monday</v>
      </c>
      <c r="L310">
        <f t="shared" si="23"/>
        <v>0</v>
      </c>
    </row>
    <row r="311" spans="1:12" x14ac:dyDescent="0.25">
      <c r="A311">
        <v>158164441</v>
      </c>
      <c r="B311" s="1">
        <v>44851</v>
      </c>
      <c r="C311" s="1">
        <v>44882</v>
      </c>
      <c r="D311" t="s">
        <v>7</v>
      </c>
      <c r="E311">
        <v>39</v>
      </c>
      <c r="F311" t="s">
        <v>6</v>
      </c>
      <c r="G311" s="8">
        <f t="shared" si="20"/>
        <v>31</v>
      </c>
      <c r="H311">
        <f t="shared" si="21"/>
        <v>2</v>
      </c>
      <c r="I311" t="str">
        <f t="shared" si="22"/>
        <v>Monday</v>
      </c>
      <c r="L311">
        <f t="shared" si="23"/>
        <v>0</v>
      </c>
    </row>
    <row r="312" spans="1:12" x14ac:dyDescent="0.25">
      <c r="A312">
        <v>153956466</v>
      </c>
      <c r="B312" s="1">
        <v>44851</v>
      </c>
      <c r="C312" s="1">
        <v>44882</v>
      </c>
      <c r="D312" t="s">
        <v>7</v>
      </c>
      <c r="E312">
        <v>39</v>
      </c>
      <c r="F312" t="s">
        <v>6</v>
      </c>
      <c r="G312" s="8">
        <f t="shared" si="20"/>
        <v>31</v>
      </c>
      <c r="H312">
        <f t="shared" si="21"/>
        <v>2</v>
      </c>
      <c r="I312" t="str">
        <f t="shared" si="22"/>
        <v>Monday</v>
      </c>
      <c r="L312">
        <f t="shared" si="23"/>
        <v>0</v>
      </c>
    </row>
    <row r="313" spans="1:12" x14ac:dyDescent="0.25">
      <c r="A313">
        <v>158100990</v>
      </c>
      <c r="B313" s="1">
        <v>44851</v>
      </c>
      <c r="C313" s="1">
        <v>44879</v>
      </c>
      <c r="D313" t="s">
        <v>7</v>
      </c>
      <c r="E313">
        <v>39</v>
      </c>
      <c r="F313" t="s">
        <v>6</v>
      </c>
      <c r="G313" s="8">
        <f t="shared" si="20"/>
        <v>28</v>
      </c>
      <c r="H313">
        <f t="shared" si="21"/>
        <v>2</v>
      </c>
      <c r="I313" t="str">
        <f t="shared" si="22"/>
        <v>Monday</v>
      </c>
      <c r="L313">
        <f t="shared" si="23"/>
        <v>0</v>
      </c>
    </row>
    <row r="314" spans="1:12" x14ac:dyDescent="0.25">
      <c r="A314">
        <v>158096894</v>
      </c>
      <c r="B314" s="1">
        <v>44851</v>
      </c>
      <c r="C314" s="1">
        <v>44879</v>
      </c>
      <c r="D314" t="s">
        <v>7</v>
      </c>
      <c r="E314">
        <v>39</v>
      </c>
      <c r="F314" t="s">
        <v>6</v>
      </c>
      <c r="G314" s="8">
        <f t="shared" si="20"/>
        <v>28</v>
      </c>
      <c r="H314">
        <f t="shared" si="21"/>
        <v>2</v>
      </c>
      <c r="I314" t="str">
        <f t="shared" si="22"/>
        <v>Monday</v>
      </c>
      <c r="L314">
        <f t="shared" si="23"/>
        <v>0</v>
      </c>
    </row>
    <row r="315" spans="1:12" x14ac:dyDescent="0.25">
      <c r="A315">
        <v>158066376</v>
      </c>
      <c r="B315" s="1">
        <v>44851</v>
      </c>
      <c r="C315" s="1">
        <v>44873</v>
      </c>
      <c r="D315" t="s">
        <v>7</v>
      </c>
      <c r="E315">
        <v>39</v>
      </c>
      <c r="F315" t="s">
        <v>6</v>
      </c>
      <c r="G315" s="8">
        <f t="shared" si="20"/>
        <v>22</v>
      </c>
      <c r="H315">
        <f t="shared" si="21"/>
        <v>2</v>
      </c>
      <c r="I315" t="str">
        <f t="shared" si="22"/>
        <v>Monday</v>
      </c>
      <c r="L315">
        <f t="shared" si="23"/>
        <v>0</v>
      </c>
    </row>
    <row r="316" spans="1:12" x14ac:dyDescent="0.25">
      <c r="A316">
        <v>158220808</v>
      </c>
      <c r="B316" s="1">
        <v>44852</v>
      </c>
      <c r="C316" s="1">
        <f ca="1">TODAY()</f>
        <v>45938</v>
      </c>
      <c r="D316" t="s">
        <v>8</v>
      </c>
      <c r="E316">
        <v>39</v>
      </c>
      <c r="F316" t="s">
        <v>6</v>
      </c>
      <c r="G316" s="8">
        <f t="shared" ca="1" si="20"/>
        <v>1086</v>
      </c>
      <c r="H316">
        <f t="shared" si="21"/>
        <v>3</v>
      </c>
      <c r="I316" t="str">
        <f t="shared" si="22"/>
        <v>Tuesday</v>
      </c>
      <c r="L316">
        <f t="shared" ca="1" si="23"/>
        <v>0</v>
      </c>
    </row>
    <row r="317" spans="1:12" x14ac:dyDescent="0.25">
      <c r="A317">
        <v>131779624</v>
      </c>
      <c r="B317" s="1">
        <v>44852</v>
      </c>
      <c r="C317" s="1">
        <v>44890</v>
      </c>
      <c r="D317" t="s">
        <v>7</v>
      </c>
      <c r="E317">
        <v>39</v>
      </c>
      <c r="F317" t="s">
        <v>6</v>
      </c>
      <c r="G317" s="8">
        <f t="shared" si="20"/>
        <v>38</v>
      </c>
      <c r="H317">
        <f t="shared" si="21"/>
        <v>3</v>
      </c>
      <c r="I317" t="str">
        <f t="shared" si="22"/>
        <v>Tuesday</v>
      </c>
      <c r="L317">
        <f t="shared" si="23"/>
        <v>0</v>
      </c>
    </row>
    <row r="318" spans="1:12" x14ac:dyDescent="0.25">
      <c r="A318">
        <v>158267390</v>
      </c>
      <c r="B318" s="1">
        <v>44852</v>
      </c>
      <c r="C318" s="1">
        <v>44920</v>
      </c>
      <c r="D318" t="s">
        <v>7</v>
      </c>
      <c r="E318">
        <v>39</v>
      </c>
      <c r="F318" t="s">
        <v>6</v>
      </c>
      <c r="G318" s="8">
        <f t="shared" si="20"/>
        <v>68</v>
      </c>
      <c r="H318">
        <f t="shared" si="21"/>
        <v>3</v>
      </c>
      <c r="I318" t="str">
        <f t="shared" si="22"/>
        <v>Tuesday</v>
      </c>
      <c r="L318">
        <f t="shared" si="23"/>
        <v>0</v>
      </c>
    </row>
    <row r="319" spans="1:12" x14ac:dyDescent="0.25">
      <c r="A319">
        <v>152354478</v>
      </c>
      <c r="B319" s="1">
        <v>44852</v>
      </c>
      <c r="C319" s="1">
        <v>44959</v>
      </c>
      <c r="D319" t="s">
        <v>7</v>
      </c>
      <c r="E319">
        <v>39</v>
      </c>
      <c r="F319" t="s">
        <v>6</v>
      </c>
      <c r="G319" s="8">
        <f t="shared" si="20"/>
        <v>107</v>
      </c>
      <c r="H319">
        <f t="shared" si="21"/>
        <v>3</v>
      </c>
      <c r="I319" t="str">
        <f t="shared" si="22"/>
        <v>Tuesday</v>
      </c>
      <c r="L319">
        <f t="shared" si="23"/>
        <v>0</v>
      </c>
    </row>
    <row r="320" spans="1:12" x14ac:dyDescent="0.25">
      <c r="A320">
        <v>146376235</v>
      </c>
      <c r="B320" s="1">
        <v>44852</v>
      </c>
      <c r="C320" s="1">
        <v>44902</v>
      </c>
      <c r="D320" t="s">
        <v>7</v>
      </c>
      <c r="E320">
        <v>39</v>
      </c>
      <c r="F320" t="s">
        <v>6</v>
      </c>
      <c r="G320" s="8">
        <f t="shared" si="20"/>
        <v>50</v>
      </c>
      <c r="H320">
        <f t="shared" si="21"/>
        <v>3</v>
      </c>
      <c r="I320" t="str">
        <f t="shared" si="22"/>
        <v>Tuesday</v>
      </c>
      <c r="L320">
        <f t="shared" si="23"/>
        <v>0</v>
      </c>
    </row>
    <row r="321" spans="1:12" x14ac:dyDescent="0.25">
      <c r="A321">
        <v>153953296</v>
      </c>
      <c r="B321" s="1">
        <v>44852</v>
      </c>
      <c r="C321" s="1">
        <v>44867</v>
      </c>
      <c r="D321" t="s">
        <v>7</v>
      </c>
      <c r="E321">
        <v>39</v>
      </c>
      <c r="F321" t="s">
        <v>6</v>
      </c>
      <c r="G321" s="8">
        <f t="shared" si="20"/>
        <v>15</v>
      </c>
      <c r="H321">
        <f t="shared" si="21"/>
        <v>3</v>
      </c>
      <c r="I321" t="str">
        <f t="shared" si="22"/>
        <v>Tuesday</v>
      </c>
      <c r="L321">
        <f t="shared" si="23"/>
        <v>0</v>
      </c>
    </row>
    <row r="322" spans="1:12" x14ac:dyDescent="0.25">
      <c r="A322">
        <v>154659594</v>
      </c>
      <c r="B322" s="1">
        <v>44852</v>
      </c>
      <c r="C322" s="1">
        <v>44879</v>
      </c>
      <c r="D322" t="s">
        <v>7</v>
      </c>
      <c r="E322">
        <v>39</v>
      </c>
      <c r="F322" t="s">
        <v>6</v>
      </c>
      <c r="G322" s="8">
        <f t="shared" si="20"/>
        <v>27</v>
      </c>
      <c r="H322">
        <f t="shared" si="21"/>
        <v>3</v>
      </c>
      <c r="I322" t="str">
        <f t="shared" si="22"/>
        <v>Tuesday</v>
      </c>
      <c r="L322">
        <f t="shared" si="23"/>
        <v>0</v>
      </c>
    </row>
    <row r="323" spans="1:12" x14ac:dyDescent="0.25">
      <c r="A323">
        <v>157998778</v>
      </c>
      <c r="B323" s="1">
        <v>44852</v>
      </c>
      <c r="C323" s="1">
        <v>44890</v>
      </c>
      <c r="D323" t="s">
        <v>7</v>
      </c>
      <c r="E323">
        <v>39</v>
      </c>
      <c r="F323" t="s">
        <v>6</v>
      </c>
      <c r="G323" s="8">
        <f t="shared" ref="G323:G386" si="25">IFERROR(DATEDIF(B323,C323,"D"),"0")</f>
        <v>38</v>
      </c>
      <c r="H323">
        <f t="shared" ref="H323:H386" si="26">WEEKDAY(B323,1)</f>
        <v>3</v>
      </c>
      <c r="I323" t="str">
        <f t="shared" ref="I323:I386" si="27">TEXT(B323,"DDDD")</f>
        <v>Tuesday</v>
      </c>
      <c r="L323">
        <f t="shared" ref="L323:L386" si="28">IF( OR($G323=0,$G323 = 1, $G323 = 2), 1, 0 )</f>
        <v>0</v>
      </c>
    </row>
    <row r="324" spans="1:12" x14ac:dyDescent="0.25">
      <c r="A324">
        <v>150668840</v>
      </c>
      <c r="B324" s="1">
        <v>44852</v>
      </c>
      <c r="C324" s="1">
        <v>44866</v>
      </c>
      <c r="D324" t="s">
        <v>7</v>
      </c>
      <c r="E324">
        <v>39</v>
      </c>
      <c r="F324" t="s">
        <v>6</v>
      </c>
      <c r="G324" s="8">
        <f t="shared" si="25"/>
        <v>14</v>
      </c>
      <c r="H324">
        <f t="shared" si="26"/>
        <v>3</v>
      </c>
      <c r="I324" t="str">
        <f t="shared" si="27"/>
        <v>Tuesday</v>
      </c>
      <c r="L324">
        <f t="shared" si="28"/>
        <v>0</v>
      </c>
    </row>
    <row r="325" spans="1:12" x14ac:dyDescent="0.25">
      <c r="A325">
        <v>158184958</v>
      </c>
      <c r="B325" s="1">
        <v>44852</v>
      </c>
      <c r="C325" s="1">
        <v>44867</v>
      </c>
      <c r="D325" t="s">
        <v>7</v>
      </c>
      <c r="E325">
        <v>39</v>
      </c>
      <c r="F325" t="s">
        <v>6</v>
      </c>
      <c r="G325" s="8">
        <f t="shared" si="25"/>
        <v>15</v>
      </c>
      <c r="H325">
        <f t="shared" si="26"/>
        <v>3</v>
      </c>
      <c r="I325" t="str">
        <f t="shared" si="27"/>
        <v>Tuesday</v>
      </c>
      <c r="L325">
        <f t="shared" si="28"/>
        <v>0</v>
      </c>
    </row>
    <row r="326" spans="1:12" x14ac:dyDescent="0.25">
      <c r="A326">
        <v>158362440</v>
      </c>
      <c r="B326" s="1">
        <v>44853</v>
      </c>
      <c r="C326" s="1">
        <v>45065</v>
      </c>
      <c r="D326" t="s">
        <v>7</v>
      </c>
      <c r="E326">
        <v>39</v>
      </c>
      <c r="F326" t="s">
        <v>6</v>
      </c>
      <c r="G326" s="8">
        <f t="shared" si="25"/>
        <v>212</v>
      </c>
      <c r="H326">
        <f t="shared" si="26"/>
        <v>4</v>
      </c>
      <c r="I326" t="str">
        <f t="shared" si="27"/>
        <v>Wednesday</v>
      </c>
      <c r="L326">
        <f t="shared" si="28"/>
        <v>0</v>
      </c>
    </row>
    <row r="327" spans="1:12" x14ac:dyDescent="0.25">
      <c r="A327">
        <v>158477370</v>
      </c>
      <c r="B327" s="1">
        <v>44853</v>
      </c>
      <c r="C327" s="1">
        <v>44978</v>
      </c>
      <c r="D327" t="s">
        <v>7</v>
      </c>
      <c r="E327">
        <v>39</v>
      </c>
      <c r="F327" t="s">
        <v>6</v>
      </c>
      <c r="G327" s="8">
        <f t="shared" si="25"/>
        <v>125</v>
      </c>
      <c r="H327">
        <f t="shared" si="26"/>
        <v>4</v>
      </c>
      <c r="I327" t="str">
        <f t="shared" si="27"/>
        <v>Wednesday</v>
      </c>
      <c r="L327">
        <f t="shared" si="28"/>
        <v>0</v>
      </c>
    </row>
    <row r="328" spans="1:12" x14ac:dyDescent="0.25">
      <c r="A328">
        <v>158047538</v>
      </c>
      <c r="B328" s="1">
        <v>44853</v>
      </c>
      <c r="C328" s="1">
        <v>44948</v>
      </c>
      <c r="D328" t="s">
        <v>7</v>
      </c>
      <c r="E328">
        <v>39</v>
      </c>
      <c r="F328" t="s">
        <v>6</v>
      </c>
      <c r="G328" s="8">
        <f t="shared" si="25"/>
        <v>95</v>
      </c>
      <c r="H328">
        <f t="shared" si="26"/>
        <v>4</v>
      </c>
      <c r="I328" t="str">
        <f t="shared" si="27"/>
        <v>Wednesday</v>
      </c>
      <c r="L328">
        <f t="shared" si="28"/>
        <v>0</v>
      </c>
    </row>
    <row r="329" spans="1:12" x14ac:dyDescent="0.25">
      <c r="A329">
        <v>157910445</v>
      </c>
      <c r="B329" s="1">
        <v>44853</v>
      </c>
      <c r="C329" s="1">
        <v>44941</v>
      </c>
      <c r="D329" t="s">
        <v>7</v>
      </c>
      <c r="E329">
        <v>39</v>
      </c>
      <c r="F329" t="s">
        <v>6</v>
      </c>
      <c r="G329" s="8">
        <f t="shared" si="25"/>
        <v>88</v>
      </c>
      <c r="H329">
        <f t="shared" si="26"/>
        <v>4</v>
      </c>
      <c r="I329" t="str">
        <f t="shared" si="27"/>
        <v>Wednesday</v>
      </c>
      <c r="L329">
        <f t="shared" si="28"/>
        <v>0</v>
      </c>
    </row>
    <row r="330" spans="1:12" x14ac:dyDescent="0.25">
      <c r="A330">
        <v>154091460</v>
      </c>
      <c r="B330" s="1">
        <v>44853</v>
      </c>
      <c r="C330" s="1">
        <v>45098</v>
      </c>
      <c r="D330" t="s">
        <v>7</v>
      </c>
      <c r="E330">
        <v>39</v>
      </c>
      <c r="F330" t="s">
        <v>6</v>
      </c>
      <c r="G330" s="8">
        <f t="shared" si="25"/>
        <v>245</v>
      </c>
      <c r="H330">
        <f t="shared" si="26"/>
        <v>4</v>
      </c>
      <c r="I330" t="str">
        <f t="shared" si="27"/>
        <v>Wednesday</v>
      </c>
      <c r="L330">
        <f t="shared" si="28"/>
        <v>0</v>
      </c>
    </row>
    <row r="331" spans="1:12" x14ac:dyDescent="0.25">
      <c r="A331">
        <v>158532103</v>
      </c>
      <c r="B331" s="1">
        <v>44854</v>
      </c>
      <c r="C331" s="1">
        <v>45059</v>
      </c>
      <c r="D331" t="s">
        <v>7</v>
      </c>
      <c r="E331">
        <v>39</v>
      </c>
      <c r="F331" t="s">
        <v>6</v>
      </c>
      <c r="G331" s="8">
        <f t="shared" si="25"/>
        <v>205</v>
      </c>
      <c r="H331">
        <f t="shared" si="26"/>
        <v>5</v>
      </c>
      <c r="I331" t="str">
        <f t="shared" si="27"/>
        <v>Thursday</v>
      </c>
      <c r="L331">
        <f t="shared" si="28"/>
        <v>0</v>
      </c>
    </row>
    <row r="332" spans="1:12" x14ac:dyDescent="0.25">
      <c r="A332">
        <v>158591698</v>
      </c>
      <c r="B332" s="1">
        <v>44854</v>
      </c>
      <c r="C332" s="1">
        <v>45002</v>
      </c>
      <c r="D332" t="s">
        <v>7</v>
      </c>
      <c r="E332">
        <v>39</v>
      </c>
      <c r="F332" t="s">
        <v>6</v>
      </c>
      <c r="G332" s="8">
        <f t="shared" si="25"/>
        <v>148</v>
      </c>
      <c r="H332">
        <f t="shared" si="26"/>
        <v>5</v>
      </c>
      <c r="I332" t="str">
        <f t="shared" si="27"/>
        <v>Thursday</v>
      </c>
      <c r="L332">
        <f t="shared" si="28"/>
        <v>0</v>
      </c>
    </row>
    <row r="333" spans="1:12" x14ac:dyDescent="0.25">
      <c r="A333">
        <v>158533909</v>
      </c>
      <c r="B333" s="1">
        <v>44854</v>
      </c>
      <c r="C333" s="1">
        <v>44953</v>
      </c>
      <c r="D333" t="s">
        <v>7</v>
      </c>
      <c r="E333">
        <v>39</v>
      </c>
      <c r="F333" t="s">
        <v>6</v>
      </c>
      <c r="G333" s="8">
        <f t="shared" si="25"/>
        <v>99</v>
      </c>
      <c r="H333">
        <f t="shared" si="26"/>
        <v>5</v>
      </c>
      <c r="I333" t="str">
        <f t="shared" si="27"/>
        <v>Thursday</v>
      </c>
      <c r="L333">
        <f t="shared" si="28"/>
        <v>0</v>
      </c>
    </row>
    <row r="334" spans="1:12" x14ac:dyDescent="0.25">
      <c r="A334">
        <v>156372496</v>
      </c>
      <c r="B334" s="1">
        <v>44854</v>
      </c>
      <c r="C334" s="1">
        <v>44910</v>
      </c>
      <c r="D334" t="s">
        <v>7</v>
      </c>
      <c r="E334">
        <v>39</v>
      </c>
      <c r="F334" t="s">
        <v>6</v>
      </c>
      <c r="G334" s="8">
        <f t="shared" si="25"/>
        <v>56</v>
      </c>
      <c r="H334">
        <f t="shared" si="26"/>
        <v>5</v>
      </c>
      <c r="I334" t="str">
        <f t="shared" si="27"/>
        <v>Thursday</v>
      </c>
      <c r="L334">
        <f t="shared" si="28"/>
        <v>0</v>
      </c>
    </row>
    <row r="335" spans="1:12" x14ac:dyDescent="0.25">
      <c r="A335">
        <v>158620475</v>
      </c>
      <c r="B335" s="1">
        <v>44854</v>
      </c>
      <c r="C335" s="1">
        <v>45135</v>
      </c>
      <c r="D335" t="s">
        <v>7</v>
      </c>
      <c r="E335">
        <v>39</v>
      </c>
      <c r="F335" t="s">
        <v>6</v>
      </c>
      <c r="G335" s="8">
        <f t="shared" si="25"/>
        <v>281</v>
      </c>
      <c r="H335">
        <f t="shared" si="26"/>
        <v>5</v>
      </c>
      <c r="I335" t="str">
        <f t="shared" si="27"/>
        <v>Thursday</v>
      </c>
      <c r="L335">
        <f t="shared" si="28"/>
        <v>0</v>
      </c>
    </row>
    <row r="336" spans="1:12" x14ac:dyDescent="0.25">
      <c r="A336">
        <v>158539824</v>
      </c>
      <c r="B336" s="1">
        <v>44854</v>
      </c>
      <c r="C336" s="1">
        <v>45097</v>
      </c>
      <c r="D336" t="s">
        <v>7</v>
      </c>
      <c r="E336">
        <v>39</v>
      </c>
      <c r="F336" t="s">
        <v>6</v>
      </c>
      <c r="G336" s="8">
        <f t="shared" si="25"/>
        <v>243</v>
      </c>
      <c r="H336">
        <f t="shared" si="26"/>
        <v>5</v>
      </c>
      <c r="I336" t="str">
        <f t="shared" si="27"/>
        <v>Thursday</v>
      </c>
      <c r="L336">
        <f t="shared" si="28"/>
        <v>0</v>
      </c>
    </row>
    <row r="337" spans="1:12" x14ac:dyDescent="0.25">
      <c r="A337">
        <v>158499042</v>
      </c>
      <c r="B337" s="1">
        <v>44855</v>
      </c>
      <c r="C337" s="1">
        <f ca="1">TODAY()</f>
        <v>45938</v>
      </c>
      <c r="D337" t="s">
        <v>7</v>
      </c>
      <c r="E337">
        <v>39</v>
      </c>
      <c r="F337" t="s">
        <v>6</v>
      </c>
      <c r="G337" s="8">
        <f t="shared" ca="1" si="25"/>
        <v>1083</v>
      </c>
      <c r="H337">
        <f t="shared" si="26"/>
        <v>6</v>
      </c>
      <c r="I337" t="str">
        <f t="shared" si="27"/>
        <v>Friday</v>
      </c>
      <c r="L337">
        <f t="shared" ca="1" si="28"/>
        <v>0</v>
      </c>
    </row>
    <row r="338" spans="1:12" x14ac:dyDescent="0.25">
      <c r="A338">
        <v>158755464</v>
      </c>
      <c r="B338" s="1">
        <v>44855</v>
      </c>
      <c r="C338" s="1">
        <v>44893</v>
      </c>
      <c r="D338" t="s">
        <v>7</v>
      </c>
      <c r="E338">
        <v>39</v>
      </c>
      <c r="F338" t="s">
        <v>6</v>
      </c>
      <c r="G338" s="8">
        <f t="shared" si="25"/>
        <v>38</v>
      </c>
      <c r="H338">
        <f t="shared" si="26"/>
        <v>6</v>
      </c>
      <c r="I338" t="str">
        <f t="shared" si="27"/>
        <v>Friday</v>
      </c>
      <c r="L338">
        <f t="shared" si="28"/>
        <v>0</v>
      </c>
    </row>
    <row r="339" spans="1:12" x14ac:dyDescent="0.25">
      <c r="A339">
        <v>149112756</v>
      </c>
      <c r="B339" s="1">
        <v>44855</v>
      </c>
      <c r="C339" s="1">
        <v>45074</v>
      </c>
      <c r="D339" t="s">
        <v>7</v>
      </c>
      <c r="E339">
        <v>39</v>
      </c>
      <c r="F339" t="s">
        <v>6</v>
      </c>
      <c r="G339" s="8">
        <f t="shared" si="25"/>
        <v>219</v>
      </c>
      <c r="H339">
        <f t="shared" si="26"/>
        <v>6</v>
      </c>
      <c r="I339" t="str">
        <f t="shared" si="27"/>
        <v>Friday</v>
      </c>
      <c r="L339">
        <f t="shared" si="28"/>
        <v>0</v>
      </c>
    </row>
    <row r="340" spans="1:12" x14ac:dyDescent="0.25">
      <c r="A340">
        <v>149065622</v>
      </c>
      <c r="B340" s="1">
        <v>44855</v>
      </c>
      <c r="C340" s="1">
        <v>44923</v>
      </c>
      <c r="D340" t="s">
        <v>7</v>
      </c>
      <c r="E340">
        <v>39</v>
      </c>
      <c r="F340" t="s">
        <v>6</v>
      </c>
      <c r="G340" s="8">
        <f t="shared" si="25"/>
        <v>68</v>
      </c>
      <c r="H340">
        <f t="shared" si="26"/>
        <v>6</v>
      </c>
      <c r="I340" t="str">
        <f t="shared" si="27"/>
        <v>Friday</v>
      </c>
      <c r="L340">
        <f t="shared" si="28"/>
        <v>0</v>
      </c>
    </row>
    <row r="341" spans="1:12" x14ac:dyDescent="0.25">
      <c r="A341">
        <v>158656065</v>
      </c>
      <c r="B341" s="1">
        <v>44855</v>
      </c>
      <c r="C341" s="1">
        <v>44925</v>
      </c>
      <c r="D341" t="s">
        <v>7</v>
      </c>
      <c r="E341">
        <v>39</v>
      </c>
      <c r="F341" t="s">
        <v>6</v>
      </c>
      <c r="G341" s="8">
        <f t="shared" si="25"/>
        <v>70</v>
      </c>
      <c r="H341">
        <f t="shared" si="26"/>
        <v>6</v>
      </c>
      <c r="I341" t="str">
        <f t="shared" si="27"/>
        <v>Friday</v>
      </c>
      <c r="L341">
        <f t="shared" si="28"/>
        <v>0</v>
      </c>
    </row>
    <row r="342" spans="1:12" x14ac:dyDescent="0.25">
      <c r="A342">
        <v>158756090</v>
      </c>
      <c r="B342" s="1">
        <v>44855</v>
      </c>
      <c r="C342" s="1">
        <v>44867</v>
      </c>
      <c r="D342" t="s">
        <v>7</v>
      </c>
      <c r="E342">
        <v>39</v>
      </c>
      <c r="F342" t="s">
        <v>6</v>
      </c>
      <c r="G342" s="8">
        <f t="shared" si="25"/>
        <v>12</v>
      </c>
      <c r="H342">
        <f t="shared" si="26"/>
        <v>6</v>
      </c>
      <c r="I342" t="str">
        <f t="shared" si="27"/>
        <v>Friday</v>
      </c>
      <c r="L342">
        <f t="shared" si="28"/>
        <v>0</v>
      </c>
    </row>
    <row r="343" spans="1:12" x14ac:dyDescent="0.25">
      <c r="A343">
        <v>158447710</v>
      </c>
      <c r="B343" s="1">
        <v>44855</v>
      </c>
      <c r="C343" s="1">
        <v>44883</v>
      </c>
      <c r="D343" t="s">
        <v>7</v>
      </c>
      <c r="E343">
        <v>39</v>
      </c>
      <c r="F343" t="s">
        <v>6</v>
      </c>
      <c r="G343" s="8">
        <f t="shared" si="25"/>
        <v>28</v>
      </c>
      <c r="H343">
        <f t="shared" si="26"/>
        <v>6</v>
      </c>
      <c r="I343" t="str">
        <f t="shared" si="27"/>
        <v>Friday</v>
      </c>
      <c r="L343">
        <f t="shared" si="28"/>
        <v>0</v>
      </c>
    </row>
    <row r="344" spans="1:12" x14ac:dyDescent="0.25">
      <c r="A344">
        <v>157568391</v>
      </c>
      <c r="B344" s="1">
        <v>44855</v>
      </c>
      <c r="C344" s="1">
        <v>44886</v>
      </c>
      <c r="D344" t="s">
        <v>7</v>
      </c>
      <c r="E344">
        <v>39</v>
      </c>
      <c r="F344" t="s">
        <v>6</v>
      </c>
      <c r="G344" s="8">
        <f t="shared" si="25"/>
        <v>31</v>
      </c>
      <c r="H344">
        <f t="shared" si="26"/>
        <v>6</v>
      </c>
      <c r="I344" t="str">
        <f t="shared" si="27"/>
        <v>Friday</v>
      </c>
      <c r="L344">
        <f t="shared" si="28"/>
        <v>0</v>
      </c>
    </row>
    <row r="345" spans="1:12" x14ac:dyDescent="0.25">
      <c r="A345">
        <v>157505106</v>
      </c>
      <c r="B345" s="1">
        <v>44856</v>
      </c>
      <c r="C345" s="1">
        <f ca="1">TODAY()</f>
        <v>45938</v>
      </c>
      <c r="D345" t="s">
        <v>7</v>
      </c>
      <c r="E345">
        <v>39</v>
      </c>
      <c r="F345" t="s">
        <v>6</v>
      </c>
      <c r="G345" s="8">
        <f t="shared" ca="1" si="25"/>
        <v>1082</v>
      </c>
      <c r="H345">
        <f t="shared" si="26"/>
        <v>7</v>
      </c>
      <c r="I345" t="str">
        <f t="shared" si="27"/>
        <v>Saturday</v>
      </c>
      <c r="L345">
        <f t="shared" ca="1" si="28"/>
        <v>0</v>
      </c>
    </row>
    <row r="346" spans="1:12" x14ac:dyDescent="0.25">
      <c r="A346">
        <v>158761363</v>
      </c>
      <c r="B346" s="1">
        <v>44856</v>
      </c>
      <c r="C346" s="1">
        <v>44983</v>
      </c>
      <c r="D346" t="s">
        <v>7</v>
      </c>
      <c r="E346">
        <v>39</v>
      </c>
      <c r="F346" t="s">
        <v>6</v>
      </c>
      <c r="G346" s="8">
        <f t="shared" si="25"/>
        <v>127</v>
      </c>
      <c r="H346">
        <f t="shared" si="26"/>
        <v>7</v>
      </c>
      <c r="I346" t="str">
        <f t="shared" si="27"/>
        <v>Saturday</v>
      </c>
      <c r="L346">
        <f t="shared" si="28"/>
        <v>0</v>
      </c>
    </row>
    <row r="347" spans="1:12" x14ac:dyDescent="0.25">
      <c r="A347">
        <v>144858980</v>
      </c>
      <c r="B347" s="1">
        <v>44856</v>
      </c>
      <c r="C347" s="1">
        <v>44917</v>
      </c>
      <c r="D347" t="s">
        <v>7</v>
      </c>
      <c r="E347">
        <v>39</v>
      </c>
      <c r="F347" t="s">
        <v>6</v>
      </c>
      <c r="G347" s="8">
        <f t="shared" si="25"/>
        <v>61</v>
      </c>
      <c r="H347">
        <f t="shared" si="26"/>
        <v>7</v>
      </c>
      <c r="I347" t="str">
        <f t="shared" si="27"/>
        <v>Saturday</v>
      </c>
      <c r="L347">
        <f t="shared" si="28"/>
        <v>0</v>
      </c>
    </row>
    <row r="348" spans="1:12" x14ac:dyDescent="0.25">
      <c r="A348">
        <v>151000288</v>
      </c>
      <c r="B348" s="1">
        <v>44856</v>
      </c>
      <c r="C348" s="1">
        <v>44917</v>
      </c>
      <c r="D348" t="s">
        <v>7</v>
      </c>
      <c r="E348">
        <v>39</v>
      </c>
      <c r="F348" t="s">
        <v>6</v>
      </c>
      <c r="G348" s="8">
        <f t="shared" si="25"/>
        <v>61</v>
      </c>
      <c r="H348">
        <f t="shared" si="26"/>
        <v>7</v>
      </c>
      <c r="I348" t="str">
        <f t="shared" si="27"/>
        <v>Saturday</v>
      </c>
      <c r="L348">
        <f t="shared" si="28"/>
        <v>0</v>
      </c>
    </row>
    <row r="349" spans="1:12" x14ac:dyDescent="0.25">
      <c r="A349">
        <v>136276852</v>
      </c>
      <c r="B349" s="1">
        <v>44856</v>
      </c>
      <c r="C349" s="1">
        <v>44887</v>
      </c>
      <c r="D349" t="s">
        <v>7</v>
      </c>
      <c r="E349">
        <v>39</v>
      </c>
      <c r="F349" t="s">
        <v>6</v>
      </c>
      <c r="G349" s="8">
        <f t="shared" si="25"/>
        <v>31</v>
      </c>
      <c r="H349">
        <f t="shared" si="26"/>
        <v>7</v>
      </c>
      <c r="I349" t="str">
        <f t="shared" si="27"/>
        <v>Saturday</v>
      </c>
      <c r="L349">
        <f t="shared" si="28"/>
        <v>0</v>
      </c>
    </row>
    <row r="350" spans="1:12" x14ac:dyDescent="0.25">
      <c r="A350">
        <v>158767852</v>
      </c>
      <c r="B350" s="1">
        <v>44856</v>
      </c>
      <c r="C350" s="1">
        <v>44894</v>
      </c>
      <c r="D350" t="s">
        <v>7</v>
      </c>
      <c r="E350">
        <v>39</v>
      </c>
      <c r="F350" t="s">
        <v>6</v>
      </c>
      <c r="G350" s="8">
        <f t="shared" si="25"/>
        <v>38</v>
      </c>
      <c r="H350">
        <f t="shared" si="26"/>
        <v>7</v>
      </c>
      <c r="I350" t="str">
        <f t="shared" si="27"/>
        <v>Saturday</v>
      </c>
      <c r="L350">
        <f t="shared" si="28"/>
        <v>0</v>
      </c>
    </row>
    <row r="351" spans="1:12" x14ac:dyDescent="0.25">
      <c r="A351">
        <v>158849640</v>
      </c>
      <c r="B351" s="1">
        <v>44857</v>
      </c>
      <c r="C351" s="1">
        <f ca="1">TODAY()</f>
        <v>45938</v>
      </c>
      <c r="D351" t="s">
        <v>7</v>
      </c>
      <c r="E351">
        <v>39</v>
      </c>
      <c r="F351" t="s">
        <v>6</v>
      </c>
      <c r="G351" s="8">
        <f t="shared" ca="1" si="25"/>
        <v>1081</v>
      </c>
      <c r="H351">
        <f t="shared" si="26"/>
        <v>1</v>
      </c>
      <c r="I351" t="str">
        <f t="shared" si="27"/>
        <v>Sunday</v>
      </c>
      <c r="L351">
        <f t="shared" ca="1" si="28"/>
        <v>0</v>
      </c>
    </row>
    <row r="352" spans="1:12" x14ac:dyDescent="0.25">
      <c r="A352">
        <v>151491892</v>
      </c>
      <c r="B352" s="1">
        <v>44857</v>
      </c>
      <c r="C352" s="1">
        <v>44858</v>
      </c>
      <c r="D352" t="s">
        <v>7</v>
      </c>
      <c r="E352">
        <v>39</v>
      </c>
      <c r="F352" t="s">
        <v>6</v>
      </c>
      <c r="G352" s="8">
        <f t="shared" si="25"/>
        <v>1</v>
      </c>
      <c r="H352">
        <f t="shared" si="26"/>
        <v>1</v>
      </c>
      <c r="I352" t="str">
        <f t="shared" si="27"/>
        <v>Sunday</v>
      </c>
      <c r="L352">
        <f t="shared" si="28"/>
        <v>1</v>
      </c>
    </row>
    <row r="353" spans="1:12" x14ac:dyDescent="0.25">
      <c r="A353">
        <v>157474087</v>
      </c>
      <c r="B353" s="1">
        <v>44857</v>
      </c>
      <c r="C353" s="1">
        <v>44925</v>
      </c>
      <c r="D353" t="s">
        <v>7</v>
      </c>
      <c r="E353">
        <v>39</v>
      </c>
      <c r="F353" t="s">
        <v>6</v>
      </c>
      <c r="G353" s="8">
        <f t="shared" si="25"/>
        <v>68</v>
      </c>
      <c r="H353">
        <f t="shared" si="26"/>
        <v>1</v>
      </c>
      <c r="I353" t="str">
        <f t="shared" si="27"/>
        <v>Sunday</v>
      </c>
      <c r="L353">
        <f t="shared" si="28"/>
        <v>0</v>
      </c>
    </row>
    <row r="354" spans="1:12" x14ac:dyDescent="0.25">
      <c r="A354">
        <v>157997679</v>
      </c>
      <c r="B354" s="1">
        <v>44857</v>
      </c>
      <c r="C354" s="1">
        <v>45095</v>
      </c>
      <c r="D354" t="s">
        <v>7</v>
      </c>
      <c r="E354">
        <v>39</v>
      </c>
      <c r="F354" t="s">
        <v>6</v>
      </c>
      <c r="G354" s="8">
        <f t="shared" si="25"/>
        <v>238</v>
      </c>
      <c r="H354">
        <f t="shared" si="26"/>
        <v>1</v>
      </c>
      <c r="I354" t="str">
        <f t="shared" si="27"/>
        <v>Sunday</v>
      </c>
      <c r="L354">
        <f t="shared" si="28"/>
        <v>0</v>
      </c>
    </row>
    <row r="355" spans="1:12" x14ac:dyDescent="0.25">
      <c r="A355">
        <v>158566772</v>
      </c>
      <c r="B355" s="1">
        <v>44857</v>
      </c>
      <c r="C355" s="1">
        <v>44978</v>
      </c>
      <c r="D355" t="s">
        <v>7</v>
      </c>
      <c r="E355">
        <v>39</v>
      </c>
      <c r="F355" t="s">
        <v>6</v>
      </c>
      <c r="G355" s="8">
        <f t="shared" si="25"/>
        <v>121</v>
      </c>
      <c r="H355">
        <f t="shared" si="26"/>
        <v>1</v>
      </c>
      <c r="I355" t="str">
        <f t="shared" si="27"/>
        <v>Sunday</v>
      </c>
      <c r="L355">
        <f t="shared" si="28"/>
        <v>0</v>
      </c>
    </row>
    <row r="356" spans="1:12" x14ac:dyDescent="0.25">
      <c r="A356">
        <v>157788656</v>
      </c>
      <c r="B356" s="1">
        <v>44857</v>
      </c>
      <c r="C356" s="1">
        <v>44915</v>
      </c>
      <c r="D356" t="s">
        <v>7</v>
      </c>
      <c r="E356">
        <v>39</v>
      </c>
      <c r="F356" t="s">
        <v>6</v>
      </c>
      <c r="G356" s="8">
        <f t="shared" si="25"/>
        <v>58</v>
      </c>
      <c r="H356">
        <f t="shared" si="26"/>
        <v>1</v>
      </c>
      <c r="I356" t="str">
        <f t="shared" si="27"/>
        <v>Sunday</v>
      </c>
      <c r="L356">
        <f t="shared" si="28"/>
        <v>0</v>
      </c>
    </row>
    <row r="357" spans="1:12" x14ac:dyDescent="0.25">
      <c r="A357">
        <v>158832658</v>
      </c>
      <c r="B357" s="1">
        <v>44857</v>
      </c>
      <c r="C357" s="1">
        <v>44867</v>
      </c>
      <c r="D357" t="s">
        <v>7</v>
      </c>
      <c r="E357">
        <v>39</v>
      </c>
      <c r="F357" t="s">
        <v>6</v>
      </c>
      <c r="G357" s="8">
        <f t="shared" si="25"/>
        <v>10</v>
      </c>
      <c r="H357">
        <f t="shared" si="26"/>
        <v>1</v>
      </c>
      <c r="I357" t="str">
        <f t="shared" si="27"/>
        <v>Sunday</v>
      </c>
      <c r="L357">
        <f t="shared" si="28"/>
        <v>0</v>
      </c>
    </row>
    <row r="358" spans="1:12" x14ac:dyDescent="0.25">
      <c r="A358">
        <v>130837976</v>
      </c>
      <c r="B358" s="1">
        <v>44857</v>
      </c>
      <c r="C358" s="1">
        <v>44888</v>
      </c>
      <c r="D358" t="s">
        <v>7</v>
      </c>
      <c r="E358">
        <v>39</v>
      </c>
      <c r="F358" t="s">
        <v>6</v>
      </c>
      <c r="G358" s="8">
        <f t="shared" si="25"/>
        <v>31</v>
      </c>
      <c r="H358">
        <f t="shared" si="26"/>
        <v>1</v>
      </c>
      <c r="I358" t="str">
        <f t="shared" si="27"/>
        <v>Sunday</v>
      </c>
      <c r="L358">
        <f t="shared" si="28"/>
        <v>0</v>
      </c>
    </row>
    <row r="359" spans="1:12" x14ac:dyDescent="0.25">
      <c r="A359">
        <v>159095030</v>
      </c>
      <c r="B359" s="1">
        <v>44858</v>
      </c>
      <c r="C359" s="1">
        <v>44973</v>
      </c>
      <c r="D359" t="s">
        <v>7</v>
      </c>
      <c r="E359">
        <v>39</v>
      </c>
      <c r="F359" t="s">
        <v>6</v>
      </c>
      <c r="G359" s="8">
        <f t="shared" si="25"/>
        <v>115</v>
      </c>
      <c r="H359">
        <f t="shared" si="26"/>
        <v>2</v>
      </c>
      <c r="I359" t="str">
        <f t="shared" si="27"/>
        <v>Monday</v>
      </c>
      <c r="L359">
        <f t="shared" si="28"/>
        <v>0</v>
      </c>
    </row>
    <row r="360" spans="1:12" x14ac:dyDescent="0.25">
      <c r="A360">
        <v>159028041</v>
      </c>
      <c r="B360" s="1">
        <v>44858</v>
      </c>
      <c r="C360" s="1">
        <v>44896</v>
      </c>
      <c r="D360" t="s">
        <v>7</v>
      </c>
      <c r="E360">
        <v>39</v>
      </c>
      <c r="F360" t="s">
        <v>6</v>
      </c>
      <c r="G360" s="8">
        <f t="shared" si="25"/>
        <v>38</v>
      </c>
      <c r="H360">
        <f t="shared" si="26"/>
        <v>2</v>
      </c>
      <c r="I360" t="str">
        <f t="shared" si="27"/>
        <v>Monday</v>
      </c>
      <c r="L360">
        <f t="shared" si="28"/>
        <v>0</v>
      </c>
    </row>
    <row r="361" spans="1:12" x14ac:dyDescent="0.25">
      <c r="A361">
        <v>159018168</v>
      </c>
      <c r="B361" s="1">
        <v>44858</v>
      </c>
      <c r="C361" s="1">
        <v>44896</v>
      </c>
      <c r="D361" t="s">
        <v>7</v>
      </c>
      <c r="E361">
        <v>39</v>
      </c>
      <c r="F361" t="s">
        <v>6</v>
      </c>
      <c r="G361" s="8">
        <f t="shared" si="25"/>
        <v>38</v>
      </c>
      <c r="H361">
        <f t="shared" si="26"/>
        <v>2</v>
      </c>
      <c r="I361" t="str">
        <f t="shared" si="27"/>
        <v>Monday</v>
      </c>
      <c r="L361">
        <f t="shared" si="28"/>
        <v>0</v>
      </c>
    </row>
    <row r="362" spans="1:12" x14ac:dyDescent="0.25">
      <c r="A362">
        <v>157981870</v>
      </c>
      <c r="B362" s="1">
        <v>44858</v>
      </c>
      <c r="C362" s="1">
        <v>44872</v>
      </c>
      <c r="D362" t="s">
        <v>7</v>
      </c>
      <c r="E362">
        <v>39</v>
      </c>
      <c r="F362" t="s">
        <v>6</v>
      </c>
      <c r="G362" s="8">
        <f t="shared" si="25"/>
        <v>14</v>
      </c>
      <c r="H362">
        <f t="shared" si="26"/>
        <v>2</v>
      </c>
      <c r="I362" t="str">
        <f t="shared" si="27"/>
        <v>Monday</v>
      </c>
      <c r="L362">
        <f t="shared" si="28"/>
        <v>0</v>
      </c>
    </row>
    <row r="363" spans="1:12" x14ac:dyDescent="0.25">
      <c r="A363">
        <v>153061698</v>
      </c>
      <c r="B363" s="1">
        <v>44858</v>
      </c>
      <c r="C363" s="1">
        <v>44889</v>
      </c>
      <c r="D363" t="s">
        <v>7</v>
      </c>
      <c r="E363">
        <v>39</v>
      </c>
      <c r="F363" t="s">
        <v>6</v>
      </c>
      <c r="G363" s="8">
        <f t="shared" si="25"/>
        <v>31</v>
      </c>
      <c r="H363">
        <f t="shared" si="26"/>
        <v>2</v>
      </c>
      <c r="I363" t="str">
        <f t="shared" si="27"/>
        <v>Monday</v>
      </c>
      <c r="L363">
        <f t="shared" si="28"/>
        <v>0</v>
      </c>
    </row>
    <row r="364" spans="1:12" x14ac:dyDescent="0.25">
      <c r="A364">
        <v>159204523</v>
      </c>
      <c r="B364" s="1">
        <v>44859</v>
      </c>
      <c r="C364" s="1">
        <f t="shared" ref="C364:C365" ca="1" si="29">TODAY()</f>
        <v>45938</v>
      </c>
      <c r="D364" t="s">
        <v>7</v>
      </c>
      <c r="E364">
        <v>39</v>
      </c>
      <c r="F364" t="s">
        <v>6</v>
      </c>
      <c r="G364" s="8">
        <f t="shared" ca="1" si="25"/>
        <v>1079</v>
      </c>
      <c r="H364">
        <f t="shared" si="26"/>
        <v>3</v>
      </c>
      <c r="I364" t="str">
        <f t="shared" si="27"/>
        <v>Tuesday</v>
      </c>
      <c r="L364">
        <f t="shared" ca="1" si="28"/>
        <v>0</v>
      </c>
    </row>
    <row r="365" spans="1:12" x14ac:dyDescent="0.25">
      <c r="A365">
        <v>159236268</v>
      </c>
      <c r="B365" s="1">
        <v>44859</v>
      </c>
      <c r="C365" s="1">
        <f t="shared" ca="1" si="29"/>
        <v>45938</v>
      </c>
      <c r="D365" t="s">
        <v>8</v>
      </c>
      <c r="E365">
        <v>39</v>
      </c>
      <c r="F365" t="s">
        <v>6</v>
      </c>
      <c r="G365" s="8">
        <f t="shared" ca="1" si="25"/>
        <v>1079</v>
      </c>
      <c r="H365">
        <f t="shared" si="26"/>
        <v>3</v>
      </c>
      <c r="I365" t="str">
        <f t="shared" si="27"/>
        <v>Tuesday</v>
      </c>
      <c r="L365">
        <f t="shared" ca="1" si="28"/>
        <v>0</v>
      </c>
    </row>
    <row r="366" spans="1:12" x14ac:dyDescent="0.25">
      <c r="A366">
        <v>159256553</v>
      </c>
      <c r="B366" s="1">
        <v>44859</v>
      </c>
      <c r="C366" s="1">
        <v>44936</v>
      </c>
      <c r="D366" t="s">
        <v>7</v>
      </c>
      <c r="E366">
        <v>39</v>
      </c>
      <c r="F366" t="s">
        <v>6</v>
      </c>
      <c r="G366" s="8">
        <f t="shared" si="25"/>
        <v>77</v>
      </c>
      <c r="H366">
        <f t="shared" si="26"/>
        <v>3</v>
      </c>
      <c r="I366" t="str">
        <f t="shared" si="27"/>
        <v>Tuesday</v>
      </c>
      <c r="L366">
        <f t="shared" si="28"/>
        <v>0</v>
      </c>
    </row>
    <row r="367" spans="1:12" x14ac:dyDescent="0.25">
      <c r="A367">
        <v>159211568</v>
      </c>
      <c r="B367" s="1">
        <v>44859</v>
      </c>
      <c r="C367" s="1">
        <v>44928</v>
      </c>
      <c r="D367" t="s">
        <v>7</v>
      </c>
      <c r="E367">
        <v>39</v>
      </c>
      <c r="F367" t="s">
        <v>6</v>
      </c>
      <c r="G367" s="8">
        <f t="shared" si="25"/>
        <v>69</v>
      </c>
      <c r="H367">
        <f t="shared" si="26"/>
        <v>3</v>
      </c>
      <c r="I367" t="str">
        <f t="shared" si="27"/>
        <v>Tuesday</v>
      </c>
      <c r="L367">
        <f t="shared" si="28"/>
        <v>0</v>
      </c>
    </row>
    <row r="368" spans="1:12" x14ac:dyDescent="0.25">
      <c r="A368">
        <v>154778395</v>
      </c>
      <c r="B368" s="1">
        <v>44859</v>
      </c>
      <c r="C368" s="1">
        <v>44893</v>
      </c>
      <c r="D368" t="s">
        <v>7</v>
      </c>
      <c r="E368">
        <v>39</v>
      </c>
      <c r="F368" t="s">
        <v>6</v>
      </c>
      <c r="G368" s="8">
        <f t="shared" si="25"/>
        <v>34</v>
      </c>
      <c r="H368">
        <f t="shared" si="26"/>
        <v>3</v>
      </c>
      <c r="I368" t="str">
        <f t="shared" si="27"/>
        <v>Tuesday</v>
      </c>
      <c r="L368">
        <f t="shared" si="28"/>
        <v>0</v>
      </c>
    </row>
    <row r="369" spans="1:12" x14ac:dyDescent="0.25">
      <c r="A369">
        <v>157961180</v>
      </c>
      <c r="B369" s="1">
        <v>44859</v>
      </c>
      <c r="C369" s="1">
        <v>44889</v>
      </c>
      <c r="D369" t="s">
        <v>7</v>
      </c>
      <c r="E369">
        <v>39</v>
      </c>
      <c r="F369" t="s">
        <v>6</v>
      </c>
      <c r="G369" s="8">
        <f t="shared" si="25"/>
        <v>30</v>
      </c>
      <c r="H369">
        <f t="shared" si="26"/>
        <v>3</v>
      </c>
      <c r="I369" t="str">
        <f t="shared" si="27"/>
        <v>Tuesday</v>
      </c>
      <c r="L369">
        <f t="shared" si="28"/>
        <v>0</v>
      </c>
    </row>
    <row r="370" spans="1:12" x14ac:dyDescent="0.25">
      <c r="A370">
        <v>159281338</v>
      </c>
      <c r="B370" s="1">
        <v>44860</v>
      </c>
      <c r="C370" s="1">
        <f t="shared" ref="C370:C372" ca="1" si="30">TODAY()</f>
        <v>45938</v>
      </c>
      <c r="D370" t="s">
        <v>7</v>
      </c>
      <c r="E370">
        <v>39</v>
      </c>
      <c r="F370" t="s">
        <v>6</v>
      </c>
      <c r="G370" s="8">
        <f t="shared" ca="1" si="25"/>
        <v>1078</v>
      </c>
      <c r="H370">
        <f t="shared" si="26"/>
        <v>4</v>
      </c>
      <c r="I370" t="str">
        <f t="shared" si="27"/>
        <v>Wednesday</v>
      </c>
      <c r="L370">
        <f t="shared" ca="1" si="28"/>
        <v>0</v>
      </c>
    </row>
    <row r="371" spans="1:12" x14ac:dyDescent="0.25">
      <c r="A371">
        <v>159364232</v>
      </c>
      <c r="B371" s="1">
        <v>44860</v>
      </c>
      <c r="C371" s="1">
        <f t="shared" ca="1" si="30"/>
        <v>45938</v>
      </c>
      <c r="D371" t="s">
        <v>7</v>
      </c>
      <c r="E371">
        <v>39</v>
      </c>
      <c r="F371" t="s">
        <v>6</v>
      </c>
      <c r="G371" s="8">
        <f t="shared" ca="1" si="25"/>
        <v>1078</v>
      </c>
      <c r="H371">
        <f t="shared" si="26"/>
        <v>4</v>
      </c>
      <c r="I371" t="str">
        <f t="shared" si="27"/>
        <v>Wednesday</v>
      </c>
      <c r="L371">
        <f t="shared" ca="1" si="28"/>
        <v>0</v>
      </c>
    </row>
    <row r="372" spans="1:12" x14ac:dyDescent="0.25">
      <c r="A372">
        <v>159276280</v>
      </c>
      <c r="B372" s="1">
        <v>44860</v>
      </c>
      <c r="C372" s="1">
        <f t="shared" ca="1" si="30"/>
        <v>45938</v>
      </c>
      <c r="D372" t="s">
        <v>7</v>
      </c>
      <c r="E372">
        <v>39</v>
      </c>
      <c r="F372" t="s">
        <v>6</v>
      </c>
      <c r="G372" s="8">
        <f t="shared" ca="1" si="25"/>
        <v>1078</v>
      </c>
      <c r="H372">
        <f t="shared" si="26"/>
        <v>4</v>
      </c>
      <c r="I372" t="str">
        <f t="shared" si="27"/>
        <v>Wednesday</v>
      </c>
      <c r="L372">
        <f t="shared" ca="1" si="28"/>
        <v>0</v>
      </c>
    </row>
    <row r="373" spans="1:12" x14ac:dyDescent="0.25">
      <c r="A373">
        <v>159326830</v>
      </c>
      <c r="B373" s="1">
        <v>44860</v>
      </c>
      <c r="C373" s="1">
        <v>44861</v>
      </c>
      <c r="D373" t="s">
        <v>7</v>
      </c>
      <c r="E373">
        <v>39</v>
      </c>
      <c r="F373" t="s">
        <v>6</v>
      </c>
      <c r="G373" s="8">
        <f t="shared" si="25"/>
        <v>1</v>
      </c>
      <c r="H373">
        <f t="shared" si="26"/>
        <v>4</v>
      </c>
      <c r="I373" t="str">
        <f t="shared" si="27"/>
        <v>Wednesday</v>
      </c>
      <c r="L373">
        <f t="shared" si="28"/>
        <v>1</v>
      </c>
    </row>
    <row r="374" spans="1:12" x14ac:dyDescent="0.25">
      <c r="A374">
        <v>158144924</v>
      </c>
      <c r="B374" s="1">
        <v>44860</v>
      </c>
      <c r="C374" s="1">
        <v>44980</v>
      </c>
      <c r="D374" t="s">
        <v>7</v>
      </c>
      <c r="E374">
        <v>39</v>
      </c>
      <c r="F374" t="s">
        <v>6</v>
      </c>
      <c r="G374" s="8">
        <f t="shared" si="25"/>
        <v>120</v>
      </c>
      <c r="H374">
        <f t="shared" si="26"/>
        <v>4</v>
      </c>
      <c r="I374" t="str">
        <f t="shared" si="27"/>
        <v>Wednesday</v>
      </c>
      <c r="L374">
        <f t="shared" si="28"/>
        <v>0</v>
      </c>
    </row>
    <row r="375" spans="1:12" x14ac:dyDescent="0.25">
      <c r="A375">
        <v>159239867</v>
      </c>
      <c r="B375" s="1">
        <v>44860</v>
      </c>
      <c r="C375" s="1">
        <v>44910</v>
      </c>
      <c r="D375" t="s">
        <v>7</v>
      </c>
      <c r="E375">
        <v>39</v>
      </c>
      <c r="F375" t="s">
        <v>6</v>
      </c>
      <c r="G375" s="8">
        <f t="shared" si="25"/>
        <v>50</v>
      </c>
      <c r="H375">
        <f t="shared" si="26"/>
        <v>4</v>
      </c>
      <c r="I375" t="str">
        <f t="shared" si="27"/>
        <v>Wednesday</v>
      </c>
      <c r="L375">
        <f t="shared" si="28"/>
        <v>0</v>
      </c>
    </row>
    <row r="376" spans="1:12" x14ac:dyDescent="0.25">
      <c r="A376">
        <v>159108970</v>
      </c>
      <c r="B376" s="1">
        <v>44860</v>
      </c>
      <c r="C376" s="1">
        <v>44915</v>
      </c>
      <c r="D376" t="s">
        <v>7</v>
      </c>
      <c r="E376">
        <v>39</v>
      </c>
      <c r="F376" t="s">
        <v>6</v>
      </c>
      <c r="G376" s="8">
        <f t="shared" si="25"/>
        <v>55</v>
      </c>
      <c r="H376">
        <f t="shared" si="26"/>
        <v>4</v>
      </c>
      <c r="I376" t="str">
        <f t="shared" si="27"/>
        <v>Wednesday</v>
      </c>
      <c r="L376">
        <f t="shared" si="28"/>
        <v>0</v>
      </c>
    </row>
    <row r="377" spans="1:12" x14ac:dyDescent="0.25">
      <c r="A377">
        <v>158644133</v>
      </c>
      <c r="B377" s="1">
        <v>44860</v>
      </c>
      <c r="C377" s="1">
        <v>44891</v>
      </c>
      <c r="D377" t="s">
        <v>7</v>
      </c>
      <c r="E377">
        <v>39</v>
      </c>
      <c r="F377" t="s">
        <v>6</v>
      </c>
      <c r="G377" s="8">
        <f t="shared" si="25"/>
        <v>31</v>
      </c>
      <c r="H377">
        <f t="shared" si="26"/>
        <v>4</v>
      </c>
      <c r="I377" t="str">
        <f t="shared" si="27"/>
        <v>Wednesday</v>
      </c>
      <c r="L377">
        <f t="shared" si="28"/>
        <v>0</v>
      </c>
    </row>
    <row r="378" spans="1:12" x14ac:dyDescent="0.25">
      <c r="A378">
        <v>153830193</v>
      </c>
      <c r="B378" s="1">
        <v>44860</v>
      </c>
      <c r="C378" s="1">
        <v>44861</v>
      </c>
      <c r="D378" t="s">
        <v>7</v>
      </c>
      <c r="E378">
        <v>39</v>
      </c>
      <c r="F378" t="s">
        <v>6</v>
      </c>
      <c r="G378" s="8">
        <f t="shared" si="25"/>
        <v>1</v>
      </c>
      <c r="H378">
        <f t="shared" si="26"/>
        <v>4</v>
      </c>
      <c r="I378" t="str">
        <f t="shared" si="27"/>
        <v>Wednesday</v>
      </c>
      <c r="L378">
        <f t="shared" si="28"/>
        <v>1</v>
      </c>
    </row>
    <row r="379" spans="1:12" x14ac:dyDescent="0.25">
      <c r="A379">
        <v>159664292</v>
      </c>
      <c r="B379" s="1">
        <v>44861</v>
      </c>
      <c r="C379" s="1">
        <f ca="1">TODAY()</f>
        <v>45938</v>
      </c>
      <c r="D379" t="s">
        <v>7</v>
      </c>
      <c r="E379">
        <v>39</v>
      </c>
      <c r="F379" t="s">
        <v>6</v>
      </c>
      <c r="G379" s="8">
        <f t="shared" ca="1" si="25"/>
        <v>1077</v>
      </c>
      <c r="H379">
        <f t="shared" si="26"/>
        <v>5</v>
      </c>
      <c r="I379" t="str">
        <f t="shared" si="27"/>
        <v>Thursday</v>
      </c>
      <c r="L379">
        <f t="shared" ca="1" si="28"/>
        <v>0</v>
      </c>
    </row>
    <row r="380" spans="1:12" x14ac:dyDescent="0.25">
      <c r="A380">
        <v>152937944</v>
      </c>
      <c r="B380" s="1">
        <v>44861</v>
      </c>
      <c r="C380" s="1">
        <v>44862</v>
      </c>
      <c r="D380" t="s">
        <v>8</v>
      </c>
      <c r="E380">
        <v>39</v>
      </c>
      <c r="F380" t="s">
        <v>6</v>
      </c>
      <c r="G380" s="8">
        <f t="shared" si="25"/>
        <v>1</v>
      </c>
      <c r="H380">
        <f t="shared" si="26"/>
        <v>5</v>
      </c>
      <c r="I380" t="str">
        <f t="shared" si="27"/>
        <v>Thursday</v>
      </c>
      <c r="L380">
        <f t="shared" si="28"/>
        <v>1</v>
      </c>
    </row>
    <row r="381" spans="1:12" x14ac:dyDescent="0.25">
      <c r="A381">
        <v>159446393</v>
      </c>
      <c r="B381" s="1">
        <v>44861</v>
      </c>
      <c r="C381" s="1">
        <v>45035</v>
      </c>
      <c r="D381" t="s">
        <v>7</v>
      </c>
      <c r="E381">
        <v>39</v>
      </c>
      <c r="F381" t="s">
        <v>6</v>
      </c>
      <c r="G381" s="8">
        <f t="shared" si="25"/>
        <v>174</v>
      </c>
      <c r="H381">
        <f t="shared" si="26"/>
        <v>5</v>
      </c>
      <c r="I381" t="str">
        <f t="shared" si="27"/>
        <v>Thursday</v>
      </c>
      <c r="L381">
        <f t="shared" si="28"/>
        <v>0</v>
      </c>
    </row>
    <row r="382" spans="1:12" x14ac:dyDescent="0.25">
      <c r="A382">
        <v>156837717</v>
      </c>
      <c r="B382" s="1">
        <v>44861</v>
      </c>
      <c r="C382" s="1">
        <v>45088</v>
      </c>
      <c r="D382" t="s">
        <v>7</v>
      </c>
      <c r="E382">
        <v>39</v>
      </c>
      <c r="F382" t="s">
        <v>6</v>
      </c>
      <c r="G382" s="8">
        <f t="shared" si="25"/>
        <v>227</v>
      </c>
      <c r="H382">
        <f t="shared" si="26"/>
        <v>5</v>
      </c>
      <c r="I382" t="str">
        <f t="shared" si="27"/>
        <v>Thursday</v>
      </c>
      <c r="L382">
        <f t="shared" si="28"/>
        <v>0</v>
      </c>
    </row>
    <row r="383" spans="1:12" x14ac:dyDescent="0.25">
      <c r="A383">
        <v>149000400</v>
      </c>
      <c r="B383" s="1">
        <v>44861</v>
      </c>
      <c r="C383" s="1">
        <v>44983</v>
      </c>
      <c r="D383" t="s">
        <v>7</v>
      </c>
      <c r="E383">
        <v>39</v>
      </c>
      <c r="F383" t="s">
        <v>6</v>
      </c>
      <c r="G383" s="8">
        <f t="shared" si="25"/>
        <v>122</v>
      </c>
      <c r="H383">
        <f t="shared" si="26"/>
        <v>5</v>
      </c>
      <c r="I383" t="str">
        <f t="shared" si="27"/>
        <v>Thursday</v>
      </c>
      <c r="L383">
        <f t="shared" si="28"/>
        <v>0</v>
      </c>
    </row>
    <row r="384" spans="1:12" x14ac:dyDescent="0.25">
      <c r="A384">
        <v>157923615</v>
      </c>
      <c r="B384" s="1">
        <v>44861</v>
      </c>
      <c r="C384" s="1">
        <v>44929</v>
      </c>
      <c r="D384" t="s">
        <v>7</v>
      </c>
      <c r="E384">
        <v>39</v>
      </c>
      <c r="F384" t="s">
        <v>6</v>
      </c>
      <c r="G384" s="8">
        <f t="shared" si="25"/>
        <v>68</v>
      </c>
      <c r="H384">
        <f t="shared" si="26"/>
        <v>5</v>
      </c>
      <c r="I384" t="str">
        <f t="shared" si="27"/>
        <v>Thursday</v>
      </c>
      <c r="L384">
        <f t="shared" si="28"/>
        <v>0</v>
      </c>
    </row>
    <row r="385" spans="1:12" x14ac:dyDescent="0.25">
      <c r="A385">
        <v>159699736</v>
      </c>
      <c r="B385" s="1">
        <v>44861</v>
      </c>
      <c r="C385" s="1">
        <v>44890</v>
      </c>
      <c r="D385" t="s">
        <v>7</v>
      </c>
      <c r="E385">
        <v>39</v>
      </c>
      <c r="F385" t="s">
        <v>6</v>
      </c>
      <c r="G385" s="8">
        <f t="shared" si="25"/>
        <v>29</v>
      </c>
      <c r="H385">
        <f t="shared" si="26"/>
        <v>5</v>
      </c>
      <c r="I385" t="str">
        <f t="shared" si="27"/>
        <v>Thursday</v>
      </c>
      <c r="L385">
        <f t="shared" si="28"/>
        <v>0</v>
      </c>
    </row>
    <row r="386" spans="1:12" x14ac:dyDescent="0.25">
      <c r="A386">
        <v>150816815</v>
      </c>
      <c r="B386" s="1">
        <v>44861</v>
      </c>
      <c r="C386" s="1">
        <v>44881</v>
      </c>
      <c r="D386" t="s">
        <v>7</v>
      </c>
      <c r="E386">
        <v>39</v>
      </c>
      <c r="F386" t="s">
        <v>6</v>
      </c>
      <c r="G386" s="8">
        <f t="shared" si="25"/>
        <v>20</v>
      </c>
      <c r="H386">
        <f t="shared" si="26"/>
        <v>5</v>
      </c>
      <c r="I386" t="str">
        <f t="shared" si="27"/>
        <v>Thursday</v>
      </c>
      <c r="L386">
        <f t="shared" si="28"/>
        <v>0</v>
      </c>
    </row>
    <row r="387" spans="1:12" x14ac:dyDescent="0.25">
      <c r="A387">
        <v>159634168</v>
      </c>
      <c r="B387" s="1">
        <v>44861</v>
      </c>
      <c r="C387" s="1">
        <v>45107</v>
      </c>
      <c r="D387" t="s">
        <v>7</v>
      </c>
      <c r="E387">
        <v>39</v>
      </c>
      <c r="F387" t="s">
        <v>6</v>
      </c>
      <c r="G387" s="8">
        <f t="shared" ref="G387:G450" si="31">IFERROR(DATEDIF(B387,C387,"D"),"0")</f>
        <v>246</v>
      </c>
      <c r="H387">
        <f t="shared" ref="H387:H450" si="32">WEEKDAY(B387,1)</f>
        <v>5</v>
      </c>
      <c r="I387" t="str">
        <f t="shared" ref="I387:I450" si="33">TEXT(B387,"DDDD")</f>
        <v>Thursday</v>
      </c>
      <c r="L387">
        <f t="shared" ref="L387:L450" si="34">IF( OR($G387=0,$G387 = 1, $G387 = 2), 1, 0 )</f>
        <v>0</v>
      </c>
    </row>
    <row r="388" spans="1:12" x14ac:dyDescent="0.25">
      <c r="A388">
        <v>158114418</v>
      </c>
      <c r="B388" s="1">
        <v>44862</v>
      </c>
      <c r="C388" s="1">
        <f t="shared" ref="C388:C389" ca="1" si="35">TODAY()</f>
        <v>45938</v>
      </c>
      <c r="D388" t="s">
        <v>7</v>
      </c>
      <c r="E388">
        <v>39</v>
      </c>
      <c r="F388" t="s">
        <v>6</v>
      </c>
      <c r="G388" s="8">
        <f t="shared" ca="1" si="31"/>
        <v>1076</v>
      </c>
      <c r="H388">
        <f t="shared" si="32"/>
        <v>6</v>
      </c>
      <c r="I388" t="str">
        <f t="shared" si="33"/>
        <v>Friday</v>
      </c>
      <c r="L388">
        <f t="shared" ca="1" si="34"/>
        <v>0</v>
      </c>
    </row>
    <row r="389" spans="1:12" x14ac:dyDescent="0.25">
      <c r="A389">
        <v>159706104</v>
      </c>
      <c r="B389" s="1">
        <v>44862</v>
      </c>
      <c r="C389" s="1">
        <f t="shared" ca="1" si="35"/>
        <v>45938</v>
      </c>
      <c r="D389" t="s">
        <v>7</v>
      </c>
      <c r="E389">
        <v>39</v>
      </c>
      <c r="F389" t="s">
        <v>6</v>
      </c>
      <c r="G389" s="8">
        <f t="shared" ca="1" si="31"/>
        <v>1076</v>
      </c>
      <c r="H389">
        <f t="shared" si="32"/>
        <v>6</v>
      </c>
      <c r="I389" t="str">
        <f t="shared" si="33"/>
        <v>Friday</v>
      </c>
      <c r="L389">
        <f t="shared" ca="1" si="34"/>
        <v>0</v>
      </c>
    </row>
    <row r="390" spans="1:12" x14ac:dyDescent="0.25">
      <c r="A390">
        <v>150704581</v>
      </c>
      <c r="B390" s="1">
        <v>44862</v>
      </c>
      <c r="C390" s="1">
        <v>45056</v>
      </c>
      <c r="D390" t="s">
        <v>7</v>
      </c>
      <c r="E390">
        <v>39</v>
      </c>
      <c r="F390" t="s">
        <v>6</v>
      </c>
      <c r="G390" s="8">
        <f t="shared" si="31"/>
        <v>194</v>
      </c>
      <c r="H390">
        <f t="shared" si="32"/>
        <v>6</v>
      </c>
      <c r="I390" t="str">
        <f t="shared" si="33"/>
        <v>Friday</v>
      </c>
      <c r="L390">
        <f t="shared" si="34"/>
        <v>0</v>
      </c>
    </row>
    <row r="391" spans="1:12" x14ac:dyDescent="0.25">
      <c r="A391">
        <v>159733207</v>
      </c>
      <c r="B391" s="1">
        <v>44862</v>
      </c>
      <c r="C391" s="1">
        <v>44984</v>
      </c>
      <c r="D391" t="s">
        <v>7</v>
      </c>
      <c r="E391">
        <v>39</v>
      </c>
      <c r="F391" t="s">
        <v>6</v>
      </c>
      <c r="G391" s="8">
        <f t="shared" si="31"/>
        <v>122</v>
      </c>
      <c r="H391">
        <f t="shared" si="32"/>
        <v>6</v>
      </c>
      <c r="I391" t="str">
        <f t="shared" si="33"/>
        <v>Friday</v>
      </c>
      <c r="L391">
        <f t="shared" si="34"/>
        <v>0</v>
      </c>
    </row>
    <row r="392" spans="1:12" x14ac:dyDescent="0.25">
      <c r="A392">
        <v>159775056</v>
      </c>
      <c r="B392" s="1">
        <v>44862</v>
      </c>
      <c r="C392" s="1">
        <v>45016</v>
      </c>
      <c r="D392" t="s">
        <v>7</v>
      </c>
      <c r="E392">
        <v>39</v>
      </c>
      <c r="F392" t="s">
        <v>6</v>
      </c>
      <c r="G392" s="8">
        <f t="shared" si="31"/>
        <v>154</v>
      </c>
      <c r="H392">
        <f t="shared" si="32"/>
        <v>6</v>
      </c>
      <c r="I392" t="str">
        <f t="shared" si="33"/>
        <v>Friday</v>
      </c>
      <c r="L392">
        <f t="shared" si="34"/>
        <v>0</v>
      </c>
    </row>
    <row r="393" spans="1:12" x14ac:dyDescent="0.25">
      <c r="A393">
        <v>144328609</v>
      </c>
      <c r="B393" s="1">
        <v>44862</v>
      </c>
      <c r="C393" s="1">
        <v>44920</v>
      </c>
      <c r="D393" t="s">
        <v>7</v>
      </c>
      <c r="E393">
        <v>39</v>
      </c>
      <c r="F393" t="s">
        <v>6</v>
      </c>
      <c r="G393" s="8">
        <f t="shared" si="31"/>
        <v>58</v>
      </c>
      <c r="H393">
        <f t="shared" si="32"/>
        <v>6</v>
      </c>
      <c r="I393" t="str">
        <f t="shared" si="33"/>
        <v>Friday</v>
      </c>
      <c r="L393">
        <f t="shared" si="34"/>
        <v>0</v>
      </c>
    </row>
    <row r="394" spans="1:12" x14ac:dyDescent="0.25">
      <c r="A394">
        <v>153172687</v>
      </c>
      <c r="B394" s="1">
        <v>44862</v>
      </c>
      <c r="C394" s="1">
        <v>45159</v>
      </c>
      <c r="D394" t="s">
        <v>7</v>
      </c>
      <c r="E394">
        <v>39</v>
      </c>
      <c r="F394" t="s">
        <v>6</v>
      </c>
      <c r="G394" s="8">
        <f t="shared" si="31"/>
        <v>297</v>
      </c>
      <c r="H394">
        <f t="shared" si="32"/>
        <v>6</v>
      </c>
      <c r="I394" t="str">
        <f t="shared" si="33"/>
        <v>Friday</v>
      </c>
      <c r="L394">
        <f t="shared" si="34"/>
        <v>0</v>
      </c>
    </row>
    <row r="395" spans="1:12" x14ac:dyDescent="0.25">
      <c r="A395">
        <v>159861170</v>
      </c>
      <c r="B395" s="1">
        <v>44863</v>
      </c>
      <c r="C395" s="1">
        <f ca="1">TODAY()</f>
        <v>45938</v>
      </c>
      <c r="D395" t="s">
        <v>7</v>
      </c>
      <c r="E395">
        <v>39</v>
      </c>
      <c r="F395" t="s">
        <v>6</v>
      </c>
      <c r="G395" s="8">
        <f t="shared" ca="1" si="31"/>
        <v>1075</v>
      </c>
      <c r="H395">
        <f t="shared" si="32"/>
        <v>7</v>
      </c>
      <c r="I395" t="str">
        <f t="shared" si="33"/>
        <v>Saturday</v>
      </c>
      <c r="L395">
        <f t="shared" ca="1" si="34"/>
        <v>0</v>
      </c>
    </row>
    <row r="396" spans="1:12" x14ac:dyDescent="0.25">
      <c r="A396">
        <v>133474642</v>
      </c>
      <c r="B396" s="1">
        <v>44863</v>
      </c>
      <c r="C396" s="1">
        <v>44915</v>
      </c>
      <c r="D396" t="s">
        <v>7</v>
      </c>
      <c r="E396">
        <v>39</v>
      </c>
      <c r="F396" t="s">
        <v>6</v>
      </c>
      <c r="G396" s="8">
        <f t="shared" si="31"/>
        <v>52</v>
      </c>
      <c r="H396">
        <f t="shared" si="32"/>
        <v>7</v>
      </c>
      <c r="I396" t="str">
        <f t="shared" si="33"/>
        <v>Saturday</v>
      </c>
      <c r="L396">
        <f t="shared" si="34"/>
        <v>0</v>
      </c>
    </row>
    <row r="397" spans="1:12" x14ac:dyDescent="0.25">
      <c r="A397">
        <v>159817608</v>
      </c>
      <c r="B397" s="1">
        <v>44863</v>
      </c>
      <c r="C397" s="1">
        <v>45008</v>
      </c>
      <c r="D397" t="s">
        <v>7</v>
      </c>
      <c r="E397">
        <v>39</v>
      </c>
      <c r="F397" t="s">
        <v>6</v>
      </c>
      <c r="G397" s="8">
        <f t="shared" si="31"/>
        <v>145</v>
      </c>
      <c r="H397">
        <f t="shared" si="32"/>
        <v>7</v>
      </c>
      <c r="I397" t="str">
        <f t="shared" si="33"/>
        <v>Saturday</v>
      </c>
      <c r="L397">
        <f t="shared" si="34"/>
        <v>0</v>
      </c>
    </row>
    <row r="398" spans="1:12" x14ac:dyDescent="0.25">
      <c r="A398">
        <v>159867686</v>
      </c>
      <c r="B398" s="1">
        <v>44863</v>
      </c>
      <c r="C398" s="1">
        <v>44931</v>
      </c>
      <c r="D398" t="s">
        <v>7</v>
      </c>
      <c r="E398">
        <v>39</v>
      </c>
      <c r="F398" t="s">
        <v>6</v>
      </c>
      <c r="G398" s="8">
        <f t="shared" si="31"/>
        <v>68</v>
      </c>
      <c r="H398">
        <f t="shared" si="32"/>
        <v>7</v>
      </c>
      <c r="I398" t="str">
        <f t="shared" si="33"/>
        <v>Saturday</v>
      </c>
      <c r="L398">
        <f t="shared" si="34"/>
        <v>0</v>
      </c>
    </row>
    <row r="399" spans="1:12" x14ac:dyDescent="0.25">
      <c r="A399">
        <v>158484064</v>
      </c>
      <c r="B399" s="1">
        <v>44863</v>
      </c>
      <c r="C399" s="1">
        <v>44931</v>
      </c>
      <c r="D399" t="s">
        <v>7</v>
      </c>
      <c r="E399">
        <v>39</v>
      </c>
      <c r="F399" t="s">
        <v>6</v>
      </c>
      <c r="G399" s="8">
        <f t="shared" si="31"/>
        <v>68</v>
      </c>
      <c r="H399">
        <f t="shared" si="32"/>
        <v>7</v>
      </c>
      <c r="I399" t="str">
        <f t="shared" si="33"/>
        <v>Saturday</v>
      </c>
      <c r="L399">
        <f t="shared" si="34"/>
        <v>0</v>
      </c>
    </row>
    <row r="400" spans="1:12" x14ac:dyDescent="0.25">
      <c r="A400">
        <v>159829834</v>
      </c>
      <c r="B400" s="1">
        <v>44864</v>
      </c>
      <c r="C400" s="1">
        <f ca="1">TODAY()</f>
        <v>45938</v>
      </c>
      <c r="D400" t="s">
        <v>7</v>
      </c>
      <c r="E400">
        <v>39</v>
      </c>
      <c r="F400" t="s">
        <v>6</v>
      </c>
      <c r="G400" s="8">
        <f t="shared" ca="1" si="31"/>
        <v>1074</v>
      </c>
      <c r="H400">
        <f t="shared" si="32"/>
        <v>1</v>
      </c>
      <c r="I400" t="str">
        <f t="shared" si="33"/>
        <v>Sunday</v>
      </c>
      <c r="L400">
        <f t="shared" ca="1" si="34"/>
        <v>0</v>
      </c>
    </row>
    <row r="401" spans="1:12" x14ac:dyDescent="0.25">
      <c r="A401">
        <v>159875790</v>
      </c>
      <c r="B401" s="1">
        <v>44864</v>
      </c>
      <c r="C401" s="1">
        <v>44992</v>
      </c>
      <c r="D401" t="s">
        <v>7</v>
      </c>
      <c r="E401">
        <v>39</v>
      </c>
      <c r="F401" t="s">
        <v>6</v>
      </c>
      <c r="G401" s="8">
        <f t="shared" si="31"/>
        <v>128</v>
      </c>
      <c r="H401">
        <f t="shared" si="32"/>
        <v>1</v>
      </c>
      <c r="I401" t="str">
        <f t="shared" si="33"/>
        <v>Sunday</v>
      </c>
      <c r="L401">
        <f t="shared" si="34"/>
        <v>0</v>
      </c>
    </row>
    <row r="402" spans="1:12" x14ac:dyDescent="0.25">
      <c r="A402">
        <v>155520280</v>
      </c>
      <c r="B402" s="1">
        <v>44864</v>
      </c>
      <c r="C402" s="1">
        <v>44902</v>
      </c>
      <c r="D402" t="s">
        <v>7</v>
      </c>
      <c r="E402">
        <v>39</v>
      </c>
      <c r="F402" t="s">
        <v>6</v>
      </c>
      <c r="G402" s="8">
        <f t="shared" si="31"/>
        <v>38</v>
      </c>
      <c r="H402">
        <f t="shared" si="32"/>
        <v>1</v>
      </c>
      <c r="I402" t="str">
        <f t="shared" si="33"/>
        <v>Sunday</v>
      </c>
      <c r="L402">
        <f t="shared" si="34"/>
        <v>0</v>
      </c>
    </row>
    <row r="403" spans="1:12" x14ac:dyDescent="0.25">
      <c r="A403">
        <v>159783942</v>
      </c>
      <c r="B403" s="1">
        <v>44864</v>
      </c>
      <c r="C403" s="1">
        <v>44923</v>
      </c>
      <c r="D403" t="s">
        <v>7</v>
      </c>
      <c r="E403">
        <v>39</v>
      </c>
      <c r="F403" t="s">
        <v>6</v>
      </c>
      <c r="G403" s="8">
        <f t="shared" si="31"/>
        <v>59</v>
      </c>
      <c r="H403">
        <f t="shared" si="32"/>
        <v>1</v>
      </c>
      <c r="I403" t="str">
        <f t="shared" si="33"/>
        <v>Sunday</v>
      </c>
      <c r="L403">
        <f t="shared" si="34"/>
        <v>0</v>
      </c>
    </row>
    <row r="404" spans="1:12" x14ac:dyDescent="0.25">
      <c r="A404">
        <v>149696432</v>
      </c>
      <c r="B404" s="1">
        <v>44864</v>
      </c>
      <c r="C404" s="1">
        <v>44891</v>
      </c>
      <c r="D404" t="s">
        <v>7</v>
      </c>
      <c r="E404">
        <v>39</v>
      </c>
      <c r="F404" t="s">
        <v>6</v>
      </c>
      <c r="G404" s="8">
        <f t="shared" si="31"/>
        <v>27</v>
      </c>
      <c r="H404">
        <f t="shared" si="32"/>
        <v>1</v>
      </c>
      <c r="I404" t="str">
        <f t="shared" si="33"/>
        <v>Sunday</v>
      </c>
      <c r="L404">
        <f t="shared" si="34"/>
        <v>0</v>
      </c>
    </row>
    <row r="405" spans="1:12" x14ac:dyDescent="0.25">
      <c r="A405">
        <v>159979372</v>
      </c>
      <c r="B405" s="1">
        <v>44865</v>
      </c>
      <c r="C405" s="1">
        <f t="shared" ref="C405:C407" ca="1" si="36">TODAY()</f>
        <v>45938</v>
      </c>
      <c r="D405" t="s">
        <v>7</v>
      </c>
      <c r="E405">
        <v>39</v>
      </c>
      <c r="F405" t="s">
        <v>6</v>
      </c>
      <c r="G405" s="8">
        <f t="shared" ca="1" si="31"/>
        <v>1073</v>
      </c>
      <c r="H405">
        <f t="shared" si="32"/>
        <v>2</v>
      </c>
      <c r="I405" t="str">
        <f t="shared" si="33"/>
        <v>Monday</v>
      </c>
      <c r="L405">
        <f t="shared" ca="1" si="34"/>
        <v>0</v>
      </c>
    </row>
    <row r="406" spans="1:12" x14ac:dyDescent="0.25">
      <c r="A406">
        <v>153814649</v>
      </c>
      <c r="B406" s="1">
        <v>44865</v>
      </c>
      <c r="C406" s="1">
        <f t="shared" ca="1" si="36"/>
        <v>45938</v>
      </c>
      <c r="D406" t="s">
        <v>7</v>
      </c>
      <c r="E406">
        <v>39</v>
      </c>
      <c r="F406" t="s">
        <v>6</v>
      </c>
      <c r="G406" s="8">
        <f t="shared" ca="1" si="31"/>
        <v>1073</v>
      </c>
      <c r="H406">
        <f t="shared" si="32"/>
        <v>2</v>
      </c>
      <c r="I406" t="str">
        <f t="shared" si="33"/>
        <v>Monday</v>
      </c>
      <c r="L406">
        <f t="shared" ca="1" si="34"/>
        <v>0</v>
      </c>
    </row>
    <row r="407" spans="1:12" x14ac:dyDescent="0.25">
      <c r="A407">
        <v>159931469</v>
      </c>
      <c r="B407" s="1">
        <v>44865</v>
      </c>
      <c r="C407" s="1">
        <f t="shared" ca="1" si="36"/>
        <v>45938</v>
      </c>
      <c r="D407" t="s">
        <v>7</v>
      </c>
      <c r="E407">
        <v>39</v>
      </c>
      <c r="F407" t="s">
        <v>6</v>
      </c>
      <c r="G407" s="8">
        <f t="shared" ca="1" si="31"/>
        <v>1073</v>
      </c>
      <c r="H407">
        <f t="shared" si="32"/>
        <v>2</v>
      </c>
      <c r="I407" t="str">
        <f t="shared" si="33"/>
        <v>Monday</v>
      </c>
      <c r="L407">
        <f t="shared" ca="1" si="34"/>
        <v>0</v>
      </c>
    </row>
    <row r="408" spans="1:12" x14ac:dyDescent="0.25">
      <c r="A408">
        <v>138061210</v>
      </c>
      <c r="B408" s="1">
        <v>44865</v>
      </c>
      <c r="C408" s="1">
        <v>44865</v>
      </c>
      <c r="D408" t="s">
        <v>7</v>
      </c>
      <c r="E408">
        <v>39</v>
      </c>
      <c r="F408" t="s">
        <v>6</v>
      </c>
      <c r="G408" s="8">
        <f t="shared" si="31"/>
        <v>0</v>
      </c>
      <c r="H408">
        <f t="shared" si="32"/>
        <v>2</v>
      </c>
      <c r="I408" t="str">
        <f t="shared" si="33"/>
        <v>Monday</v>
      </c>
      <c r="L408">
        <f t="shared" si="34"/>
        <v>1</v>
      </c>
    </row>
    <row r="409" spans="1:12" x14ac:dyDescent="0.25">
      <c r="A409">
        <v>141403460</v>
      </c>
      <c r="B409" s="1">
        <v>44865</v>
      </c>
      <c r="C409" s="1">
        <v>44942</v>
      </c>
      <c r="D409" t="s">
        <v>7</v>
      </c>
      <c r="E409">
        <v>39</v>
      </c>
      <c r="F409" t="s">
        <v>6</v>
      </c>
      <c r="G409" s="8">
        <f t="shared" si="31"/>
        <v>77</v>
      </c>
      <c r="H409">
        <f t="shared" si="32"/>
        <v>2</v>
      </c>
      <c r="I409" t="str">
        <f t="shared" si="33"/>
        <v>Monday</v>
      </c>
      <c r="L409">
        <f t="shared" si="34"/>
        <v>0</v>
      </c>
    </row>
    <row r="410" spans="1:12" x14ac:dyDescent="0.25">
      <c r="A410">
        <v>159991922</v>
      </c>
      <c r="B410" s="1">
        <v>44865</v>
      </c>
      <c r="C410" s="1">
        <v>44912</v>
      </c>
      <c r="D410" t="s">
        <v>7</v>
      </c>
      <c r="E410">
        <v>39</v>
      </c>
      <c r="F410" t="s">
        <v>6</v>
      </c>
      <c r="G410" s="8">
        <f t="shared" si="31"/>
        <v>47</v>
      </c>
      <c r="H410">
        <f t="shared" si="32"/>
        <v>2</v>
      </c>
      <c r="I410" t="str">
        <f t="shared" si="33"/>
        <v>Monday</v>
      </c>
      <c r="L410">
        <f t="shared" si="34"/>
        <v>0</v>
      </c>
    </row>
    <row r="411" spans="1:12" x14ac:dyDescent="0.25">
      <c r="A411">
        <v>159241648</v>
      </c>
      <c r="B411" s="1">
        <v>44865</v>
      </c>
      <c r="C411" s="1">
        <v>44909</v>
      </c>
      <c r="D411" t="s">
        <v>7</v>
      </c>
      <c r="E411">
        <v>39</v>
      </c>
      <c r="F411" t="s">
        <v>6</v>
      </c>
      <c r="G411" s="8">
        <f t="shared" si="31"/>
        <v>44</v>
      </c>
      <c r="H411">
        <f t="shared" si="32"/>
        <v>2</v>
      </c>
      <c r="I411" t="str">
        <f t="shared" si="33"/>
        <v>Monday</v>
      </c>
      <c r="L411">
        <f t="shared" si="34"/>
        <v>0</v>
      </c>
    </row>
    <row r="412" spans="1:12" x14ac:dyDescent="0.25">
      <c r="A412">
        <v>150703411</v>
      </c>
      <c r="B412" s="1">
        <v>44865</v>
      </c>
      <c r="C412" s="1">
        <v>44896</v>
      </c>
      <c r="D412" t="s">
        <v>7</v>
      </c>
      <c r="E412">
        <v>39</v>
      </c>
      <c r="F412" t="s">
        <v>6</v>
      </c>
      <c r="G412" s="8">
        <f t="shared" si="31"/>
        <v>31</v>
      </c>
      <c r="H412">
        <f t="shared" si="32"/>
        <v>2</v>
      </c>
      <c r="I412" t="str">
        <f t="shared" si="33"/>
        <v>Monday</v>
      </c>
      <c r="L412">
        <f t="shared" si="34"/>
        <v>0</v>
      </c>
    </row>
    <row r="413" spans="1:12" x14ac:dyDescent="0.25">
      <c r="A413">
        <v>159773641</v>
      </c>
      <c r="B413" s="1">
        <v>44865</v>
      </c>
      <c r="C413" s="1">
        <v>44880</v>
      </c>
      <c r="D413" t="s">
        <v>7</v>
      </c>
      <c r="E413">
        <v>39</v>
      </c>
      <c r="F413" t="s">
        <v>6</v>
      </c>
      <c r="G413" s="8">
        <f t="shared" si="31"/>
        <v>15</v>
      </c>
      <c r="H413">
        <f t="shared" si="32"/>
        <v>2</v>
      </c>
      <c r="I413" t="str">
        <f t="shared" si="33"/>
        <v>Monday</v>
      </c>
      <c r="L413">
        <f t="shared" si="34"/>
        <v>0</v>
      </c>
    </row>
    <row r="414" spans="1:12" x14ac:dyDescent="0.25">
      <c r="A414">
        <v>128002797</v>
      </c>
      <c r="B414" s="1">
        <v>44865</v>
      </c>
      <c r="C414" s="1">
        <v>44895</v>
      </c>
      <c r="D414" t="s">
        <v>7</v>
      </c>
      <c r="E414">
        <v>39</v>
      </c>
      <c r="F414" t="s">
        <v>6</v>
      </c>
      <c r="G414" s="8">
        <f t="shared" si="31"/>
        <v>30</v>
      </c>
      <c r="H414">
        <f t="shared" si="32"/>
        <v>2</v>
      </c>
      <c r="I414" t="str">
        <f t="shared" si="33"/>
        <v>Monday</v>
      </c>
      <c r="L414">
        <f t="shared" si="34"/>
        <v>0</v>
      </c>
    </row>
    <row r="415" spans="1:12" x14ac:dyDescent="0.25">
      <c r="A415">
        <v>155807489</v>
      </c>
      <c r="B415" s="1">
        <v>44866</v>
      </c>
      <c r="C415" s="1">
        <v>44867</v>
      </c>
      <c r="D415" t="s">
        <v>8</v>
      </c>
      <c r="E415">
        <v>39</v>
      </c>
      <c r="F415" t="s">
        <v>6</v>
      </c>
      <c r="G415" s="8">
        <f t="shared" si="31"/>
        <v>1</v>
      </c>
      <c r="H415">
        <f t="shared" si="32"/>
        <v>3</v>
      </c>
      <c r="I415" t="str">
        <f t="shared" si="33"/>
        <v>Tuesday</v>
      </c>
      <c r="L415">
        <f t="shared" si="34"/>
        <v>1</v>
      </c>
    </row>
    <row r="416" spans="1:12" x14ac:dyDescent="0.25">
      <c r="A416">
        <v>143077712</v>
      </c>
      <c r="B416" s="1">
        <v>44866</v>
      </c>
      <c r="C416" s="1">
        <v>44867</v>
      </c>
      <c r="D416" t="s">
        <v>8</v>
      </c>
      <c r="E416">
        <v>39</v>
      </c>
      <c r="F416" t="s">
        <v>6</v>
      </c>
      <c r="G416" s="8">
        <f t="shared" si="31"/>
        <v>1</v>
      </c>
      <c r="H416">
        <f t="shared" si="32"/>
        <v>3</v>
      </c>
      <c r="I416" t="str">
        <f t="shared" si="33"/>
        <v>Tuesday</v>
      </c>
      <c r="L416">
        <f t="shared" si="34"/>
        <v>1</v>
      </c>
    </row>
    <row r="417" spans="1:12" x14ac:dyDescent="0.25">
      <c r="A417">
        <v>159745646</v>
      </c>
      <c r="B417" s="1">
        <v>44866</v>
      </c>
      <c r="C417" s="1">
        <v>45030</v>
      </c>
      <c r="D417" t="s">
        <v>7</v>
      </c>
      <c r="E417">
        <v>39</v>
      </c>
      <c r="F417" t="s">
        <v>6</v>
      </c>
      <c r="G417" s="8">
        <f t="shared" si="31"/>
        <v>164</v>
      </c>
      <c r="H417">
        <f t="shared" si="32"/>
        <v>3</v>
      </c>
      <c r="I417" t="str">
        <f t="shared" si="33"/>
        <v>Tuesday</v>
      </c>
      <c r="L417">
        <f t="shared" si="34"/>
        <v>0</v>
      </c>
    </row>
    <row r="418" spans="1:12" x14ac:dyDescent="0.25">
      <c r="A418">
        <v>139004918</v>
      </c>
      <c r="B418" s="1">
        <v>44866</v>
      </c>
      <c r="C418" s="1">
        <v>44896</v>
      </c>
      <c r="D418" t="s">
        <v>7</v>
      </c>
      <c r="E418">
        <v>39</v>
      </c>
      <c r="F418" t="s">
        <v>6</v>
      </c>
      <c r="G418" s="8">
        <f t="shared" si="31"/>
        <v>30</v>
      </c>
      <c r="H418">
        <f t="shared" si="32"/>
        <v>3</v>
      </c>
      <c r="I418" t="str">
        <f t="shared" si="33"/>
        <v>Tuesday</v>
      </c>
      <c r="L418">
        <f t="shared" si="34"/>
        <v>0</v>
      </c>
    </row>
    <row r="419" spans="1:12" x14ac:dyDescent="0.25">
      <c r="A419">
        <v>153255183</v>
      </c>
      <c r="B419" s="1">
        <v>44866</v>
      </c>
      <c r="C419" s="1">
        <v>44973</v>
      </c>
      <c r="D419" t="s">
        <v>7</v>
      </c>
      <c r="E419">
        <v>39</v>
      </c>
      <c r="F419" t="s">
        <v>6</v>
      </c>
      <c r="G419" s="8">
        <f t="shared" si="31"/>
        <v>107</v>
      </c>
      <c r="H419">
        <f t="shared" si="32"/>
        <v>3</v>
      </c>
      <c r="I419" t="str">
        <f t="shared" si="33"/>
        <v>Tuesday</v>
      </c>
      <c r="L419">
        <f t="shared" si="34"/>
        <v>0</v>
      </c>
    </row>
    <row r="420" spans="1:12" x14ac:dyDescent="0.25">
      <c r="A420">
        <v>157708746</v>
      </c>
      <c r="B420" s="1">
        <v>44866</v>
      </c>
      <c r="C420" s="1">
        <v>44957</v>
      </c>
      <c r="D420" t="s">
        <v>7</v>
      </c>
      <c r="E420">
        <v>39</v>
      </c>
      <c r="F420" t="s">
        <v>6</v>
      </c>
      <c r="G420" s="8">
        <f t="shared" si="31"/>
        <v>91</v>
      </c>
      <c r="H420">
        <f t="shared" si="32"/>
        <v>3</v>
      </c>
      <c r="I420" t="str">
        <f t="shared" si="33"/>
        <v>Tuesday</v>
      </c>
      <c r="L420">
        <f t="shared" si="34"/>
        <v>0</v>
      </c>
    </row>
    <row r="421" spans="1:12" x14ac:dyDescent="0.25">
      <c r="A421">
        <v>155652993</v>
      </c>
      <c r="B421" s="1">
        <v>44866</v>
      </c>
      <c r="C421" s="1">
        <v>44934</v>
      </c>
      <c r="D421" t="s">
        <v>7</v>
      </c>
      <c r="E421">
        <v>39</v>
      </c>
      <c r="F421" t="s">
        <v>6</v>
      </c>
      <c r="G421" s="8">
        <f t="shared" si="31"/>
        <v>68</v>
      </c>
      <c r="H421">
        <f t="shared" si="32"/>
        <v>3</v>
      </c>
      <c r="I421" t="str">
        <f t="shared" si="33"/>
        <v>Tuesday</v>
      </c>
      <c r="L421">
        <f t="shared" si="34"/>
        <v>0</v>
      </c>
    </row>
    <row r="422" spans="1:12" x14ac:dyDescent="0.25">
      <c r="A422">
        <v>159977918</v>
      </c>
      <c r="B422" s="1">
        <v>44866</v>
      </c>
      <c r="C422" s="1">
        <v>44950</v>
      </c>
      <c r="D422" t="s">
        <v>7</v>
      </c>
      <c r="E422">
        <v>39</v>
      </c>
      <c r="F422" t="s">
        <v>6</v>
      </c>
      <c r="G422" s="8">
        <f t="shared" si="31"/>
        <v>84</v>
      </c>
      <c r="H422">
        <f t="shared" si="32"/>
        <v>3</v>
      </c>
      <c r="I422" t="str">
        <f t="shared" si="33"/>
        <v>Tuesday</v>
      </c>
      <c r="L422">
        <f t="shared" si="34"/>
        <v>0</v>
      </c>
    </row>
    <row r="423" spans="1:12" x14ac:dyDescent="0.25">
      <c r="A423">
        <v>160108159</v>
      </c>
      <c r="B423" s="1">
        <v>44866</v>
      </c>
      <c r="C423" s="1">
        <v>44899</v>
      </c>
      <c r="D423" t="s">
        <v>7</v>
      </c>
      <c r="E423">
        <v>39</v>
      </c>
      <c r="F423" t="s">
        <v>6</v>
      </c>
      <c r="G423" s="8">
        <f t="shared" si="31"/>
        <v>33</v>
      </c>
      <c r="H423">
        <f t="shared" si="32"/>
        <v>3</v>
      </c>
      <c r="I423" t="str">
        <f t="shared" si="33"/>
        <v>Tuesday</v>
      </c>
      <c r="L423">
        <f t="shared" si="34"/>
        <v>0</v>
      </c>
    </row>
    <row r="424" spans="1:12" x14ac:dyDescent="0.25">
      <c r="A424">
        <v>160051910</v>
      </c>
      <c r="B424" s="1">
        <v>44866</v>
      </c>
      <c r="C424" s="1">
        <v>44874</v>
      </c>
      <c r="D424" t="s">
        <v>7</v>
      </c>
      <c r="E424">
        <v>39</v>
      </c>
      <c r="F424" t="s">
        <v>6</v>
      </c>
      <c r="G424" s="8">
        <f t="shared" si="31"/>
        <v>8</v>
      </c>
      <c r="H424">
        <f t="shared" si="32"/>
        <v>3</v>
      </c>
      <c r="I424" t="str">
        <f t="shared" si="33"/>
        <v>Tuesday</v>
      </c>
      <c r="L424">
        <f t="shared" si="34"/>
        <v>0</v>
      </c>
    </row>
    <row r="425" spans="1:12" x14ac:dyDescent="0.25">
      <c r="A425">
        <v>146169043</v>
      </c>
      <c r="B425" s="1">
        <v>44866</v>
      </c>
      <c r="C425" s="1">
        <v>45148</v>
      </c>
      <c r="D425" t="s">
        <v>7</v>
      </c>
      <c r="E425">
        <v>39</v>
      </c>
      <c r="F425" t="s">
        <v>6</v>
      </c>
      <c r="G425" s="8">
        <f t="shared" si="31"/>
        <v>282</v>
      </c>
      <c r="H425">
        <f t="shared" si="32"/>
        <v>3</v>
      </c>
      <c r="I425" t="str">
        <f t="shared" si="33"/>
        <v>Tuesday</v>
      </c>
      <c r="L425">
        <f t="shared" si="34"/>
        <v>0</v>
      </c>
    </row>
    <row r="426" spans="1:12" x14ac:dyDescent="0.25">
      <c r="A426">
        <v>159927090</v>
      </c>
      <c r="B426" s="1">
        <v>44867</v>
      </c>
      <c r="C426" s="1">
        <f t="shared" ref="C426:C427" ca="1" si="37">TODAY()</f>
        <v>45938</v>
      </c>
      <c r="D426" t="s">
        <v>7</v>
      </c>
      <c r="E426">
        <v>39</v>
      </c>
      <c r="F426" t="s">
        <v>6</v>
      </c>
      <c r="G426" s="8">
        <f t="shared" ca="1" si="31"/>
        <v>1071</v>
      </c>
      <c r="H426">
        <f t="shared" si="32"/>
        <v>4</v>
      </c>
      <c r="I426" t="str">
        <f t="shared" si="33"/>
        <v>Wednesday</v>
      </c>
      <c r="L426">
        <f t="shared" ca="1" si="34"/>
        <v>0</v>
      </c>
    </row>
    <row r="427" spans="1:12" x14ac:dyDescent="0.25">
      <c r="A427">
        <v>149188028</v>
      </c>
      <c r="B427" s="1">
        <v>44867</v>
      </c>
      <c r="C427" s="1">
        <f t="shared" ca="1" si="37"/>
        <v>45938</v>
      </c>
      <c r="D427" t="s">
        <v>7</v>
      </c>
      <c r="E427">
        <v>39</v>
      </c>
      <c r="F427" t="s">
        <v>6</v>
      </c>
      <c r="G427" s="8">
        <f t="shared" ca="1" si="31"/>
        <v>1071</v>
      </c>
      <c r="H427">
        <f t="shared" si="32"/>
        <v>4</v>
      </c>
      <c r="I427" t="str">
        <f t="shared" si="33"/>
        <v>Wednesday</v>
      </c>
      <c r="L427">
        <f t="shared" ca="1" si="34"/>
        <v>0</v>
      </c>
    </row>
    <row r="428" spans="1:12" x14ac:dyDescent="0.25">
      <c r="A428">
        <v>138535334</v>
      </c>
      <c r="B428" s="1">
        <v>44867</v>
      </c>
      <c r="C428" s="1">
        <v>44910</v>
      </c>
      <c r="D428" t="s">
        <v>7</v>
      </c>
      <c r="E428">
        <v>39</v>
      </c>
      <c r="F428" t="s">
        <v>6</v>
      </c>
      <c r="G428" s="8">
        <f t="shared" si="31"/>
        <v>43</v>
      </c>
      <c r="H428">
        <f t="shared" si="32"/>
        <v>4</v>
      </c>
      <c r="I428" t="str">
        <f t="shared" si="33"/>
        <v>Wednesday</v>
      </c>
      <c r="L428">
        <f t="shared" si="34"/>
        <v>0</v>
      </c>
    </row>
    <row r="429" spans="1:12" x14ac:dyDescent="0.25">
      <c r="A429">
        <v>159901871</v>
      </c>
      <c r="B429" s="1">
        <v>44867</v>
      </c>
      <c r="C429" s="1">
        <v>44904</v>
      </c>
      <c r="D429" t="s">
        <v>7</v>
      </c>
      <c r="E429">
        <v>39</v>
      </c>
      <c r="F429" t="s">
        <v>6</v>
      </c>
      <c r="G429" s="8">
        <f t="shared" si="31"/>
        <v>37</v>
      </c>
      <c r="H429">
        <f t="shared" si="32"/>
        <v>4</v>
      </c>
      <c r="I429" t="str">
        <f t="shared" si="33"/>
        <v>Wednesday</v>
      </c>
      <c r="L429">
        <f t="shared" si="34"/>
        <v>0</v>
      </c>
    </row>
    <row r="430" spans="1:12" x14ac:dyDescent="0.25">
      <c r="A430">
        <v>159620660</v>
      </c>
      <c r="B430" s="1">
        <v>44867</v>
      </c>
      <c r="C430" s="1">
        <v>44907</v>
      </c>
      <c r="D430" t="s">
        <v>7</v>
      </c>
      <c r="E430">
        <v>39</v>
      </c>
      <c r="F430" t="s">
        <v>6</v>
      </c>
      <c r="G430" s="8">
        <f t="shared" si="31"/>
        <v>40</v>
      </c>
      <c r="H430">
        <f t="shared" si="32"/>
        <v>4</v>
      </c>
      <c r="I430" t="str">
        <f t="shared" si="33"/>
        <v>Wednesday</v>
      </c>
      <c r="L430">
        <f t="shared" si="34"/>
        <v>0</v>
      </c>
    </row>
    <row r="431" spans="1:12" x14ac:dyDescent="0.25">
      <c r="A431">
        <v>160199525</v>
      </c>
      <c r="B431" s="1">
        <v>44867</v>
      </c>
      <c r="C431" s="1">
        <v>44888</v>
      </c>
      <c r="D431" t="s">
        <v>7</v>
      </c>
      <c r="E431">
        <v>39</v>
      </c>
      <c r="F431" t="s">
        <v>6</v>
      </c>
      <c r="G431" s="8">
        <f t="shared" si="31"/>
        <v>21</v>
      </c>
      <c r="H431">
        <f t="shared" si="32"/>
        <v>4</v>
      </c>
      <c r="I431" t="str">
        <f t="shared" si="33"/>
        <v>Wednesday</v>
      </c>
      <c r="L431">
        <f t="shared" si="34"/>
        <v>0</v>
      </c>
    </row>
    <row r="432" spans="1:12" x14ac:dyDescent="0.25">
      <c r="A432">
        <v>160183686</v>
      </c>
      <c r="B432" s="1">
        <v>44868</v>
      </c>
      <c r="C432" s="1">
        <v>44869</v>
      </c>
      <c r="D432" t="s">
        <v>8</v>
      </c>
      <c r="E432">
        <v>39</v>
      </c>
      <c r="F432" t="s">
        <v>6</v>
      </c>
      <c r="G432" s="8">
        <f t="shared" si="31"/>
        <v>1</v>
      </c>
      <c r="H432">
        <f t="shared" si="32"/>
        <v>5</v>
      </c>
      <c r="I432" t="str">
        <f t="shared" si="33"/>
        <v>Thursday</v>
      </c>
      <c r="L432">
        <f t="shared" si="34"/>
        <v>1</v>
      </c>
    </row>
    <row r="433" spans="1:12" x14ac:dyDescent="0.25">
      <c r="A433">
        <v>152504354</v>
      </c>
      <c r="B433" s="1">
        <v>44868</v>
      </c>
      <c r="C433" s="1">
        <v>44988</v>
      </c>
      <c r="D433" t="s">
        <v>7</v>
      </c>
      <c r="E433">
        <v>39</v>
      </c>
      <c r="F433" t="s">
        <v>6</v>
      </c>
      <c r="G433" s="8">
        <f t="shared" si="31"/>
        <v>120</v>
      </c>
      <c r="H433">
        <f t="shared" si="32"/>
        <v>5</v>
      </c>
      <c r="I433" t="str">
        <f t="shared" si="33"/>
        <v>Thursday</v>
      </c>
      <c r="L433">
        <f t="shared" si="34"/>
        <v>0</v>
      </c>
    </row>
    <row r="434" spans="1:12" x14ac:dyDescent="0.25">
      <c r="A434">
        <v>143164854</v>
      </c>
      <c r="B434" s="1">
        <v>44868</v>
      </c>
      <c r="C434" s="1">
        <v>44975</v>
      </c>
      <c r="D434" t="s">
        <v>7</v>
      </c>
      <c r="E434">
        <v>39</v>
      </c>
      <c r="F434" t="s">
        <v>6</v>
      </c>
      <c r="G434" s="8">
        <f t="shared" si="31"/>
        <v>107</v>
      </c>
      <c r="H434">
        <f t="shared" si="32"/>
        <v>5</v>
      </c>
      <c r="I434" t="str">
        <f t="shared" si="33"/>
        <v>Thursday</v>
      </c>
      <c r="L434">
        <f t="shared" si="34"/>
        <v>0</v>
      </c>
    </row>
    <row r="435" spans="1:12" x14ac:dyDescent="0.25">
      <c r="A435">
        <v>160366020</v>
      </c>
      <c r="B435" s="1">
        <v>44868</v>
      </c>
      <c r="C435" s="1">
        <v>44898</v>
      </c>
      <c r="D435" t="s">
        <v>7</v>
      </c>
      <c r="E435">
        <v>39</v>
      </c>
      <c r="F435" t="s">
        <v>6</v>
      </c>
      <c r="G435" s="8">
        <f t="shared" si="31"/>
        <v>30</v>
      </c>
      <c r="H435">
        <f t="shared" si="32"/>
        <v>5</v>
      </c>
      <c r="I435" t="str">
        <f t="shared" si="33"/>
        <v>Thursday</v>
      </c>
      <c r="L435">
        <f t="shared" si="34"/>
        <v>0</v>
      </c>
    </row>
    <row r="436" spans="1:12" x14ac:dyDescent="0.25">
      <c r="A436">
        <v>160298168</v>
      </c>
      <c r="B436" s="1">
        <v>44868</v>
      </c>
      <c r="C436" s="1">
        <v>44897</v>
      </c>
      <c r="D436" t="s">
        <v>7</v>
      </c>
      <c r="E436">
        <v>39</v>
      </c>
      <c r="F436" t="s">
        <v>6</v>
      </c>
      <c r="G436" s="8">
        <f t="shared" si="31"/>
        <v>29</v>
      </c>
      <c r="H436">
        <f t="shared" si="32"/>
        <v>5</v>
      </c>
      <c r="I436" t="str">
        <f t="shared" si="33"/>
        <v>Thursday</v>
      </c>
      <c r="L436">
        <f t="shared" si="34"/>
        <v>0</v>
      </c>
    </row>
    <row r="437" spans="1:12" x14ac:dyDescent="0.25">
      <c r="A437">
        <v>160243008</v>
      </c>
      <c r="B437" s="1">
        <v>44868</v>
      </c>
      <c r="C437" s="1">
        <v>44924</v>
      </c>
      <c r="D437" t="s">
        <v>7</v>
      </c>
      <c r="E437">
        <v>39</v>
      </c>
      <c r="F437" t="s">
        <v>6</v>
      </c>
      <c r="G437" s="8">
        <f t="shared" si="31"/>
        <v>56</v>
      </c>
      <c r="H437">
        <f t="shared" si="32"/>
        <v>5</v>
      </c>
      <c r="I437" t="str">
        <f t="shared" si="33"/>
        <v>Thursday</v>
      </c>
      <c r="L437">
        <f t="shared" si="34"/>
        <v>0</v>
      </c>
    </row>
    <row r="438" spans="1:12" x14ac:dyDescent="0.25">
      <c r="A438">
        <v>150878120</v>
      </c>
      <c r="B438" s="1">
        <v>44868</v>
      </c>
      <c r="C438" s="1">
        <v>44905</v>
      </c>
      <c r="D438" t="s">
        <v>7</v>
      </c>
      <c r="E438">
        <v>39</v>
      </c>
      <c r="F438" t="s">
        <v>6</v>
      </c>
      <c r="G438" s="8">
        <f t="shared" si="31"/>
        <v>37</v>
      </c>
      <c r="H438">
        <f t="shared" si="32"/>
        <v>5</v>
      </c>
      <c r="I438" t="str">
        <f t="shared" si="33"/>
        <v>Thursday</v>
      </c>
      <c r="L438">
        <f t="shared" si="34"/>
        <v>0</v>
      </c>
    </row>
    <row r="439" spans="1:12" x14ac:dyDescent="0.25">
      <c r="A439">
        <v>160208723</v>
      </c>
      <c r="B439" s="1">
        <v>44869</v>
      </c>
      <c r="C439" s="1">
        <f ca="1">TODAY()</f>
        <v>45938</v>
      </c>
      <c r="D439" t="s">
        <v>7</v>
      </c>
      <c r="E439">
        <v>39</v>
      </c>
      <c r="F439" t="s">
        <v>6</v>
      </c>
      <c r="G439" s="8">
        <f t="shared" ca="1" si="31"/>
        <v>1069</v>
      </c>
      <c r="H439">
        <f t="shared" si="32"/>
        <v>6</v>
      </c>
      <c r="I439" t="str">
        <f t="shared" si="33"/>
        <v>Friday</v>
      </c>
      <c r="L439">
        <f t="shared" ca="1" si="34"/>
        <v>0</v>
      </c>
    </row>
    <row r="440" spans="1:12" x14ac:dyDescent="0.25">
      <c r="A440">
        <v>153539322</v>
      </c>
      <c r="B440" s="1">
        <v>44869</v>
      </c>
      <c r="C440" s="1">
        <v>44964</v>
      </c>
      <c r="D440" t="s">
        <v>7</v>
      </c>
      <c r="E440">
        <v>39</v>
      </c>
      <c r="F440" t="s">
        <v>6</v>
      </c>
      <c r="G440" s="8">
        <f t="shared" si="31"/>
        <v>95</v>
      </c>
      <c r="H440">
        <f t="shared" si="32"/>
        <v>6</v>
      </c>
      <c r="I440" t="str">
        <f t="shared" si="33"/>
        <v>Friday</v>
      </c>
      <c r="L440">
        <f t="shared" si="34"/>
        <v>0</v>
      </c>
    </row>
    <row r="441" spans="1:12" x14ac:dyDescent="0.25">
      <c r="A441">
        <v>160164472</v>
      </c>
      <c r="B441" s="1">
        <v>44869</v>
      </c>
      <c r="C441" s="1">
        <v>44981</v>
      </c>
      <c r="D441" t="s">
        <v>7</v>
      </c>
      <c r="E441">
        <v>39</v>
      </c>
      <c r="F441" t="s">
        <v>6</v>
      </c>
      <c r="G441" s="8">
        <f t="shared" si="31"/>
        <v>112</v>
      </c>
      <c r="H441">
        <f t="shared" si="32"/>
        <v>6</v>
      </c>
      <c r="I441" t="str">
        <f t="shared" si="33"/>
        <v>Friday</v>
      </c>
      <c r="L441">
        <f t="shared" si="34"/>
        <v>0</v>
      </c>
    </row>
    <row r="442" spans="1:12" x14ac:dyDescent="0.25">
      <c r="A442">
        <v>160193644</v>
      </c>
      <c r="B442" s="1">
        <v>44869</v>
      </c>
      <c r="C442" s="1">
        <v>44937</v>
      </c>
      <c r="D442" t="s">
        <v>7</v>
      </c>
      <c r="E442">
        <v>39</v>
      </c>
      <c r="F442" t="s">
        <v>6</v>
      </c>
      <c r="G442" s="8">
        <f t="shared" si="31"/>
        <v>68</v>
      </c>
      <c r="H442">
        <f t="shared" si="32"/>
        <v>6</v>
      </c>
      <c r="I442" t="str">
        <f t="shared" si="33"/>
        <v>Friday</v>
      </c>
      <c r="L442">
        <f t="shared" si="34"/>
        <v>0</v>
      </c>
    </row>
    <row r="443" spans="1:12" x14ac:dyDescent="0.25">
      <c r="A443">
        <v>156294098</v>
      </c>
      <c r="B443" s="1">
        <v>44869</v>
      </c>
      <c r="C443" s="1">
        <v>44898</v>
      </c>
      <c r="D443" t="s">
        <v>7</v>
      </c>
      <c r="E443">
        <v>39</v>
      </c>
      <c r="F443" t="s">
        <v>6</v>
      </c>
      <c r="G443" s="8">
        <f t="shared" si="31"/>
        <v>29</v>
      </c>
      <c r="H443">
        <f t="shared" si="32"/>
        <v>6</v>
      </c>
      <c r="I443" t="str">
        <f t="shared" si="33"/>
        <v>Friday</v>
      </c>
      <c r="L443">
        <f t="shared" si="34"/>
        <v>0</v>
      </c>
    </row>
    <row r="444" spans="1:12" x14ac:dyDescent="0.25">
      <c r="A444">
        <v>146625866</v>
      </c>
      <c r="B444" s="1">
        <v>44869</v>
      </c>
      <c r="C444" s="1">
        <v>44884</v>
      </c>
      <c r="D444" t="s">
        <v>7</v>
      </c>
      <c r="E444">
        <v>39</v>
      </c>
      <c r="F444" t="s">
        <v>6</v>
      </c>
      <c r="G444" s="8">
        <f t="shared" si="31"/>
        <v>15</v>
      </c>
      <c r="H444">
        <f t="shared" si="32"/>
        <v>6</v>
      </c>
      <c r="I444" t="str">
        <f t="shared" si="33"/>
        <v>Friday</v>
      </c>
      <c r="L444">
        <f t="shared" si="34"/>
        <v>0</v>
      </c>
    </row>
    <row r="445" spans="1:12" x14ac:dyDescent="0.25">
      <c r="A445">
        <v>157663870</v>
      </c>
      <c r="B445" s="1">
        <v>44870</v>
      </c>
      <c r="C445" s="1">
        <v>44871</v>
      </c>
      <c r="D445" t="s">
        <v>7</v>
      </c>
      <c r="E445">
        <v>39</v>
      </c>
      <c r="F445" t="s">
        <v>6</v>
      </c>
      <c r="G445" s="8">
        <f t="shared" si="31"/>
        <v>1</v>
      </c>
      <c r="H445">
        <f t="shared" si="32"/>
        <v>7</v>
      </c>
      <c r="I445" t="str">
        <f t="shared" si="33"/>
        <v>Saturday</v>
      </c>
      <c r="L445">
        <f t="shared" si="34"/>
        <v>1</v>
      </c>
    </row>
    <row r="446" spans="1:12" x14ac:dyDescent="0.25">
      <c r="A446">
        <v>159679042</v>
      </c>
      <c r="B446" s="1">
        <v>44870</v>
      </c>
      <c r="C446" s="1">
        <v>44871</v>
      </c>
      <c r="D446" t="s">
        <v>8</v>
      </c>
      <c r="E446">
        <v>39</v>
      </c>
      <c r="F446" t="s">
        <v>6</v>
      </c>
      <c r="G446" s="8">
        <f t="shared" si="31"/>
        <v>1</v>
      </c>
      <c r="H446">
        <f t="shared" si="32"/>
        <v>7</v>
      </c>
      <c r="I446" t="str">
        <f t="shared" si="33"/>
        <v>Saturday</v>
      </c>
      <c r="L446">
        <f t="shared" si="34"/>
        <v>1</v>
      </c>
    </row>
    <row r="447" spans="1:12" x14ac:dyDescent="0.25">
      <c r="A447">
        <v>160558904</v>
      </c>
      <c r="B447" s="1">
        <v>44870</v>
      </c>
      <c r="C447" s="1">
        <v>44950</v>
      </c>
      <c r="D447" t="s">
        <v>7</v>
      </c>
      <c r="E447">
        <v>39</v>
      </c>
      <c r="F447" t="s">
        <v>6</v>
      </c>
      <c r="G447" s="8">
        <f t="shared" si="31"/>
        <v>80</v>
      </c>
      <c r="H447">
        <f t="shared" si="32"/>
        <v>7</v>
      </c>
      <c r="I447" t="str">
        <f t="shared" si="33"/>
        <v>Saturday</v>
      </c>
      <c r="L447">
        <f t="shared" si="34"/>
        <v>0</v>
      </c>
    </row>
    <row r="448" spans="1:12" x14ac:dyDescent="0.25">
      <c r="A448">
        <v>127836197</v>
      </c>
      <c r="B448" s="1">
        <v>44870</v>
      </c>
      <c r="C448" s="1">
        <v>44870</v>
      </c>
      <c r="D448" t="s">
        <v>7</v>
      </c>
      <c r="E448">
        <v>39</v>
      </c>
      <c r="F448" t="s">
        <v>6</v>
      </c>
      <c r="G448" s="8">
        <f t="shared" si="31"/>
        <v>0</v>
      </c>
      <c r="H448">
        <f t="shared" si="32"/>
        <v>7</v>
      </c>
      <c r="I448" t="str">
        <f t="shared" si="33"/>
        <v>Saturday</v>
      </c>
      <c r="L448">
        <f t="shared" si="34"/>
        <v>1</v>
      </c>
    </row>
    <row r="449" spans="1:12" x14ac:dyDescent="0.25">
      <c r="A449">
        <v>155334332</v>
      </c>
      <c r="B449" s="1">
        <v>44870</v>
      </c>
      <c r="C449" s="1">
        <v>44899</v>
      </c>
      <c r="D449" t="s">
        <v>7</v>
      </c>
      <c r="E449">
        <v>39</v>
      </c>
      <c r="F449" t="s">
        <v>6</v>
      </c>
      <c r="G449" s="8">
        <f t="shared" si="31"/>
        <v>29</v>
      </c>
      <c r="H449">
        <f t="shared" si="32"/>
        <v>7</v>
      </c>
      <c r="I449" t="str">
        <f t="shared" si="33"/>
        <v>Saturday</v>
      </c>
      <c r="L449">
        <f t="shared" si="34"/>
        <v>0</v>
      </c>
    </row>
    <row r="450" spans="1:12" x14ac:dyDescent="0.25">
      <c r="A450">
        <v>160523170</v>
      </c>
      <c r="B450" s="1">
        <v>44870</v>
      </c>
      <c r="C450" s="1">
        <v>44907</v>
      </c>
      <c r="D450" t="s">
        <v>7</v>
      </c>
      <c r="E450">
        <v>39</v>
      </c>
      <c r="F450" t="s">
        <v>6</v>
      </c>
      <c r="G450" s="8">
        <f t="shared" si="31"/>
        <v>37</v>
      </c>
      <c r="H450">
        <f t="shared" si="32"/>
        <v>7</v>
      </c>
      <c r="I450" t="str">
        <f t="shared" si="33"/>
        <v>Saturday</v>
      </c>
      <c r="L450">
        <f t="shared" si="34"/>
        <v>0</v>
      </c>
    </row>
    <row r="451" spans="1:12" x14ac:dyDescent="0.25">
      <c r="A451">
        <v>156907890</v>
      </c>
      <c r="B451" s="1">
        <v>44870</v>
      </c>
      <c r="C451" s="1">
        <v>44870</v>
      </c>
      <c r="D451" t="s">
        <v>7</v>
      </c>
      <c r="E451">
        <v>39</v>
      </c>
      <c r="F451" t="s">
        <v>6</v>
      </c>
      <c r="G451" s="8">
        <f t="shared" ref="G451:G514" si="38">IFERROR(DATEDIF(B451,C451,"D"),"0")</f>
        <v>0</v>
      </c>
      <c r="H451">
        <f t="shared" ref="H451:H514" si="39">WEEKDAY(B451,1)</f>
        <v>7</v>
      </c>
      <c r="I451" t="str">
        <f t="shared" ref="I451:I494" si="40">TEXT(B451,"DDDD")</f>
        <v>Saturday</v>
      </c>
      <c r="L451">
        <f t="shared" ref="L451:L514" si="41">IF( OR($G451=0,$G451 = 1, $G451 = 2), 1, 0 )</f>
        <v>1</v>
      </c>
    </row>
    <row r="452" spans="1:12" x14ac:dyDescent="0.25">
      <c r="A452">
        <v>160608516</v>
      </c>
      <c r="B452" s="1">
        <v>44870</v>
      </c>
      <c r="C452" s="1">
        <v>45141</v>
      </c>
      <c r="D452" t="s">
        <v>7</v>
      </c>
      <c r="E452">
        <v>39</v>
      </c>
      <c r="F452" t="s">
        <v>6</v>
      </c>
      <c r="G452" s="8">
        <f t="shared" si="38"/>
        <v>271</v>
      </c>
      <c r="H452">
        <f t="shared" si="39"/>
        <v>7</v>
      </c>
      <c r="I452" t="str">
        <f t="shared" si="40"/>
        <v>Saturday</v>
      </c>
      <c r="L452">
        <f t="shared" si="41"/>
        <v>0</v>
      </c>
    </row>
    <row r="453" spans="1:12" x14ac:dyDescent="0.25">
      <c r="A453">
        <v>113181220</v>
      </c>
      <c r="B453" s="1">
        <v>44870</v>
      </c>
      <c r="C453" s="1">
        <v>45130</v>
      </c>
      <c r="D453" t="s">
        <v>7</v>
      </c>
      <c r="E453">
        <v>39</v>
      </c>
      <c r="F453" t="s">
        <v>6</v>
      </c>
      <c r="G453" s="8">
        <f t="shared" si="38"/>
        <v>260</v>
      </c>
      <c r="H453">
        <f t="shared" si="39"/>
        <v>7</v>
      </c>
      <c r="I453" t="str">
        <f t="shared" si="40"/>
        <v>Saturday</v>
      </c>
      <c r="L453">
        <f t="shared" si="41"/>
        <v>0</v>
      </c>
    </row>
    <row r="454" spans="1:12" x14ac:dyDescent="0.25">
      <c r="A454">
        <v>159790393</v>
      </c>
      <c r="B454" s="1">
        <v>44871</v>
      </c>
      <c r="C454" s="1">
        <v>44970</v>
      </c>
      <c r="D454" t="s">
        <v>7</v>
      </c>
      <c r="E454">
        <v>39</v>
      </c>
      <c r="F454" t="s">
        <v>6</v>
      </c>
      <c r="G454" s="8">
        <f t="shared" si="38"/>
        <v>99</v>
      </c>
      <c r="H454">
        <f t="shared" si="39"/>
        <v>1</v>
      </c>
      <c r="I454" t="str">
        <f t="shared" si="40"/>
        <v>Sunday</v>
      </c>
      <c r="L454">
        <f t="shared" si="41"/>
        <v>0</v>
      </c>
    </row>
    <row r="455" spans="1:12" x14ac:dyDescent="0.25">
      <c r="A455">
        <v>147813476</v>
      </c>
      <c r="B455" s="1">
        <v>44871</v>
      </c>
      <c r="C455" s="1">
        <v>44953</v>
      </c>
      <c r="D455" t="s">
        <v>7</v>
      </c>
      <c r="E455">
        <v>39</v>
      </c>
      <c r="F455" t="s">
        <v>6</v>
      </c>
      <c r="G455" s="8">
        <f t="shared" si="38"/>
        <v>82</v>
      </c>
      <c r="H455">
        <f t="shared" si="39"/>
        <v>1</v>
      </c>
      <c r="I455" t="str">
        <f t="shared" si="40"/>
        <v>Sunday</v>
      </c>
      <c r="L455">
        <f t="shared" si="41"/>
        <v>0</v>
      </c>
    </row>
    <row r="456" spans="1:12" x14ac:dyDescent="0.25">
      <c r="A456">
        <v>156078158</v>
      </c>
      <c r="B456" s="1">
        <v>44871</v>
      </c>
      <c r="C456" s="1">
        <v>44951</v>
      </c>
      <c r="D456" t="s">
        <v>7</v>
      </c>
      <c r="E456">
        <v>39</v>
      </c>
      <c r="F456" t="s">
        <v>6</v>
      </c>
      <c r="G456" s="8">
        <f t="shared" si="38"/>
        <v>80</v>
      </c>
      <c r="H456">
        <f t="shared" si="39"/>
        <v>1</v>
      </c>
      <c r="I456" t="str">
        <f t="shared" si="40"/>
        <v>Sunday</v>
      </c>
      <c r="L456">
        <f t="shared" si="41"/>
        <v>0</v>
      </c>
    </row>
    <row r="457" spans="1:12" x14ac:dyDescent="0.25">
      <c r="A457">
        <v>154879898</v>
      </c>
      <c r="B457" s="1">
        <v>44871</v>
      </c>
      <c r="C457" s="1">
        <v>44882</v>
      </c>
      <c r="D457" t="s">
        <v>7</v>
      </c>
      <c r="E457">
        <v>39</v>
      </c>
      <c r="F457" t="s">
        <v>6</v>
      </c>
      <c r="G457" s="8">
        <f t="shared" si="38"/>
        <v>11</v>
      </c>
      <c r="H457">
        <f t="shared" si="39"/>
        <v>1</v>
      </c>
      <c r="I457" t="str">
        <f t="shared" si="40"/>
        <v>Sunday</v>
      </c>
      <c r="L457">
        <f t="shared" si="41"/>
        <v>0</v>
      </c>
    </row>
    <row r="458" spans="1:12" x14ac:dyDescent="0.25">
      <c r="A458">
        <v>136157937</v>
      </c>
      <c r="B458" s="1">
        <v>44871</v>
      </c>
      <c r="C458" s="1">
        <v>44908</v>
      </c>
      <c r="D458" t="s">
        <v>7</v>
      </c>
      <c r="E458">
        <v>39</v>
      </c>
      <c r="F458" t="s">
        <v>6</v>
      </c>
      <c r="G458" s="8">
        <f t="shared" si="38"/>
        <v>37</v>
      </c>
      <c r="H458">
        <f t="shared" si="39"/>
        <v>1</v>
      </c>
      <c r="I458" t="str">
        <f t="shared" si="40"/>
        <v>Sunday</v>
      </c>
      <c r="L458">
        <f t="shared" si="41"/>
        <v>0</v>
      </c>
    </row>
    <row r="459" spans="1:12" x14ac:dyDescent="0.25">
      <c r="A459">
        <v>160176868</v>
      </c>
      <c r="B459" s="1">
        <v>44871</v>
      </c>
      <c r="C459" s="1">
        <v>44896</v>
      </c>
      <c r="D459" t="s">
        <v>7</v>
      </c>
      <c r="E459">
        <v>39</v>
      </c>
      <c r="F459" t="s">
        <v>6</v>
      </c>
      <c r="G459" s="8">
        <f t="shared" si="38"/>
        <v>25</v>
      </c>
      <c r="H459">
        <f t="shared" si="39"/>
        <v>1</v>
      </c>
      <c r="I459" t="str">
        <f t="shared" si="40"/>
        <v>Sunday</v>
      </c>
      <c r="L459">
        <f t="shared" si="41"/>
        <v>0</v>
      </c>
    </row>
    <row r="460" spans="1:12" x14ac:dyDescent="0.25">
      <c r="A460">
        <v>160622888</v>
      </c>
      <c r="B460" s="1">
        <v>44871</v>
      </c>
      <c r="C460" s="1">
        <v>44871</v>
      </c>
      <c r="D460" t="s">
        <v>7</v>
      </c>
      <c r="E460">
        <v>39</v>
      </c>
      <c r="F460" t="s">
        <v>6</v>
      </c>
      <c r="G460" s="8">
        <f t="shared" si="38"/>
        <v>0</v>
      </c>
      <c r="H460">
        <f t="shared" si="39"/>
        <v>1</v>
      </c>
      <c r="I460" t="str">
        <f t="shared" si="40"/>
        <v>Sunday</v>
      </c>
      <c r="L460">
        <f t="shared" si="41"/>
        <v>1</v>
      </c>
    </row>
    <row r="461" spans="1:12" x14ac:dyDescent="0.25">
      <c r="A461">
        <v>158736659</v>
      </c>
      <c r="B461" s="1">
        <v>44872</v>
      </c>
      <c r="C461" s="1">
        <f t="shared" ref="C461:C464" ca="1" si="42">TODAY()</f>
        <v>45938</v>
      </c>
      <c r="D461" t="s">
        <v>7</v>
      </c>
      <c r="E461">
        <v>39</v>
      </c>
      <c r="F461" t="s">
        <v>6</v>
      </c>
      <c r="G461" s="8">
        <f t="shared" ca="1" si="38"/>
        <v>1066</v>
      </c>
      <c r="H461">
        <f t="shared" si="39"/>
        <v>2</v>
      </c>
      <c r="I461" t="str">
        <f t="shared" si="40"/>
        <v>Monday</v>
      </c>
      <c r="L461">
        <f t="shared" ca="1" si="41"/>
        <v>0</v>
      </c>
    </row>
    <row r="462" spans="1:12" x14ac:dyDescent="0.25">
      <c r="A462">
        <v>160813660</v>
      </c>
      <c r="B462" s="1">
        <v>44872</v>
      </c>
      <c r="C462" s="1">
        <f t="shared" ca="1" si="42"/>
        <v>45938</v>
      </c>
      <c r="D462" t="s">
        <v>7</v>
      </c>
      <c r="E462">
        <v>39</v>
      </c>
      <c r="F462" t="s">
        <v>6</v>
      </c>
      <c r="G462" s="8">
        <f t="shared" ca="1" si="38"/>
        <v>1066</v>
      </c>
      <c r="H462">
        <f t="shared" si="39"/>
        <v>2</v>
      </c>
      <c r="I462" t="str">
        <f t="shared" si="40"/>
        <v>Monday</v>
      </c>
      <c r="L462">
        <f t="shared" ca="1" si="41"/>
        <v>0</v>
      </c>
    </row>
    <row r="463" spans="1:12" x14ac:dyDescent="0.25">
      <c r="A463">
        <v>158524240</v>
      </c>
      <c r="B463" s="1">
        <v>44872</v>
      </c>
      <c r="C463" s="1">
        <f t="shared" ca="1" si="42"/>
        <v>45938</v>
      </c>
      <c r="D463" t="s">
        <v>7</v>
      </c>
      <c r="E463">
        <v>39</v>
      </c>
      <c r="F463" t="s">
        <v>6</v>
      </c>
      <c r="G463" s="8">
        <f t="shared" ca="1" si="38"/>
        <v>1066</v>
      </c>
      <c r="H463">
        <f t="shared" si="39"/>
        <v>2</v>
      </c>
      <c r="I463" t="str">
        <f t="shared" si="40"/>
        <v>Monday</v>
      </c>
      <c r="L463">
        <f t="shared" ca="1" si="41"/>
        <v>0</v>
      </c>
    </row>
    <row r="464" spans="1:12" x14ac:dyDescent="0.25">
      <c r="A464">
        <v>160702738</v>
      </c>
      <c r="B464" s="1">
        <v>44872</v>
      </c>
      <c r="C464" s="1">
        <f t="shared" ca="1" si="42"/>
        <v>45938</v>
      </c>
      <c r="D464" t="s">
        <v>7</v>
      </c>
      <c r="E464">
        <v>39</v>
      </c>
      <c r="F464" t="s">
        <v>6</v>
      </c>
      <c r="G464" s="8">
        <f t="shared" ca="1" si="38"/>
        <v>1066</v>
      </c>
      <c r="H464">
        <f t="shared" si="39"/>
        <v>2</v>
      </c>
      <c r="I464" t="str">
        <f t="shared" si="40"/>
        <v>Monday</v>
      </c>
      <c r="L464">
        <f t="shared" ca="1" si="41"/>
        <v>0</v>
      </c>
    </row>
    <row r="465" spans="1:12" x14ac:dyDescent="0.25">
      <c r="A465">
        <v>138919619</v>
      </c>
      <c r="B465" s="1">
        <v>44872</v>
      </c>
      <c r="C465" s="1">
        <v>44901</v>
      </c>
      <c r="D465" t="s">
        <v>7</v>
      </c>
      <c r="E465">
        <v>39</v>
      </c>
      <c r="F465" t="s">
        <v>6</v>
      </c>
      <c r="G465" s="8">
        <f t="shared" si="38"/>
        <v>29</v>
      </c>
      <c r="H465">
        <f t="shared" si="39"/>
        <v>2</v>
      </c>
      <c r="I465" t="str">
        <f t="shared" si="40"/>
        <v>Monday</v>
      </c>
      <c r="L465">
        <f t="shared" si="41"/>
        <v>0</v>
      </c>
    </row>
    <row r="466" spans="1:12" x14ac:dyDescent="0.25">
      <c r="A466">
        <v>121571816</v>
      </c>
      <c r="B466" s="1">
        <v>44872</v>
      </c>
      <c r="C466" s="1">
        <v>45011</v>
      </c>
      <c r="D466" t="s">
        <v>7</v>
      </c>
      <c r="E466">
        <v>39</v>
      </c>
      <c r="F466" t="s">
        <v>6</v>
      </c>
      <c r="G466" s="8">
        <f t="shared" si="38"/>
        <v>139</v>
      </c>
      <c r="H466">
        <f t="shared" si="39"/>
        <v>2</v>
      </c>
      <c r="I466" t="str">
        <f t="shared" si="40"/>
        <v>Monday</v>
      </c>
      <c r="L466">
        <f t="shared" si="41"/>
        <v>0</v>
      </c>
    </row>
    <row r="467" spans="1:12" x14ac:dyDescent="0.25">
      <c r="A467">
        <v>160623955</v>
      </c>
      <c r="B467" s="1">
        <v>44872</v>
      </c>
      <c r="C467" s="1">
        <v>45112</v>
      </c>
      <c r="D467" t="s">
        <v>7</v>
      </c>
      <c r="E467">
        <v>39</v>
      </c>
      <c r="F467" t="s">
        <v>6</v>
      </c>
      <c r="G467" s="8">
        <f t="shared" si="38"/>
        <v>240</v>
      </c>
      <c r="H467">
        <f t="shared" si="39"/>
        <v>2</v>
      </c>
      <c r="I467" t="str">
        <f t="shared" si="40"/>
        <v>Monday</v>
      </c>
      <c r="L467">
        <f t="shared" si="41"/>
        <v>0</v>
      </c>
    </row>
    <row r="468" spans="1:12" x14ac:dyDescent="0.25">
      <c r="A468">
        <v>160010850</v>
      </c>
      <c r="B468" s="1">
        <v>44872</v>
      </c>
      <c r="C468" s="1">
        <v>44994</v>
      </c>
      <c r="D468" t="s">
        <v>7</v>
      </c>
      <c r="E468">
        <v>39</v>
      </c>
      <c r="F468" t="s">
        <v>6</v>
      </c>
      <c r="G468" s="8">
        <f t="shared" si="38"/>
        <v>122</v>
      </c>
      <c r="H468">
        <f t="shared" si="39"/>
        <v>2</v>
      </c>
      <c r="I468" t="str">
        <f t="shared" si="40"/>
        <v>Monday</v>
      </c>
      <c r="L468">
        <f t="shared" si="41"/>
        <v>0</v>
      </c>
    </row>
    <row r="469" spans="1:12" x14ac:dyDescent="0.25">
      <c r="A469">
        <v>160823268</v>
      </c>
      <c r="B469" s="1">
        <v>44872</v>
      </c>
      <c r="C469" s="1">
        <v>44963</v>
      </c>
      <c r="D469" t="s">
        <v>7</v>
      </c>
      <c r="E469">
        <v>39</v>
      </c>
      <c r="F469" t="s">
        <v>6</v>
      </c>
      <c r="G469" s="8">
        <f t="shared" si="38"/>
        <v>91</v>
      </c>
      <c r="H469">
        <f t="shared" si="39"/>
        <v>2</v>
      </c>
      <c r="I469" t="str">
        <f t="shared" si="40"/>
        <v>Monday</v>
      </c>
      <c r="L469">
        <f t="shared" si="41"/>
        <v>0</v>
      </c>
    </row>
    <row r="470" spans="1:12" x14ac:dyDescent="0.25">
      <c r="A470">
        <v>158992873</v>
      </c>
      <c r="B470" s="1">
        <v>44872</v>
      </c>
      <c r="C470" s="1">
        <v>44971</v>
      </c>
      <c r="D470" t="s">
        <v>7</v>
      </c>
      <c r="E470">
        <v>39</v>
      </c>
      <c r="F470" t="s">
        <v>6</v>
      </c>
      <c r="G470" s="8">
        <f t="shared" si="38"/>
        <v>99</v>
      </c>
      <c r="H470">
        <f t="shared" si="39"/>
        <v>2</v>
      </c>
      <c r="I470" t="str">
        <f t="shared" si="40"/>
        <v>Monday</v>
      </c>
      <c r="L470">
        <f t="shared" si="41"/>
        <v>0</v>
      </c>
    </row>
    <row r="471" spans="1:12" x14ac:dyDescent="0.25">
      <c r="A471">
        <v>159878556</v>
      </c>
      <c r="B471" s="1">
        <v>44872</v>
      </c>
      <c r="C471" s="1">
        <v>44902</v>
      </c>
      <c r="D471" t="s">
        <v>7</v>
      </c>
      <c r="E471">
        <v>39</v>
      </c>
      <c r="F471" t="s">
        <v>6</v>
      </c>
      <c r="G471" s="8">
        <f t="shared" si="38"/>
        <v>30</v>
      </c>
      <c r="H471">
        <f t="shared" si="39"/>
        <v>2</v>
      </c>
      <c r="I471" t="str">
        <f t="shared" si="40"/>
        <v>Monday</v>
      </c>
      <c r="L471">
        <f t="shared" si="41"/>
        <v>0</v>
      </c>
    </row>
    <row r="472" spans="1:12" x14ac:dyDescent="0.25">
      <c r="A472">
        <v>160833652</v>
      </c>
      <c r="B472" s="1">
        <v>44872</v>
      </c>
      <c r="C472" s="1">
        <v>44909</v>
      </c>
      <c r="D472" t="s">
        <v>7</v>
      </c>
      <c r="E472">
        <v>39</v>
      </c>
      <c r="F472" t="s">
        <v>6</v>
      </c>
      <c r="G472" s="8">
        <f t="shared" si="38"/>
        <v>37</v>
      </c>
      <c r="H472">
        <f t="shared" si="39"/>
        <v>2</v>
      </c>
      <c r="I472" t="str">
        <f t="shared" si="40"/>
        <v>Monday</v>
      </c>
      <c r="L472">
        <f t="shared" si="41"/>
        <v>0</v>
      </c>
    </row>
    <row r="473" spans="1:12" x14ac:dyDescent="0.25">
      <c r="A473">
        <v>157663870</v>
      </c>
      <c r="B473" s="1">
        <v>44872</v>
      </c>
      <c r="C473" s="1">
        <v>44903</v>
      </c>
      <c r="D473" t="s">
        <v>7</v>
      </c>
      <c r="E473">
        <v>39</v>
      </c>
      <c r="F473" t="s">
        <v>6</v>
      </c>
      <c r="G473" s="8">
        <f t="shared" si="38"/>
        <v>31</v>
      </c>
      <c r="H473">
        <f t="shared" si="39"/>
        <v>2</v>
      </c>
      <c r="I473" t="str">
        <f t="shared" si="40"/>
        <v>Monday</v>
      </c>
      <c r="L473">
        <f t="shared" si="41"/>
        <v>0</v>
      </c>
    </row>
    <row r="474" spans="1:12" x14ac:dyDescent="0.25">
      <c r="A474">
        <v>160615413</v>
      </c>
      <c r="B474" s="1">
        <v>44872</v>
      </c>
      <c r="C474" s="1">
        <v>44920</v>
      </c>
      <c r="D474" t="s">
        <v>7</v>
      </c>
      <c r="E474">
        <v>39</v>
      </c>
      <c r="F474" t="s">
        <v>6</v>
      </c>
      <c r="G474" s="8">
        <f t="shared" si="38"/>
        <v>48</v>
      </c>
      <c r="H474">
        <f t="shared" si="39"/>
        <v>2</v>
      </c>
      <c r="I474" t="str">
        <f t="shared" si="40"/>
        <v>Monday</v>
      </c>
      <c r="L474">
        <f t="shared" si="41"/>
        <v>0</v>
      </c>
    </row>
    <row r="475" spans="1:12" x14ac:dyDescent="0.25">
      <c r="A475">
        <v>156207052</v>
      </c>
      <c r="B475" s="1">
        <v>44872</v>
      </c>
      <c r="C475" s="1">
        <v>44899</v>
      </c>
      <c r="D475" t="s">
        <v>7</v>
      </c>
      <c r="E475">
        <v>39</v>
      </c>
      <c r="F475" t="s">
        <v>6</v>
      </c>
      <c r="G475" s="8">
        <f t="shared" si="38"/>
        <v>27</v>
      </c>
      <c r="H475">
        <f t="shared" si="39"/>
        <v>2</v>
      </c>
      <c r="I475" t="str">
        <f t="shared" si="40"/>
        <v>Monday</v>
      </c>
      <c r="L475">
        <f t="shared" si="41"/>
        <v>0</v>
      </c>
    </row>
    <row r="476" spans="1:12" x14ac:dyDescent="0.25">
      <c r="A476">
        <v>160103792</v>
      </c>
      <c r="B476" s="1">
        <v>44872</v>
      </c>
      <c r="C476" s="1">
        <v>44872</v>
      </c>
      <c r="D476" t="s">
        <v>7</v>
      </c>
      <c r="E476">
        <v>39</v>
      </c>
      <c r="F476" t="s">
        <v>6</v>
      </c>
      <c r="G476" s="8">
        <f t="shared" si="38"/>
        <v>0</v>
      </c>
      <c r="H476">
        <f t="shared" si="39"/>
        <v>2</v>
      </c>
      <c r="I476" t="str">
        <f t="shared" si="40"/>
        <v>Monday</v>
      </c>
      <c r="L476">
        <f t="shared" si="41"/>
        <v>1</v>
      </c>
    </row>
    <row r="477" spans="1:12" x14ac:dyDescent="0.25">
      <c r="A477">
        <v>160969302</v>
      </c>
      <c r="B477" s="1">
        <v>44874</v>
      </c>
      <c r="C477" s="1">
        <v>45168</v>
      </c>
      <c r="D477" t="s">
        <v>7</v>
      </c>
      <c r="E477">
        <v>39</v>
      </c>
      <c r="F477" t="s">
        <v>6</v>
      </c>
      <c r="G477" s="8">
        <f t="shared" si="38"/>
        <v>294</v>
      </c>
      <c r="H477">
        <f t="shared" si="39"/>
        <v>4</v>
      </c>
      <c r="I477" t="str">
        <f t="shared" si="40"/>
        <v>Wednesday</v>
      </c>
      <c r="L477">
        <f t="shared" si="41"/>
        <v>0</v>
      </c>
    </row>
    <row r="478" spans="1:12" x14ac:dyDescent="0.25">
      <c r="A478">
        <v>149648746</v>
      </c>
      <c r="B478" s="1">
        <v>44874</v>
      </c>
      <c r="C478" s="1">
        <v>45079</v>
      </c>
      <c r="D478" t="s">
        <v>7</v>
      </c>
      <c r="E478">
        <v>39</v>
      </c>
      <c r="F478" t="s">
        <v>6</v>
      </c>
      <c r="G478" s="8">
        <f t="shared" si="38"/>
        <v>205</v>
      </c>
      <c r="H478">
        <f t="shared" si="39"/>
        <v>4</v>
      </c>
      <c r="I478" t="str">
        <f t="shared" si="40"/>
        <v>Wednesday</v>
      </c>
      <c r="L478">
        <f t="shared" si="41"/>
        <v>0</v>
      </c>
    </row>
    <row r="479" spans="1:12" x14ac:dyDescent="0.25">
      <c r="A479">
        <v>155643390</v>
      </c>
      <c r="B479" s="1">
        <v>44874</v>
      </c>
      <c r="C479" s="1">
        <v>45016</v>
      </c>
      <c r="D479" t="s">
        <v>7</v>
      </c>
      <c r="E479">
        <v>39</v>
      </c>
      <c r="F479" t="s">
        <v>6</v>
      </c>
      <c r="G479" s="8">
        <f t="shared" si="38"/>
        <v>142</v>
      </c>
      <c r="H479">
        <f t="shared" si="39"/>
        <v>4</v>
      </c>
      <c r="I479" t="str">
        <f t="shared" si="40"/>
        <v>Wednesday</v>
      </c>
      <c r="L479">
        <f t="shared" si="41"/>
        <v>0</v>
      </c>
    </row>
    <row r="480" spans="1:12" x14ac:dyDescent="0.25">
      <c r="A480">
        <v>119294384</v>
      </c>
      <c r="B480" s="1">
        <v>44874</v>
      </c>
      <c r="C480" s="1">
        <v>44987</v>
      </c>
      <c r="D480" t="s">
        <v>7</v>
      </c>
      <c r="E480">
        <v>39</v>
      </c>
      <c r="F480" t="s">
        <v>6</v>
      </c>
      <c r="G480" s="8">
        <f t="shared" si="38"/>
        <v>113</v>
      </c>
      <c r="H480">
        <f t="shared" si="39"/>
        <v>4</v>
      </c>
      <c r="I480" t="str">
        <f t="shared" si="40"/>
        <v>Wednesday</v>
      </c>
      <c r="L480">
        <f t="shared" si="41"/>
        <v>0</v>
      </c>
    </row>
    <row r="481" spans="1:12" x14ac:dyDescent="0.25">
      <c r="A481">
        <v>160171541</v>
      </c>
      <c r="B481" s="1">
        <v>44874</v>
      </c>
      <c r="C481" s="1">
        <v>44929</v>
      </c>
      <c r="D481" t="s">
        <v>7</v>
      </c>
      <c r="E481">
        <v>39</v>
      </c>
      <c r="F481" t="s">
        <v>6</v>
      </c>
      <c r="G481" s="8">
        <f t="shared" si="38"/>
        <v>55</v>
      </c>
      <c r="H481">
        <f t="shared" si="39"/>
        <v>4</v>
      </c>
      <c r="I481" t="str">
        <f t="shared" si="40"/>
        <v>Wednesday</v>
      </c>
      <c r="L481">
        <f t="shared" si="41"/>
        <v>0</v>
      </c>
    </row>
    <row r="482" spans="1:12" x14ac:dyDescent="0.25">
      <c r="A482">
        <v>150569213</v>
      </c>
      <c r="B482" s="1">
        <v>44874</v>
      </c>
      <c r="C482" s="1">
        <v>44911</v>
      </c>
      <c r="D482" t="s">
        <v>7</v>
      </c>
      <c r="E482">
        <v>39</v>
      </c>
      <c r="F482" t="s">
        <v>6</v>
      </c>
      <c r="G482" s="8">
        <f t="shared" si="38"/>
        <v>37</v>
      </c>
      <c r="H482">
        <f t="shared" si="39"/>
        <v>4</v>
      </c>
      <c r="I482" t="str">
        <f t="shared" si="40"/>
        <v>Wednesday</v>
      </c>
      <c r="L482">
        <f t="shared" si="41"/>
        <v>0</v>
      </c>
    </row>
    <row r="483" spans="1:12" x14ac:dyDescent="0.25">
      <c r="A483">
        <v>156710028</v>
      </c>
      <c r="B483" s="1">
        <v>44875</v>
      </c>
      <c r="C483" s="1">
        <v>44992</v>
      </c>
      <c r="D483" t="s">
        <v>7</v>
      </c>
      <c r="E483">
        <v>39</v>
      </c>
      <c r="F483" t="s">
        <v>6</v>
      </c>
      <c r="G483" s="8">
        <f t="shared" si="38"/>
        <v>117</v>
      </c>
      <c r="H483">
        <f t="shared" si="39"/>
        <v>5</v>
      </c>
      <c r="I483" t="str">
        <f t="shared" si="40"/>
        <v>Thursday</v>
      </c>
      <c r="L483">
        <f t="shared" si="41"/>
        <v>0</v>
      </c>
    </row>
    <row r="484" spans="1:12" x14ac:dyDescent="0.25">
      <c r="A484">
        <v>157670310</v>
      </c>
      <c r="B484" s="1">
        <v>44875</v>
      </c>
      <c r="C484" s="1">
        <v>44958</v>
      </c>
      <c r="D484" t="s">
        <v>7</v>
      </c>
      <c r="E484">
        <v>39</v>
      </c>
      <c r="F484" t="s">
        <v>6</v>
      </c>
      <c r="G484" s="8">
        <f t="shared" si="38"/>
        <v>83</v>
      </c>
      <c r="H484">
        <f t="shared" si="39"/>
        <v>5</v>
      </c>
      <c r="I484" t="str">
        <f t="shared" si="40"/>
        <v>Thursday</v>
      </c>
      <c r="L484">
        <f t="shared" si="41"/>
        <v>0</v>
      </c>
    </row>
    <row r="485" spans="1:12" x14ac:dyDescent="0.25">
      <c r="A485">
        <v>157091067</v>
      </c>
      <c r="B485" s="1">
        <v>44875</v>
      </c>
      <c r="C485" s="1">
        <v>44969</v>
      </c>
      <c r="D485" t="s">
        <v>7</v>
      </c>
      <c r="E485">
        <v>39</v>
      </c>
      <c r="F485" t="s">
        <v>6</v>
      </c>
      <c r="G485" s="8">
        <f t="shared" si="38"/>
        <v>94</v>
      </c>
      <c r="H485">
        <f t="shared" si="39"/>
        <v>5</v>
      </c>
      <c r="I485" t="str">
        <f t="shared" si="40"/>
        <v>Thursday</v>
      </c>
      <c r="L485">
        <f t="shared" si="41"/>
        <v>0</v>
      </c>
    </row>
    <row r="486" spans="1:12" x14ac:dyDescent="0.25">
      <c r="A486">
        <v>159639128</v>
      </c>
      <c r="B486" s="1">
        <v>44875</v>
      </c>
      <c r="C486" s="1">
        <v>44875</v>
      </c>
      <c r="D486" t="s">
        <v>7</v>
      </c>
      <c r="E486">
        <v>39</v>
      </c>
      <c r="F486" t="s">
        <v>6</v>
      </c>
      <c r="G486" s="8">
        <f t="shared" si="38"/>
        <v>0</v>
      </c>
      <c r="H486">
        <f t="shared" si="39"/>
        <v>5</v>
      </c>
      <c r="I486" t="str">
        <f t="shared" si="40"/>
        <v>Thursday</v>
      </c>
      <c r="L486">
        <f t="shared" si="41"/>
        <v>1</v>
      </c>
    </row>
    <row r="487" spans="1:12" x14ac:dyDescent="0.25">
      <c r="A487">
        <v>149728468</v>
      </c>
      <c r="B487" s="1">
        <v>44876</v>
      </c>
      <c r="C487" s="1">
        <v>44877</v>
      </c>
      <c r="D487" t="s">
        <v>7</v>
      </c>
      <c r="E487">
        <v>39</v>
      </c>
      <c r="F487" t="s">
        <v>6</v>
      </c>
      <c r="G487" s="8">
        <f t="shared" si="38"/>
        <v>1</v>
      </c>
      <c r="H487">
        <f t="shared" si="39"/>
        <v>6</v>
      </c>
      <c r="I487" t="str">
        <f t="shared" si="40"/>
        <v>Friday</v>
      </c>
      <c r="L487">
        <f t="shared" si="41"/>
        <v>1</v>
      </c>
    </row>
    <row r="488" spans="1:12" x14ac:dyDescent="0.25">
      <c r="A488">
        <v>160714172</v>
      </c>
      <c r="B488" s="1">
        <v>44876</v>
      </c>
      <c r="C488" s="1">
        <v>44926</v>
      </c>
      <c r="D488" t="s">
        <v>7</v>
      </c>
      <c r="E488">
        <v>39</v>
      </c>
      <c r="F488" t="s">
        <v>6</v>
      </c>
      <c r="G488" s="8">
        <f t="shared" si="38"/>
        <v>50</v>
      </c>
      <c r="H488">
        <f t="shared" si="39"/>
        <v>6</v>
      </c>
      <c r="I488" t="str">
        <f t="shared" si="40"/>
        <v>Friday</v>
      </c>
      <c r="L488">
        <f t="shared" si="41"/>
        <v>0</v>
      </c>
    </row>
    <row r="489" spans="1:12" x14ac:dyDescent="0.25">
      <c r="A489">
        <v>161464205</v>
      </c>
      <c r="B489" s="1">
        <v>44876</v>
      </c>
      <c r="C489" s="1">
        <v>44911</v>
      </c>
      <c r="D489" t="s">
        <v>7</v>
      </c>
      <c r="E489">
        <v>39</v>
      </c>
      <c r="F489" t="s">
        <v>6</v>
      </c>
      <c r="G489" s="8">
        <f t="shared" si="38"/>
        <v>35</v>
      </c>
      <c r="H489">
        <f t="shared" si="39"/>
        <v>6</v>
      </c>
      <c r="I489" t="str">
        <f t="shared" si="40"/>
        <v>Friday</v>
      </c>
      <c r="L489">
        <f t="shared" si="41"/>
        <v>0</v>
      </c>
    </row>
    <row r="490" spans="1:12" x14ac:dyDescent="0.25">
      <c r="A490">
        <v>141084753</v>
      </c>
      <c r="B490" s="1">
        <v>44877</v>
      </c>
      <c r="C490" s="1">
        <v>45035</v>
      </c>
      <c r="D490" t="s">
        <v>7</v>
      </c>
      <c r="E490">
        <v>39</v>
      </c>
      <c r="F490" t="s">
        <v>6</v>
      </c>
      <c r="G490" s="8">
        <f t="shared" si="38"/>
        <v>158</v>
      </c>
      <c r="H490">
        <f t="shared" si="39"/>
        <v>7</v>
      </c>
      <c r="I490" t="str">
        <f t="shared" si="40"/>
        <v>Saturday</v>
      </c>
      <c r="L490">
        <f t="shared" si="41"/>
        <v>0</v>
      </c>
    </row>
    <row r="491" spans="1:12" x14ac:dyDescent="0.25">
      <c r="A491">
        <v>161768948</v>
      </c>
      <c r="B491" s="1">
        <v>44877</v>
      </c>
      <c r="C491" s="1">
        <v>45021</v>
      </c>
      <c r="D491" t="s">
        <v>7</v>
      </c>
      <c r="E491">
        <v>39</v>
      </c>
      <c r="F491" t="s">
        <v>6</v>
      </c>
      <c r="G491" s="8">
        <f t="shared" si="38"/>
        <v>144</v>
      </c>
      <c r="H491">
        <f t="shared" si="39"/>
        <v>7</v>
      </c>
      <c r="I491" t="str">
        <f t="shared" si="40"/>
        <v>Saturday</v>
      </c>
      <c r="L491">
        <f t="shared" si="41"/>
        <v>0</v>
      </c>
    </row>
    <row r="492" spans="1:12" x14ac:dyDescent="0.25">
      <c r="A492">
        <v>161692109</v>
      </c>
      <c r="B492" s="1">
        <v>44877</v>
      </c>
      <c r="C492" s="1">
        <v>44976</v>
      </c>
      <c r="D492" t="s">
        <v>7</v>
      </c>
      <c r="E492">
        <v>39</v>
      </c>
      <c r="F492" t="s">
        <v>6</v>
      </c>
      <c r="G492" s="8">
        <f t="shared" si="38"/>
        <v>99</v>
      </c>
      <c r="H492">
        <f t="shared" si="39"/>
        <v>7</v>
      </c>
      <c r="I492" t="str">
        <f t="shared" si="40"/>
        <v>Saturday</v>
      </c>
      <c r="L492">
        <f t="shared" si="41"/>
        <v>0</v>
      </c>
    </row>
    <row r="493" spans="1:12" x14ac:dyDescent="0.25">
      <c r="A493">
        <v>161424706</v>
      </c>
      <c r="B493" s="1">
        <v>44877</v>
      </c>
      <c r="C493" s="1">
        <v>44904</v>
      </c>
      <c r="D493" t="s">
        <v>7</v>
      </c>
      <c r="E493">
        <v>39</v>
      </c>
      <c r="F493" t="s">
        <v>6</v>
      </c>
      <c r="G493" s="8">
        <f t="shared" si="38"/>
        <v>27</v>
      </c>
      <c r="H493">
        <f t="shared" si="39"/>
        <v>7</v>
      </c>
      <c r="I493" t="str">
        <f t="shared" si="40"/>
        <v>Saturday</v>
      </c>
      <c r="L493">
        <f t="shared" si="41"/>
        <v>0</v>
      </c>
    </row>
    <row r="494" spans="1:12" x14ac:dyDescent="0.25">
      <c r="A494">
        <v>153186137</v>
      </c>
      <c r="B494" s="1">
        <v>44877</v>
      </c>
      <c r="C494" s="1">
        <v>44877</v>
      </c>
      <c r="D494" t="s">
        <v>7</v>
      </c>
      <c r="E494">
        <v>39</v>
      </c>
      <c r="F494" t="s">
        <v>6</v>
      </c>
      <c r="G494" s="8">
        <f t="shared" si="38"/>
        <v>0</v>
      </c>
      <c r="H494">
        <f t="shared" si="39"/>
        <v>7</v>
      </c>
      <c r="I494" t="str">
        <f t="shared" si="40"/>
        <v>Saturday</v>
      </c>
      <c r="L494">
        <f t="shared" si="41"/>
        <v>1</v>
      </c>
    </row>
    <row r="495" spans="1:12" x14ac:dyDescent="0.25">
      <c r="A495">
        <v>158906669</v>
      </c>
      <c r="B495" s="1">
        <v>44878</v>
      </c>
      <c r="C495" s="1">
        <v>44969</v>
      </c>
      <c r="D495" t="s">
        <v>7</v>
      </c>
      <c r="E495">
        <v>39</v>
      </c>
      <c r="F495" t="s">
        <v>6</v>
      </c>
      <c r="G495" s="8">
        <f t="shared" si="38"/>
        <v>91</v>
      </c>
      <c r="H495">
        <f t="shared" si="39"/>
        <v>1</v>
      </c>
      <c r="I495" t="str">
        <f t="shared" ref="I495:I558" si="43">TEXT(B495,"DDDD")</f>
        <v>Sunday</v>
      </c>
      <c r="L495">
        <f t="shared" si="41"/>
        <v>0</v>
      </c>
    </row>
    <row r="496" spans="1:12" x14ac:dyDescent="0.25">
      <c r="A496">
        <v>154085972</v>
      </c>
      <c r="B496" s="1">
        <v>44878</v>
      </c>
      <c r="C496" s="1">
        <v>44900</v>
      </c>
      <c r="D496" t="s">
        <v>7</v>
      </c>
      <c r="E496">
        <v>39</v>
      </c>
      <c r="F496" t="s">
        <v>6</v>
      </c>
      <c r="G496" s="8">
        <f t="shared" si="38"/>
        <v>22</v>
      </c>
      <c r="H496">
        <f t="shared" si="39"/>
        <v>1</v>
      </c>
      <c r="I496" t="str">
        <f t="shared" si="43"/>
        <v>Sunday</v>
      </c>
      <c r="L496">
        <f t="shared" si="41"/>
        <v>0</v>
      </c>
    </row>
    <row r="497" spans="1:12" x14ac:dyDescent="0.25">
      <c r="A497">
        <v>162409676</v>
      </c>
      <c r="B497" s="1">
        <v>44879</v>
      </c>
      <c r="C497" s="1">
        <f t="shared" ref="C497:C498" ca="1" si="44">TODAY()</f>
        <v>45938</v>
      </c>
      <c r="D497" t="s">
        <v>7</v>
      </c>
      <c r="E497">
        <v>39</v>
      </c>
      <c r="F497" t="s">
        <v>6</v>
      </c>
      <c r="G497" s="8">
        <f t="shared" ca="1" si="38"/>
        <v>1059</v>
      </c>
      <c r="H497">
        <f t="shared" si="39"/>
        <v>2</v>
      </c>
      <c r="I497" t="str">
        <f t="shared" si="43"/>
        <v>Monday</v>
      </c>
      <c r="L497">
        <f t="shared" ca="1" si="41"/>
        <v>0</v>
      </c>
    </row>
    <row r="498" spans="1:12" x14ac:dyDescent="0.25">
      <c r="A498">
        <v>157438261</v>
      </c>
      <c r="B498" s="1">
        <v>44879</v>
      </c>
      <c r="C498" s="1">
        <f t="shared" ca="1" si="44"/>
        <v>45938</v>
      </c>
      <c r="D498" t="s">
        <v>7</v>
      </c>
      <c r="E498">
        <v>39</v>
      </c>
      <c r="F498" t="s">
        <v>6</v>
      </c>
      <c r="G498" s="8">
        <f t="shared" ca="1" si="38"/>
        <v>1059</v>
      </c>
      <c r="H498">
        <f t="shared" si="39"/>
        <v>2</v>
      </c>
      <c r="I498" t="str">
        <f t="shared" si="43"/>
        <v>Monday</v>
      </c>
      <c r="L498">
        <f t="shared" ca="1" si="41"/>
        <v>0</v>
      </c>
    </row>
    <row r="499" spans="1:12" x14ac:dyDescent="0.25">
      <c r="A499">
        <v>132579012</v>
      </c>
      <c r="B499" s="1">
        <v>44879</v>
      </c>
      <c r="C499" s="1">
        <v>44999</v>
      </c>
      <c r="D499" t="s">
        <v>7</v>
      </c>
      <c r="E499">
        <v>39</v>
      </c>
      <c r="F499" t="s">
        <v>6</v>
      </c>
      <c r="G499" s="8">
        <f t="shared" si="38"/>
        <v>120</v>
      </c>
      <c r="H499">
        <f t="shared" si="39"/>
        <v>2</v>
      </c>
      <c r="I499" t="str">
        <f t="shared" si="43"/>
        <v>Monday</v>
      </c>
      <c r="L499">
        <f t="shared" si="41"/>
        <v>0</v>
      </c>
    </row>
    <row r="500" spans="1:12" x14ac:dyDescent="0.25">
      <c r="A500">
        <v>129140042</v>
      </c>
      <c r="B500" s="1">
        <v>44879</v>
      </c>
      <c r="C500" s="1">
        <v>44966</v>
      </c>
      <c r="D500" t="s">
        <v>7</v>
      </c>
      <c r="E500">
        <v>39</v>
      </c>
      <c r="F500" t="s">
        <v>6</v>
      </c>
      <c r="G500" s="8">
        <f t="shared" si="38"/>
        <v>87</v>
      </c>
      <c r="H500">
        <f t="shared" si="39"/>
        <v>2</v>
      </c>
      <c r="I500" t="str">
        <f t="shared" si="43"/>
        <v>Monday</v>
      </c>
      <c r="L500">
        <f t="shared" si="41"/>
        <v>0</v>
      </c>
    </row>
    <row r="501" spans="1:12" x14ac:dyDescent="0.25">
      <c r="A501">
        <v>147100996</v>
      </c>
      <c r="B501" s="1">
        <v>44879</v>
      </c>
      <c r="C501" s="1">
        <v>44941</v>
      </c>
      <c r="D501" t="s">
        <v>7</v>
      </c>
      <c r="E501">
        <v>39</v>
      </c>
      <c r="F501" t="s">
        <v>6</v>
      </c>
      <c r="G501" s="8">
        <f t="shared" si="38"/>
        <v>62</v>
      </c>
      <c r="H501">
        <f t="shared" si="39"/>
        <v>2</v>
      </c>
      <c r="I501" t="str">
        <f t="shared" si="43"/>
        <v>Monday</v>
      </c>
      <c r="L501">
        <f t="shared" si="41"/>
        <v>0</v>
      </c>
    </row>
    <row r="502" spans="1:12" x14ac:dyDescent="0.25">
      <c r="A502">
        <v>158437198</v>
      </c>
      <c r="B502" s="1">
        <v>44879</v>
      </c>
      <c r="C502" s="1">
        <v>45011</v>
      </c>
      <c r="D502" t="s">
        <v>7</v>
      </c>
      <c r="E502">
        <v>39</v>
      </c>
      <c r="F502" t="s">
        <v>6</v>
      </c>
      <c r="G502" s="8">
        <f t="shared" si="38"/>
        <v>132</v>
      </c>
      <c r="H502">
        <f t="shared" si="39"/>
        <v>2</v>
      </c>
      <c r="I502" t="str">
        <f t="shared" si="43"/>
        <v>Monday</v>
      </c>
      <c r="L502">
        <f t="shared" si="41"/>
        <v>0</v>
      </c>
    </row>
    <row r="503" spans="1:12" x14ac:dyDescent="0.25">
      <c r="A503">
        <v>162343403</v>
      </c>
      <c r="B503" s="1">
        <v>44879</v>
      </c>
      <c r="C503" s="1">
        <v>45001</v>
      </c>
      <c r="D503" t="s">
        <v>7</v>
      </c>
      <c r="E503">
        <v>39</v>
      </c>
      <c r="F503" t="s">
        <v>6</v>
      </c>
      <c r="G503" s="8">
        <f t="shared" si="38"/>
        <v>122</v>
      </c>
      <c r="H503">
        <f t="shared" si="39"/>
        <v>2</v>
      </c>
      <c r="I503" t="str">
        <f t="shared" si="43"/>
        <v>Monday</v>
      </c>
      <c r="L503">
        <f t="shared" si="41"/>
        <v>0</v>
      </c>
    </row>
    <row r="504" spans="1:12" x14ac:dyDescent="0.25">
      <c r="A504">
        <v>162218672</v>
      </c>
      <c r="B504" s="1">
        <v>44879</v>
      </c>
      <c r="C504" s="1">
        <v>44994</v>
      </c>
      <c r="D504" t="s">
        <v>7</v>
      </c>
      <c r="E504">
        <v>39</v>
      </c>
      <c r="F504" t="s">
        <v>6</v>
      </c>
      <c r="G504" s="8">
        <f t="shared" si="38"/>
        <v>115</v>
      </c>
      <c r="H504">
        <f t="shared" si="39"/>
        <v>2</v>
      </c>
      <c r="I504" t="str">
        <f t="shared" si="43"/>
        <v>Monday</v>
      </c>
      <c r="L504">
        <f t="shared" si="41"/>
        <v>0</v>
      </c>
    </row>
    <row r="505" spans="1:12" x14ac:dyDescent="0.25">
      <c r="A505">
        <v>120738319</v>
      </c>
      <c r="B505" s="1">
        <v>44879</v>
      </c>
      <c r="C505" s="1">
        <v>45019</v>
      </c>
      <c r="D505" t="s">
        <v>7</v>
      </c>
      <c r="E505">
        <v>39</v>
      </c>
      <c r="F505" t="s">
        <v>6</v>
      </c>
      <c r="G505" s="8">
        <f t="shared" si="38"/>
        <v>140</v>
      </c>
      <c r="H505">
        <f t="shared" si="39"/>
        <v>2</v>
      </c>
      <c r="I505" t="str">
        <f t="shared" si="43"/>
        <v>Monday</v>
      </c>
      <c r="L505">
        <f t="shared" si="41"/>
        <v>0</v>
      </c>
    </row>
    <row r="506" spans="1:12" x14ac:dyDescent="0.25">
      <c r="A506">
        <v>162147786</v>
      </c>
      <c r="B506" s="1">
        <v>44879</v>
      </c>
      <c r="C506" s="1">
        <v>45030</v>
      </c>
      <c r="D506" t="s">
        <v>7</v>
      </c>
      <c r="E506">
        <v>39</v>
      </c>
      <c r="F506" t="s">
        <v>6</v>
      </c>
      <c r="G506" s="8">
        <f t="shared" si="38"/>
        <v>151</v>
      </c>
      <c r="H506">
        <f t="shared" si="39"/>
        <v>2</v>
      </c>
      <c r="I506" t="str">
        <f t="shared" si="43"/>
        <v>Monday</v>
      </c>
      <c r="L506">
        <f t="shared" si="41"/>
        <v>0</v>
      </c>
    </row>
    <row r="507" spans="1:12" x14ac:dyDescent="0.25">
      <c r="A507">
        <v>153165084</v>
      </c>
      <c r="B507" s="1">
        <v>44879</v>
      </c>
      <c r="C507" s="1">
        <v>44965</v>
      </c>
      <c r="D507" t="s">
        <v>7</v>
      </c>
      <c r="E507">
        <v>39</v>
      </c>
      <c r="F507" t="s">
        <v>6</v>
      </c>
      <c r="G507" s="8">
        <f t="shared" si="38"/>
        <v>86</v>
      </c>
      <c r="H507">
        <f t="shared" si="39"/>
        <v>2</v>
      </c>
      <c r="I507" t="str">
        <f t="shared" si="43"/>
        <v>Monday</v>
      </c>
      <c r="L507">
        <f t="shared" si="41"/>
        <v>0</v>
      </c>
    </row>
    <row r="508" spans="1:12" x14ac:dyDescent="0.25">
      <c r="A508">
        <v>161815335</v>
      </c>
      <c r="B508" s="1">
        <v>44879</v>
      </c>
      <c r="C508" s="1">
        <v>44976</v>
      </c>
      <c r="D508" t="s">
        <v>7</v>
      </c>
      <c r="E508">
        <v>39</v>
      </c>
      <c r="F508" t="s">
        <v>6</v>
      </c>
      <c r="G508" s="8">
        <f t="shared" si="38"/>
        <v>97</v>
      </c>
      <c r="H508">
        <f t="shared" si="39"/>
        <v>2</v>
      </c>
      <c r="I508" t="str">
        <f t="shared" si="43"/>
        <v>Monday</v>
      </c>
      <c r="L508">
        <f t="shared" si="41"/>
        <v>0</v>
      </c>
    </row>
    <row r="509" spans="1:12" x14ac:dyDescent="0.25">
      <c r="A509">
        <v>162294529</v>
      </c>
      <c r="B509" s="1">
        <v>44879</v>
      </c>
      <c r="C509" s="1">
        <v>44964</v>
      </c>
      <c r="D509" t="s">
        <v>7</v>
      </c>
      <c r="E509">
        <v>39</v>
      </c>
      <c r="F509" t="s">
        <v>6</v>
      </c>
      <c r="G509" s="8">
        <f t="shared" si="38"/>
        <v>85</v>
      </c>
      <c r="H509">
        <f t="shared" si="39"/>
        <v>2</v>
      </c>
      <c r="I509" t="str">
        <f t="shared" si="43"/>
        <v>Monday</v>
      </c>
      <c r="L509">
        <f t="shared" si="41"/>
        <v>0</v>
      </c>
    </row>
    <row r="510" spans="1:12" x14ac:dyDescent="0.25">
      <c r="A510">
        <v>162176080</v>
      </c>
      <c r="B510" s="1">
        <v>44879</v>
      </c>
      <c r="C510" s="1">
        <v>44962</v>
      </c>
      <c r="D510" t="s">
        <v>7</v>
      </c>
      <c r="E510">
        <v>39</v>
      </c>
      <c r="F510" t="s">
        <v>6</v>
      </c>
      <c r="G510" s="8">
        <f t="shared" si="38"/>
        <v>83</v>
      </c>
      <c r="H510">
        <f t="shared" si="39"/>
        <v>2</v>
      </c>
      <c r="I510" t="str">
        <f t="shared" si="43"/>
        <v>Monday</v>
      </c>
      <c r="L510">
        <f t="shared" si="41"/>
        <v>0</v>
      </c>
    </row>
    <row r="511" spans="1:12" x14ac:dyDescent="0.25">
      <c r="A511">
        <v>162412232</v>
      </c>
      <c r="B511" s="1">
        <v>44879</v>
      </c>
      <c r="C511" s="1">
        <v>44916</v>
      </c>
      <c r="D511" t="s">
        <v>7</v>
      </c>
      <c r="E511">
        <v>39</v>
      </c>
      <c r="F511" t="s">
        <v>6</v>
      </c>
      <c r="G511" s="8">
        <f t="shared" si="38"/>
        <v>37</v>
      </c>
      <c r="H511">
        <f t="shared" si="39"/>
        <v>2</v>
      </c>
      <c r="I511" t="str">
        <f t="shared" si="43"/>
        <v>Monday</v>
      </c>
      <c r="L511">
        <f t="shared" si="41"/>
        <v>0</v>
      </c>
    </row>
    <row r="512" spans="1:12" x14ac:dyDescent="0.25">
      <c r="A512">
        <v>158575772</v>
      </c>
      <c r="B512" s="1">
        <v>44879</v>
      </c>
      <c r="C512" s="1">
        <v>44911</v>
      </c>
      <c r="D512" t="s">
        <v>7</v>
      </c>
      <c r="E512">
        <v>39</v>
      </c>
      <c r="F512" t="s">
        <v>6</v>
      </c>
      <c r="G512" s="8">
        <f t="shared" si="38"/>
        <v>32</v>
      </c>
      <c r="H512">
        <f t="shared" si="39"/>
        <v>2</v>
      </c>
      <c r="I512" t="str">
        <f t="shared" si="43"/>
        <v>Monday</v>
      </c>
      <c r="L512">
        <f t="shared" si="41"/>
        <v>0</v>
      </c>
    </row>
    <row r="513" spans="1:12" x14ac:dyDescent="0.25">
      <c r="A513">
        <v>162247173</v>
      </c>
      <c r="B513" s="1">
        <v>44879</v>
      </c>
      <c r="C513" s="1">
        <v>44906</v>
      </c>
      <c r="D513" t="s">
        <v>7</v>
      </c>
      <c r="E513">
        <v>39</v>
      </c>
      <c r="F513" t="s">
        <v>6</v>
      </c>
      <c r="G513" s="8">
        <f t="shared" si="38"/>
        <v>27</v>
      </c>
      <c r="H513">
        <f t="shared" si="39"/>
        <v>2</v>
      </c>
      <c r="I513" t="str">
        <f t="shared" si="43"/>
        <v>Monday</v>
      </c>
      <c r="L513">
        <f t="shared" si="41"/>
        <v>0</v>
      </c>
    </row>
    <row r="514" spans="1:12" x14ac:dyDescent="0.25">
      <c r="A514">
        <v>153630282</v>
      </c>
      <c r="B514" s="1">
        <v>44879</v>
      </c>
      <c r="C514" s="1">
        <v>44903</v>
      </c>
      <c r="D514" t="s">
        <v>7</v>
      </c>
      <c r="E514">
        <v>39</v>
      </c>
      <c r="F514" t="s">
        <v>6</v>
      </c>
      <c r="G514" s="8">
        <f t="shared" si="38"/>
        <v>24</v>
      </c>
      <c r="H514">
        <f t="shared" si="39"/>
        <v>2</v>
      </c>
      <c r="I514" t="str">
        <f t="shared" si="43"/>
        <v>Monday</v>
      </c>
      <c r="L514">
        <f t="shared" si="41"/>
        <v>0</v>
      </c>
    </row>
    <row r="515" spans="1:12" x14ac:dyDescent="0.25">
      <c r="A515">
        <v>156699431</v>
      </c>
      <c r="B515" s="1">
        <v>44879</v>
      </c>
      <c r="C515" s="1">
        <v>44888</v>
      </c>
      <c r="D515" t="s">
        <v>7</v>
      </c>
      <c r="E515">
        <v>39</v>
      </c>
      <c r="F515" t="s">
        <v>6</v>
      </c>
      <c r="G515" s="8">
        <f t="shared" ref="G515:G578" si="45">IFERROR(DATEDIF(B515,C515,"D"),"0")</f>
        <v>9</v>
      </c>
      <c r="H515">
        <f t="shared" ref="H515:H578" si="46">WEEKDAY(B515,1)</f>
        <v>2</v>
      </c>
      <c r="I515" t="str">
        <f t="shared" si="43"/>
        <v>Monday</v>
      </c>
      <c r="L515">
        <f t="shared" ref="L515:L578" si="47">IF( OR($G515=0,$G515 = 1, $G515 = 2), 1, 0 )</f>
        <v>0</v>
      </c>
    </row>
    <row r="516" spans="1:12" x14ac:dyDescent="0.25">
      <c r="A516">
        <v>148018000</v>
      </c>
      <c r="B516" s="1">
        <v>44879</v>
      </c>
      <c r="C516" s="1">
        <v>45139</v>
      </c>
      <c r="D516" t="s">
        <v>7</v>
      </c>
      <c r="E516">
        <v>39</v>
      </c>
      <c r="F516" t="s">
        <v>6</v>
      </c>
      <c r="G516" s="8">
        <f t="shared" si="45"/>
        <v>260</v>
      </c>
      <c r="H516">
        <f t="shared" si="46"/>
        <v>2</v>
      </c>
      <c r="I516" t="str">
        <f t="shared" si="43"/>
        <v>Monday</v>
      </c>
      <c r="L516">
        <f t="shared" si="47"/>
        <v>0</v>
      </c>
    </row>
    <row r="517" spans="1:12" x14ac:dyDescent="0.25">
      <c r="A517">
        <v>161623906</v>
      </c>
      <c r="B517" s="1">
        <v>44880</v>
      </c>
      <c r="C517" s="1">
        <f t="shared" ref="C517:C518" ca="1" si="48">TODAY()</f>
        <v>45938</v>
      </c>
      <c r="D517" t="s">
        <v>7</v>
      </c>
      <c r="E517">
        <v>39</v>
      </c>
      <c r="F517" t="s">
        <v>6</v>
      </c>
      <c r="G517" s="8">
        <f t="shared" ca="1" si="45"/>
        <v>1058</v>
      </c>
      <c r="H517">
        <f t="shared" si="46"/>
        <v>3</v>
      </c>
      <c r="I517" t="str">
        <f t="shared" si="43"/>
        <v>Tuesday</v>
      </c>
      <c r="L517">
        <f t="shared" ca="1" si="47"/>
        <v>0</v>
      </c>
    </row>
    <row r="518" spans="1:12" x14ac:dyDescent="0.25">
      <c r="A518">
        <v>145664226</v>
      </c>
      <c r="B518" s="1">
        <v>44880</v>
      </c>
      <c r="C518" s="1">
        <f t="shared" ca="1" si="48"/>
        <v>45938</v>
      </c>
      <c r="D518" t="s">
        <v>7</v>
      </c>
      <c r="E518">
        <v>39</v>
      </c>
      <c r="F518" t="s">
        <v>6</v>
      </c>
      <c r="G518" s="8">
        <f t="shared" ca="1" si="45"/>
        <v>1058</v>
      </c>
      <c r="H518">
        <f t="shared" si="46"/>
        <v>3</v>
      </c>
      <c r="I518" t="str">
        <f t="shared" si="43"/>
        <v>Tuesday</v>
      </c>
      <c r="L518">
        <f t="shared" ca="1" si="47"/>
        <v>0</v>
      </c>
    </row>
    <row r="519" spans="1:12" x14ac:dyDescent="0.25">
      <c r="A519">
        <v>162529715</v>
      </c>
      <c r="B519" s="1">
        <v>44880</v>
      </c>
      <c r="C519" s="1">
        <v>45007</v>
      </c>
      <c r="D519" t="s">
        <v>7</v>
      </c>
      <c r="E519">
        <v>39</v>
      </c>
      <c r="F519" t="s">
        <v>6</v>
      </c>
      <c r="G519" s="8">
        <f t="shared" si="45"/>
        <v>127</v>
      </c>
      <c r="H519">
        <f t="shared" si="46"/>
        <v>3</v>
      </c>
      <c r="I519" t="str">
        <f t="shared" si="43"/>
        <v>Tuesday</v>
      </c>
      <c r="L519">
        <f t="shared" si="47"/>
        <v>0</v>
      </c>
    </row>
    <row r="520" spans="1:12" x14ac:dyDescent="0.25">
      <c r="A520">
        <v>162581284</v>
      </c>
      <c r="B520" s="1">
        <v>44880</v>
      </c>
      <c r="C520" s="1">
        <v>44906</v>
      </c>
      <c r="D520" t="s">
        <v>7</v>
      </c>
      <c r="E520">
        <v>39</v>
      </c>
      <c r="F520" t="s">
        <v>6</v>
      </c>
      <c r="G520" s="8">
        <f t="shared" si="45"/>
        <v>26</v>
      </c>
      <c r="H520">
        <f t="shared" si="46"/>
        <v>3</v>
      </c>
      <c r="I520" t="str">
        <f t="shared" si="43"/>
        <v>Tuesday</v>
      </c>
      <c r="L520">
        <f t="shared" si="47"/>
        <v>0</v>
      </c>
    </row>
    <row r="521" spans="1:12" x14ac:dyDescent="0.25">
      <c r="A521">
        <v>152655443</v>
      </c>
      <c r="B521" s="1">
        <v>44880</v>
      </c>
      <c r="C521" s="1">
        <v>44950</v>
      </c>
      <c r="D521" t="s">
        <v>7</v>
      </c>
      <c r="E521">
        <v>39</v>
      </c>
      <c r="F521" t="s">
        <v>6</v>
      </c>
      <c r="G521" s="8">
        <f t="shared" si="45"/>
        <v>70</v>
      </c>
      <c r="H521">
        <f t="shared" si="46"/>
        <v>3</v>
      </c>
      <c r="I521" t="str">
        <f t="shared" si="43"/>
        <v>Tuesday</v>
      </c>
      <c r="L521">
        <f t="shared" si="47"/>
        <v>0</v>
      </c>
    </row>
    <row r="522" spans="1:12" x14ac:dyDescent="0.25">
      <c r="A522">
        <v>162443327</v>
      </c>
      <c r="B522" s="1">
        <v>44880</v>
      </c>
      <c r="C522" s="1">
        <v>44938</v>
      </c>
      <c r="D522" t="s">
        <v>7</v>
      </c>
      <c r="E522">
        <v>39</v>
      </c>
      <c r="F522" t="s">
        <v>6</v>
      </c>
      <c r="G522" s="8">
        <f t="shared" si="45"/>
        <v>58</v>
      </c>
      <c r="H522">
        <f t="shared" si="46"/>
        <v>3</v>
      </c>
      <c r="I522" t="str">
        <f t="shared" si="43"/>
        <v>Tuesday</v>
      </c>
      <c r="L522">
        <f t="shared" si="47"/>
        <v>0</v>
      </c>
    </row>
    <row r="523" spans="1:12" x14ac:dyDescent="0.25">
      <c r="A523">
        <v>148348600</v>
      </c>
      <c r="B523" s="1">
        <v>44880</v>
      </c>
      <c r="C523" s="1">
        <v>44908</v>
      </c>
      <c r="D523" t="s">
        <v>7</v>
      </c>
      <c r="E523">
        <v>39</v>
      </c>
      <c r="F523" t="s">
        <v>6</v>
      </c>
      <c r="G523" s="8">
        <f t="shared" si="45"/>
        <v>28</v>
      </c>
      <c r="H523">
        <f t="shared" si="46"/>
        <v>3</v>
      </c>
      <c r="I523" t="str">
        <f t="shared" si="43"/>
        <v>Tuesday</v>
      </c>
      <c r="L523">
        <f t="shared" si="47"/>
        <v>0</v>
      </c>
    </row>
    <row r="524" spans="1:12" x14ac:dyDescent="0.25">
      <c r="A524">
        <v>162992590</v>
      </c>
      <c r="B524" s="1">
        <v>44881</v>
      </c>
      <c r="C524" s="1">
        <f ca="1">TODAY()</f>
        <v>45938</v>
      </c>
      <c r="D524" t="s">
        <v>7</v>
      </c>
      <c r="E524">
        <v>39</v>
      </c>
      <c r="F524" t="s">
        <v>6</v>
      </c>
      <c r="G524" s="8">
        <f t="shared" ca="1" si="45"/>
        <v>1057</v>
      </c>
      <c r="H524">
        <f t="shared" si="46"/>
        <v>4</v>
      </c>
      <c r="I524" t="str">
        <f t="shared" si="43"/>
        <v>Wednesday</v>
      </c>
      <c r="L524">
        <f t="shared" ca="1" si="47"/>
        <v>0</v>
      </c>
    </row>
    <row r="525" spans="1:12" x14ac:dyDescent="0.25">
      <c r="A525">
        <v>156633222</v>
      </c>
      <c r="B525" s="1">
        <v>44881</v>
      </c>
      <c r="C525" s="1">
        <v>44881</v>
      </c>
      <c r="D525" t="s">
        <v>8</v>
      </c>
      <c r="E525">
        <v>39</v>
      </c>
      <c r="F525" t="s">
        <v>6</v>
      </c>
      <c r="G525" s="8">
        <f t="shared" si="45"/>
        <v>0</v>
      </c>
      <c r="H525">
        <f t="shared" si="46"/>
        <v>4</v>
      </c>
      <c r="I525" t="str">
        <f t="shared" si="43"/>
        <v>Wednesday</v>
      </c>
      <c r="L525">
        <f t="shared" si="47"/>
        <v>1</v>
      </c>
    </row>
    <row r="526" spans="1:12" x14ac:dyDescent="0.25">
      <c r="A526">
        <v>133595094</v>
      </c>
      <c r="B526" s="1">
        <v>44881</v>
      </c>
      <c r="C526" s="1">
        <v>44988</v>
      </c>
      <c r="D526" t="s">
        <v>7</v>
      </c>
      <c r="E526">
        <v>39</v>
      </c>
      <c r="F526" t="s">
        <v>6</v>
      </c>
      <c r="G526" s="8">
        <f t="shared" si="45"/>
        <v>107</v>
      </c>
      <c r="H526">
        <f t="shared" si="46"/>
        <v>4</v>
      </c>
      <c r="I526" t="str">
        <f t="shared" si="43"/>
        <v>Wednesday</v>
      </c>
      <c r="L526">
        <f t="shared" si="47"/>
        <v>0</v>
      </c>
    </row>
    <row r="527" spans="1:12" x14ac:dyDescent="0.25">
      <c r="A527">
        <v>147770763</v>
      </c>
      <c r="B527" s="1">
        <v>44881</v>
      </c>
      <c r="C527" s="1">
        <v>44988</v>
      </c>
      <c r="D527" t="s">
        <v>7</v>
      </c>
      <c r="E527">
        <v>39</v>
      </c>
      <c r="F527" t="s">
        <v>6</v>
      </c>
      <c r="G527" s="8">
        <f t="shared" si="45"/>
        <v>107</v>
      </c>
      <c r="H527">
        <f t="shared" si="46"/>
        <v>4</v>
      </c>
      <c r="I527" t="str">
        <f t="shared" si="43"/>
        <v>Wednesday</v>
      </c>
      <c r="L527">
        <f t="shared" si="47"/>
        <v>0</v>
      </c>
    </row>
    <row r="528" spans="1:12" x14ac:dyDescent="0.25">
      <c r="A528">
        <v>155370139</v>
      </c>
      <c r="B528" s="1">
        <v>44881</v>
      </c>
      <c r="C528" s="1">
        <v>45008</v>
      </c>
      <c r="D528" t="s">
        <v>7</v>
      </c>
      <c r="E528">
        <v>39</v>
      </c>
      <c r="F528" t="s">
        <v>6</v>
      </c>
      <c r="G528" s="8">
        <f t="shared" si="45"/>
        <v>127</v>
      </c>
      <c r="H528">
        <f t="shared" si="46"/>
        <v>4</v>
      </c>
      <c r="I528" t="str">
        <f t="shared" si="43"/>
        <v>Wednesday</v>
      </c>
      <c r="L528">
        <f t="shared" si="47"/>
        <v>0</v>
      </c>
    </row>
    <row r="529" spans="1:12" x14ac:dyDescent="0.25">
      <c r="A529">
        <v>151890876</v>
      </c>
      <c r="B529" s="1">
        <v>44881</v>
      </c>
      <c r="C529" s="1">
        <v>44980</v>
      </c>
      <c r="D529" t="s">
        <v>7</v>
      </c>
      <c r="E529">
        <v>39</v>
      </c>
      <c r="F529" t="s">
        <v>6</v>
      </c>
      <c r="G529" s="8">
        <f t="shared" si="45"/>
        <v>99</v>
      </c>
      <c r="H529">
        <f t="shared" si="46"/>
        <v>4</v>
      </c>
      <c r="I529" t="str">
        <f t="shared" si="43"/>
        <v>Wednesday</v>
      </c>
      <c r="L529">
        <f t="shared" si="47"/>
        <v>0</v>
      </c>
    </row>
    <row r="530" spans="1:12" x14ac:dyDescent="0.25">
      <c r="A530">
        <v>162920304</v>
      </c>
      <c r="B530" s="1">
        <v>44881</v>
      </c>
      <c r="C530" s="1">
        <v>44941</v>
      </c>
      <c r="D530" t="s">
        <v>7</v>
      </c>
      <c r="E530">
        <v>39</v>
      </c>
      <c r="F530" t="s">
        <v>6</v>
      </c>
      <c r="G530" s="8">
        <f t="shared" si="45"/>
        <v>60</v>
      </c>
      <c r="H530">
        <f t="shared" si="46"/>
        <v>4</v>
      </c>
      <c r="I530" t="str">
        <f t="shared" si="43"/>
        <v>Wednesday</v>
      </c>
      <c r="L530">
        <f t="shared" si="47"/>
        <v>0</v>
      </c>
    </row>
    <row r="531" spans="1:12" x14ac:dyDescent="0.25">
      <c r="A531">
        <v>148838269</v>
      </c>
      <c r="B531" s="1">
        <v>44881</v>
      </c>
      <c r="C531" s="1">
        <v>44881</v>
      </c>
      <c r="D531" t="s">
        <v>7</v>
      </c>
      <c r="E531">
        <v>39</v>
      </c>
      <c r="F531" t="s">
        <v>6</v>
      </c>
      <c r="G531" s="8">
        <f t="shared" si="45"/>
        <v>0</v>
      </c>
      <c r="H531">
        <f t="shared" si="46"/>
        <v>4</v>
      </c>
      <c r="I531" t="str">
        <f t="shared" si="43"/>
        <v>Wednesday</v>
      </c>
      <c r="L531">
        <f t="shared" si="47"/>
        <v>1</v>
      </c>
    </row>
    <row r="532" spans="1:12" x14ac:dyDescent="0.25">
      <c r="A532">
        <v>162913792</v>
      </c>
      <c r="B532" s="1">
        <v>44881</v>
      </c>
      <c r="C532" s="1">
        <v>45161</v>
      </c>
      <c r="D532" t="s">
        <v>7</v>
      </c>
      <c r="E532">
        <v>39</v>
      </c>
      <c r="F532" t="s">
        <v>6</v>
      </c>
      <c r="G532" s="8">
        <f t="shared" si="45"/>
        <v>280</v>
      </c>
      <c r="H532">
        <f t="shared" si="46"/>
        <v>4</v>
      </c>
      <c r="I532" t="str">
        <f t="shared" si="43"/>
        <v>Wednesday</v>
      </c>
      <c r="L532">
        <f t="shared" si="47"/>
        <v>0</v>
      </c>
    </row>
    <row r="533" spans="1:12" x14ac:dyDescent="0.25">
      <c r="A533">
        <v>152316740</v>
      </c>
      <c r="B533" s="1">
        <v>44882</v>
      </c>
      <c r="C533" s="1">
        <f ca="1">TODAY()</f>
        <v>45938</v>
      </c>
      <c r="D533" t="s">
        <v>7</v>
      </c>
      <c r="E533">
        <v>39</v>
      </c>
      <c r="F533" t="s">
        <v>6</v>
      </c>
      <c r="G533" s="8">
        <f t="shared" ca="1" si="45"/>
        <v>1056</v>
      </c>
      <c r="H533">
        <f t="shared" si="46"/>
        <v>5</v>
      </c>
      <c r="I533" t="str">
        <f t="shared" si="43"/>
        <v>Thursday</v>
      </c>
      <c r="L533">
        <f t="shared" ca="1" si="47"/>
        <v>0</v>
      </c>
    </row>
    <row r="534" spans="1:12" x14ac:dyDescent="0.25">
      <c r="A534">
        <v>135480868</v>
      </c>
      <c r="B534" s="1">
        <v>44882</v>
      </c>
      <c r="C534" s="1">
        <v>44952</v>
      </c>
      <c r="D534" t="s">
        <v>7</v>
      </c>
      <c r="E534">
        <v>39</v>
      </c>
      <c r="F534" t="s">
        <v>6</v>
      </c>
      <c r="G534" s="8">
        <f t="shared" si="45"/>
        <v>70</v>
      </c>
      <c r="H534">
        <f t="shared" si="46"/>
        <v>5</v>
      </c>
      <c r="I534" t="str">
        <f t="shared" si="43"/>
        <v>Thursday</v>
      </c>
      <c r="L534">
        <f t="shared" si="47"/>
        <v>0</v>
      </c>
    </row>
    <row r="535" spans="1:12" x14ac:dyDescent="0.25">
      <c r="A535">
        <v>136315690</v>
      </c>
      <c r="B535" s="1">
        <v>44882</v>
      </c>
      <c r="C535" s="1">
        <v>44981</v>
      </c>
      <c r="D535" t="s">
        <v>7</v>
      </c>
      <c r="E535">
        <v>39</v>
      </c>
      <c r="F535" t="s">
        <v>6</v>
      </c>
      <c r="G535" s="8">
        <f t="shared" si="45"/>
        <v>99</v>
      </c>
      <c r="H535">
        <f t="shared" si="46"/>
        <v>5</v>
      </c>
      <c r="I535" t="str">
        <f t="shared" si="43"/>
        <v>Thursday</v>
      </c>
      <c r="L535">
        <f t="shared" si="47"/>
        <v>0</v>
      </c>
    </row>
    <row r="536" spans="1:12" x14ac:dyDescent="0.25">
      <c r="A536">
        <v>163224262</v>
      </c>
      <c r="B536" s="1">
        <v>44882</v>
      </c>
      <c r="C536" s="1">
        <v>44969</v>
      </c>
      <c r="D536" t="s">
        <v>7</v>
      </c>
      <c r="E536">
        <v>39</v>
      </c>
      <c r="F536" t="s">
        <v>6</v>
      </c>
      <c r="G536" s="8">
        <f t="shared" si="45"/>
        <v>87</v>
      </c>
      <c r="H536">
        <f t="shared" si="46"/>
        <v>5</v>
      </c>
      <c r="I536" t="str">
        <f t="shared" si="43"/>
        <v>Thursday</v>
      </c>
      <c r="L536">
        <f t="shared" si="47"/>
        <v>0</v>
      </c>
    </row>
    <row r="537" spans="1:12" x14ac:dyDescent="0.25">
      <c r="A537">
        <v>163330072</v>
      </c>
      <c r="B537" s="1">
        <v>44882</v>
      </c>
      <c r="C537" s="1">
        <v>44950</v>
      </c>
      <c r="D537" t="s">
        <v>7</v>
      </c>
      <c r="E537">
        <v>39</v>
      </c>
      <c r="F537" t="s">
        <v>6</v>
      </c>
      <c r="G537" s="8">
        <f t="shared" si="45"/>
        <v>68</v>
      </c>
      <c r="H537">
        <f t="shared" si="46"/>
        <v>5</v>
      </c>
      <c r="I537" t="str">
        <f t="shared" si="43"/>
        <v>Thursday</v>
      </c>
      <c r="L537">
        <f t="shared" si="47"/>
        <v>0</v>
      </c>
    </row>
    <row r="538" spans="1:12" x14ac:dyDescent="0.25">
      <c r="A538">
        <v>134646164</v>
      </c>
      <c r="B538" s="1">
        <v>44882</v>
      </c>
      <c r="C538" s="1">
        <v>44919</v>
      </c>
      <c r="D538" t="s">
        <v>7</v>
      </c>
      <c r="E538">
        <v>39</v>
      </c>
      <c r="F538" t="s">
        <v>6</v>
      </c>
      <c r="G538" s="8">
        <f t="shared" si="45"/>
        <v>37</v>
      </c>
      <c r="H538">
        <f t="shared" si="46"/>
        <v>5</v>
      </c>
      <c r="I538" t="str">
        <f t="shared" si="43"/>
        <v>Thursday</v>
      </c>
      <c r="L538">
        <f t="shared" si="47"/>
        <v>0</v>
      </c>
    </row>
    <row r="539" spans="1:12" x14ac:dyDescent="0.25">
      <c r="A539">
        <v>163282336</v>
      </c>
      <c r="B539" s="1">
        <v>44882</v>
      </c>
      <c r="C539" s="1">
        <v>45148</v>
      </c>
      <c r="D539" t="s">
        <v>7</v>
      </c>
      <c r="E539">
        <v>39</v>
      </c>
      <c r="F539" t="s">
        <v>6</v>
      </c>
      <c r="G539" s="8">
        <f t="shared" si="45"/>
        <v>266</v>
      </c>
      <c r="H539">
        <f t="shared" si="46"/>
        <v>5</v>
      </c>
      <c r="I539" t="str">
        <f t="shared" si="43"/>
        <v>Thursday</v>
      </c>
      <c r="L539">
        <f t="shared" si="47"/>
        <v>0</v>
      </c>
    </row>
    <row r="540" spans="1:12" x14ac:dyDescent="0.25">
      <c r="A540">
        <v>162490128</v>
      </c>
      <c r="B540" s="1">
        <v>44883</v>
      </c>
      <c r="C540" s="1">
        <f ca="1">TODAY()</f>
        <v>45938</v>
      </c>
      <c r="D540" t="s">
        <v>7</v>
      </c>
      <c r="E540">
        <v>39</v>
      </c>
      <c r="F540" t="s">
        <v>6</v>
      </c>
      <c r="G540" s="8">
        <f t="shared" ca="1" si="45"/>
        <v>1055</v>
      </c>
      <c r="H540">
        <f t="shared" si="46"/>
        <v>6</v>
      </c>
      <c r="I540" t="str">
        <f t="shared" si="43"/>
        <v>Friday</v>
      </c>
      <c r="L540">
        <f t="shared" ca="1" si="47"/>
        <v>0</v>
      </c>
    </row>
    <row r="541" spans="1:12" x14ac:dyDescent="0.25">
      <c r="A541">
        <v>147122277</v>
      </c>
      <c r="B541" s="1">
        <v>44883</v>
      </c>
      <c r="C541" s="1">
        <v>44884</v>
      </c>
      <c r="D541" t="s">
        <v>8</v>
      </c>
      <c r="E541">
        <v>39</v>
      </c>
      <c r="F541" t="s">
        <v>6</v>
      </c>
      <c r="G541" s="8">
        <f t="shared" si="45"/>
        <v>1</v>
      </c>
      <c r="H541">
        <f t="shared" si="46"/>
        <v>6</v>
      </c>
      <c r="I541" t="str">
        <f t="shared" si="43"/>
        <v>Friday</v>
      </c>
      <c r="L541">
        <f t="shared" si="47"/>
        <v>1</v>
      </c>
    </row>
    <row r="542" spans="1:12" x14ac:dyDescent="0.25">
      <c r="A542">
        <v>163623375</v>
      </c>
      <c r="B542" s="1">
        <v>44883</v>
      </c>
      <c r="C542" s="1">
        <v>44884</v>
      </c>
      <c r="D542" t="s">
        <v>8</v>
      </c>
      <c r="E542">
        <v>39</v>
      </c>
      <c r="F542" t="s">
        <v>6</v>
      </c>
      <c r="G542" s="8">
        <f t="shared" si="45"/>
        <v>1</v>
      </c>
      <c r="H542">
        <f t="shared" si="46"/>
        <v>6</v>
      </c>
      <c r="I542" t="str">
        <f t="shared" si="43"/>
        <v>Friday</v>
      </c>
      <c r="L542">
        <f t="shared" si="47"/>
        <v>1</v>
      </c>
    </row>
    <row r="543" spans="1:12" x14ac:dyDescent="0.25">
      <c r="A543">
        <v>132918654</v>
      </c>
      <c r="B543" s="1">
        <v>44883</v>
      </c>
      <c r="C543" s="1">
        <v>44944</v>
      </c>
      <c r="D543" t="s">
        <v>7</v>
      </c>
      <c r="E543">
        <v>39</v>
      </c>
      <c r="F543" t="s">
        <v>6</v>
      </c>
      <c r="G543" s="8">
        <f t="shared" si="45"/>
        <v>61</v>
      </c>
      <c r="H543">
        <f t="shared" si="46"/>
        <v>6</v>
      </c>
      <c r="I543" t="str">
        <f t="shared" si="43"/>
        <v>Friday</v>
      </c>
      <c r="L543">
        <f t="shared" si="47"/>
        <v>0</v>
      </c>
    </row>
    <row r="544" spans="1:12" x14ac:dyDescent="0.25">
      <c r="A544">
        <v>160601062</v>
      </c>
      <c r="B544" s="1">
        <v>44883</v>
      </c>
      <c r="C544" s="1">
        <v>44935</v>
      </c>
      <c r="D544" t="s">
        <v>7</v>
      </c>
      <c r="E544">
        <v>39</v>
      </c>
      <c r="F544" t="s">
        <v>6</v>
      </c>
      <c r="G544" s="8">
        <f t="shared" si="45"/>
        <v>52</v>
      </c>
      <c r="H544">
        <f t="shared" si="46"/>
        <v>6</v>
      </c>
      <c r="I544" t="str">
        <f t="shared" si="43"/>
        <v>Friday</v>
      </c>
      <c r="L544">
        <f t="shared" si="47"/>
        <v>0</v>
      </c>
    </row>
    <row r="545" spans="1:12" x14ac:dyDescent="0.25">
      <c r="A545">
        <v>144573808</v>
      </c>
      <c r="B545" s="1">
        <v>44883</v>
      </c>
      <c r="C545" s="1">
        <v>44944</v>
      </c>
      <c r="D545" t="s">
        <v>7</v>
      </c>
      <c r="E545">
        <v>39</v>
      </c>
      <c r="F545" t="s">
        <v>6</v>
      </c>
      <c r="G545" s="8">
        <f t="shared" si="45"/>
        <v>61</v>
      </c>
      <c r="H545">
        <f t="shared" si="46"/>
        <v>6</v>
      </c>
      <c r="I545" t="str">
        <f t="shared" si="43"/>
        <v>Friday</v>
      </c>
      <c r="L545">
        <f t="shared" si="47"/>
        <v>0</v>
      </c>
    </row>
    <row r="546" spans="1:12" x14ac:dyDescent="0.25">
      <c r="A546">
        <v>114435366</v>
      </c>
      <c r="B546" s="1">
        <v>44883</v>
      </c>
      <c r="C546" s="1">
        <v>44883</v>
      </c>
      <c r="D546" t="s">
        <v>7</v>
      </c>
      <c r="E546">
        <v>39</v>
      </c>
      <c r="F546" t="s">
        <v>6</v>
      </c>
      <c r="G546" s="8">
        <f t="shared" si="45"/>
        <v>0</v>
      </c>
      <c r="H546">
        <f t="shared" si="46"/>
        <v>6</v>
      </c>
      <c r="I546" t="str">
        <f t="shared" si="43"/>
        <v>Friday</v>
      </c>
      <c r="L546">
        <f t="shared" si="47"/>
        <v>1</v>
      </c>
    </row>
    <row r="547" spans="1:12" x14ac:dyDescent="0.25">
      <c r="A547">
        <v>163399934</v>
      </c>
      <c r="B547" s="1">
        <v>44883</v>
      </c>
      <c r="C547" s="1">
        <v>44883</v>
      </c>
      <c r="D547" t="s">
        <v>7</v>
      </c>
      <c r="E547">
        <v>39</v>
      </c>
      <c r="F547" t="s">
        <v>6</v>
      </c>
      <c r="G547" s="8">
        <f t="shared" si="45"/>
        <v>0</v>
      </c>
      <c r="H547">
        <f t="shared" si="46"/>
        <v>6</v>
      </c>
      <c r="I547" t="str">
        <f t="shared" si="43"/>
        <v>Friday</v>
      </c>
      <c r="L547">
        <f t="shared" si="47"/>
        <v>1</v>
      </c>
    </row>
    <row r="548" spans="1:12" x14ac:dyDescent="0.25">
      <c r="A548">
        <v>133599090</v>
      </c>
      <c r="B548" s="1">
        <v>44884</v>
      </c>
      <c r="C548" s="1">
        <v>44996</v>
      </c>
      <c r="D548" t="s">
        <v>7</v>
      </c>
      <c r="E548">
        <v>39</v>
      </c>
      <c r="F548" t="s">
        <v>6</v>
      </c>
      <c r="G548" s="8">
        <f t="shared" si="45"/>
        <v>112</v>
      </c>
      <c r="H548">
        <f t="shared" si="46"/>
        <v>7</v>
      </c>
      <c r="I548" t="str">
        <f t="shared" si="43"/>
        <v>Saturday</v>
      </c>
      <c r="L548">
        <f t="shared" si="47"/>
        <v>0</v>
      </c>
    </row>
    <row r="549" spans="1:12" x14ac:dyDescent="0.25">
      <c r="A549">
        <v>154767246</v>
      </c>
      <c r="B549" s="1">
        <v>44884</v>
      </c>
      <c r="C549" s="1">
        <v>44915</v>
      </c>
      <c r="D549" t="s">
        <v>7</v>
      </c>
      <c r="E549">
        <v>39</v>
      </c>
      <c r="F549" t="s">
        <v>6</v>
      </c>
      <c r="G549" s="8">
        <f t="shared" si="45"/>
        <v>31</v>
      </c>
      <c r="H549">
        <f t="shared" si="46"/>
        <v>7</v>
      </c>
      <c r="I549" t="str">
        <f t="shared" si="43"/>
        <v>Saturday</v>
      </c>
      <c r="L549">
        <f t="shared" si="47"/>
        <v>0</v>
      </c>
    </row>
    <row r="550" spans="1:12" x14ac:dyDescent="0.25">
      <c r="A550">
        <v>164085988</v>
      </c>
      <c r="B550" s="1">
        <v>44884</v>
      </c>
      <c r="C550" s="1">
        <v>44915</v>
      </c>
      <c r="D550" t="s">
        <v>7</v>
      </c>
      <c r="E550">
        <v>39</v>
      </c>
      <c r="F550" t="s">
        <v>6</v>
      </c>
      <c r="G550" s="8">
        <f t="shared" si="45"/>
        <v>31</v>
      </c>
      <c r="H550">
        <f t="shared" si="46"/>
        <v>7</v>
      </c>
      <c r="I550" t="str">
        <f t="shared" si="43"/>
        <v>Saturday</v>
      </c>
      <c r="L550">
        <f t="shared" si="47"/>
        <v>0</v>
      </c>
    </row>
    <row r="551" spans="1:12" x14ac:dyDescent="0.25">
      <c r="A551">
        <v>164255751</v>
      </c>
      <c r="B551" s="1">
        <v>44885</v>
      </c>
      <c r="C551" s="1">
        <v>45159</v>
      </c>
      <c r="D551" t="s">
        <v>7</v>
      </c>
      <c r="E551">
        <v>39</v>
      </c>
      <c r="F551" t="s">
        <v>6</v>
      </c>
      <c r="G551" s="8">
        <f t="shared" si="45"/>
        <v>274</v>
      </c>
      <c r="H551">
        <f t="shared" si="46"/>
        <v>1</v>
      </c>
      <c r="I551" t="str">
        <f t="shared" si="43"/>
        <v>Sunday</v>
      </c>
      <c r="L551">
        <f t="shared" si="47"/>
        <v>0</v>
      </c>
    </row>
    <row r="552" spans="1:12" x14ac:dyDescent="0.25">
      <c r="A552">
        <v>150663530</v>
      </c>
      <c r="B552" s="1">
        <v>44885</v>
      </c>
      <c r="C552" s="1">
        <v>45043</v>
      </c>
      <c r="D552" t="s">
        <v>7</v>
      </c>
      <c r="E552">
        <v>39</v>
      </c>
      <c r="F552" t="s">
        <v>6</v>
      </c>
      <c r="G552" s="8">
        <f t="shared" si="45"/>
        <v>158</v>
      </c>
      <c r="H552">
        <f t="shared" si="46"/>
        <v>1</v>
      </c>
      <c r="I552" t="str">
        <f t="shared" si="43"/>
        <v>Sunday</v>
      </c>
      <c r="L552">
        <f t="shared" si="47"/>
        <v>0</v>
      </c>
    </row>
    <row r="553" spans="1:12" x14ac:dyDescent="0.25">
      <c r="A553">
        <v>155333508</v>
      </c>
      <c r="B553" s="1">
        <v>44885</v>
      </c>
      <c r="C553" s="1">
        <v>44945</v>
      </c>
      <c r="D553" t="s">
        <v>7</v>
      </c>
      <c r="E553">
        <v>39</v>
      </c>
      <c r="F553" t="s">
        <v>6</v>
      </c>
      <c r="G553" s="8">
        <f t="shared" si="45"/>
        <v>60</v>
      </c>
      <c r="H553">
        <f t="shared" si="46"/>
        <v>1</v>
      </c>
      <c r="I553" t="str">
        <f t="shared" si="43"/>
        <v>Sunday</v>
      </c>
      <c r="L553">
        <f t="shared" si="47"/>
        <v>0</v>
      </c>
    </row>
    <row r="554" spans="1:12" x14ac:dyDescent="0.25">
      <c r="A554">
        <v>163178244</v>
      </c>
      <c r="B554" s="1">
        <v>44886</v>
      </c>
      <c r="C554" s="1">
        <f ca="1">TODAY()</f>
        <v>45938</v>
      </c>
      <c r="D554" t="s">
        <v>8</v>
      </c>
      <c r="E554">
        <v>39</v>
      </c>
      <c r="F554" t="s">
        <v>6</v>
      </c>
      <c r="G554" s="8">
        <f t="shared" ca="1" si="45"/>
        <v>1052</v>
      </c>
      <c r="H554">
        <f t="shared" si="46"/>
        <v>2</v>
      </c>
      <c r="I554" t="str">
        <f t="shared" si="43"/>
        <v>Monday</v>
      </c>
      <c r="L554">
        <f t="shared" ca="1" si="47"/>
        <v>0</v>
      </c>
    </row>
    <row r="555" spans="1:12" x14ac:dyDescent="0.25">
      <c r="A555">
        <v>130245484</v>
      </c>
      <c r="B555" s="1">
        <v>44886</v>
      </c>
      <c r="C555" s="1">
        <v>44977</v>
      </c>
      <c r="D555" t="s">
        <v>7</v>
      </c>
      <c r="E555">
        <v>39</v>
      </c>
      <c r="F555" t="s">
        <v>6</v>
      </c>
      <c r="G555" s="8">
        <f t="shared" si="45"/>
        <v>91</v>
      </c>
      <c r="H555">
        <f t="shared" si="46"/>
        <v>2</v>
      </c>
      <c r="I555" t="str">
        <f t="shared" si="43"/>
        <v>Monday</v>
      </c>
      <c r="L555">
        <f t="shared" si="47"/>
        <v>0</v>
      </c>
    </row>
    <row r="556" spans="1:12" x14ac:dyDescent="0.25">
      <c r="A556">
        <v>164578320</v>
      </c>
      <c r="B556" s="1">
        <v>44886</v>
      </c>
      <c r="C556" s="1">
        <v>44916</v>
      </c>
      <c r="D556" t="s">
        <v>7</v>
      </c>
      <c r="E556">
        <v>39</v>
      </c>
      <c r="F556" t="s">
        <v>6</v>
      </c>
      <c r="G556" s="8">
        <f t="shared" si="45"/>
        <v>30</v>
      </c>
      <c r="H556">
        <f t="shared" si="46"/>
        <v>2</v>
      </c>
      <c r="I556" t="str">
        <f t="shared" si="43"/>
        <v>Monday</v>
      </c>
      <c r="L556">
        <f t="shared" si="47"/>
        <v>0</v>
      </c>
    </row>
    <row r="557" spans="1:12" x14ac:dyDescent="0.25">
      <c r="A557">
        <v>164542692</v>
      </c>
      <c r="B557" s="1">
        <v>44886</v>
      </c>
      <c r="C557" s="1">
        <v>44923</v>
      </c>
      <c r="D557" t="s">
        <v>7</v>
      </c>
      <c r="E557">
        <v>39</v>
      </c>
      <c r="F557" t="s">
        <v>6</v>
      </c>
      <c r="G557" s="8">
        <f t="shared" si="45"/>
        <v>37</v>
      </c>
      <c r="H557">
        <f t="shared" si="46"/>
        <v>2</v>
      </c>
      <c r="I557" t="str">
        <f t="shared" si="43"/>
        <v>Monday</v>
      </c>
      <c r="L557">
        <f t="shared" si="47"/>
        <v>0</v>
      </c>
    </row>
    <row r="558" spans="1:12" x14ac:dyDescent="0.25">
      <c r="A558">
        <v>164087136</v>
      </c>
      <c r="B558" s="1">
        <v>44887</v>
      </c>
      <c r="C558" s="1">
        <f ca="1">TODAY()</f>
        <v>45938</v>
      </c>
      <c r="D558" t="s">
        <v>7</v>
      </c>
      <c r="E558">
        <v>39</v>
      </c>
      <c r="F558" t="s">
        <v>6</v>
      </c>
      <c r="G558" s="8">
        <f t="shared" ca="1" si="45"/>
        <v>1051</v>
      </c>
      <c r="H558">
        <f t="shared" si="46"/>
        <v>3</v>
      </c>
      <c r="I558" t="str">
        <f t="shared" si="43"/>
        <v>Tuesday</v>
      </c>
      <c r="L558">
        <f t="shared" ca="1" si="47"/>
        <v>0</v>
      </c>
    </row>
    <row r="559" spans="1:12" x14ac:dyDescent="0.25">
      <c r="A559">
        <v>155414052</v>
      </c>
      <c r="B559" s="1">
        <v>44887</v>
      </c>
      <c r="C559" s="1">
        <v>44888</v>
      </c>
      <c r="D559" t="s">
        <v>8</v>
      </c>
      <c r="E559">
        <v>39</v>
      </c>
      <c r="F559" t="s">
        <v>6</v>
      </c>
      <c r="G559" s="8">
        <f t="shared" si="45"/>
        <v>1</v>
      </c>
      <c r="H559">
        <f t="shared" si="46"/>
        <v>3</v>
      </c>
      <c r="I559" t="str">
        <f t="shared" ref="I559:I577" si="49">TEXT(B559,"DDDD")</f>
        <v>Tuesday</v>
      </c>
      <c r="L559">
        <f t="shared" si="47"/>
        <v>1</v>
      </c>
    </row>
    <row r="560" spans="1:12" x14ac:dyDescent="0.25">
      <c r="A560">
        <v>152253972</v>
      </c>
      <c r="B560" s="1">
        <v>44887</v>
      </c>
      <c r="C560" s="1">
        <v>45014</v>
      </c>
      <c r="D560" t="s">
        <v>7</v>
      </c>
      <c r="E560">
        <v>39</v>
      </c>
      <c r="F560" t="s">
        <v>6</v>
      </c>
      <c r="G560" s="8">
        <f t="shared" si="45"/>
        <v>127</v>
      </c>
      <c r="H560">
        <f t="shared" si="46"/>
        <v>3</v>
      </c>
      <c r="I560" t="str">
        <f t="shared" si="49"/>
        <v>Tuesday</v>
      </c>
      <c r="L560">
        <f t="shared" si="47"/>
        <v>0</v>
      </c>
    </row>
    <row r="561" spans="1:12" x14ac:dyDescent="0.25">
      <c r="A561">
        <v>152754329</v>
      </c>
      <c r="B561" s="1">
        <v>44887</v>
      </c>
      <c r="C561" s="1">
        <v>44949</v>
      </c>
      <c r="D561" t="s">
        <v>7</v>
      </c>
      <c r="E561">
        <v>39</v>
      </c>
      <c r="F561" t="s">
        <v>6</v>
      </c>
      <c r="G561" s="8">
        <f t="shared" si="45"/>
        <v>62</v>
      </c>
      <c r="H561">
        <f t="shared" si="46"/>
        <v>3</v>
      </c>
      <c r="I561" t="str">
        <f t="shared" si="49"/>
        <v>Tuesday</v>
      </c>
      <c r="L561">
        <f t="shared" si="47"/>
        <v>0</v>
      </c>
    </row>
    <row r="562" spans="1:12" x14ac:dyDescent="0.25">
      <c r="A562">
        <v>159724071</v>
      </c>
      <c r="B562" s="1">
        <v>44888</v>
      </c>
      <c r="C562" s="1">
        <v>44945</v>
      </c>
      <c r="D562" t="s">
        <v>7</v>
      </c>
      <c r="E562">
        <v>39</v>
      </c>
      <c r="F562" t="s">
        <v>6</v>
      </c>
      <c r="G562" s="8">
        <f t="shared" si="45"/>
        <v>57</v>
      </c>
      <c r="H562">
        <f t="shared" si="46"/>
        <v>4</v>
      </c>
      <c r="I562" t="str">
        <f t="shared" si="49"/>
        <v>Wednesday</v>
      </c>
      <c r="L562">
        <f t="shared" si="47"/>
        <v>0</v>
      </c>
    </row>
    <row r="563" spans="1:12" x14ac:dyDescent="0.25">
      <c r="A563">
        <v>165164673</v>
      </c>
      <c r="B563" s="1">
        <v>44888</v>
      </c>
      <c r="C563" s="1">
        <v>44891</v>
      </c>
      <c r="D563" t="s">
        <v>7</v>
      </c>
      <c r="E563">
        <v>39</v>
      </c>
      <c r="F563" t="s">
        <v>6</v>
      </c>
      <c r="G563" s="8">
        <f t="shared" si="45"/>
        <v>3</v>
      </c>
      <c r="H563">
        <f t="shared" si="46"/>
        <v>4</v>
      </c>
      <c r="I563" t="str">
        <f t="shared" si="49"/>
        <v>Wednesday</v>
      </c>
      <c r="L563">
        <f t="shared" si="47"/>
        <v>0</v>
      </c>
    </row>
    <row r="564" spans="1:12" x14ac:dyDescent="0.25">
      <c r="A564">
        <v>165529460</v>
      </c>
      <c r="B564" s="1">
        <v>44889</v>
      </c>
      <c r="C564" s="1">
        <v>45037</v>
      </c>
      <c r="D564" t="s">
        <v>7</v>
      </c>
      <c r="E564">
        <v>39</v>
      </c>
      <c r="F564" t="s">
        <v>6</v>
      </c>
      <c r="G564" s="8">
        <f t="shared" si="45"/>
        <v>148</v>
      </c>
      <c r="H564">
        <f t="shared" si="46"/>
        <v>5</v>
      </c>
      <c r="I564" t="str">
        <f t="shared" si="49"/>
        <v>Thursday</v>
      </c>
      <c r="L564">
        <f t="shared" si="47"/>
        <v>0</v>
      </c>
    </row>
    <row r="565" spans="1:12" x14ac:dyDescent="0.25">
      <c r="A565">
        <v>163362190</v>
      </c>
      <c r="B565" s="1">
        <v>44890</v>
      </c>
      <c r="C565" s="1">
        <f ca="1">TODAY()</f>
        <v>45938</v>
      </c>
      <c r="D565" t="s">
        <v>7</v>
      </c>
      <c r="E565">
        <v>39</v>
      </c>
      <c r="F565" t="s">
        <v>6</v>
      </c>
      <c r="G565" s="8">
        <f t="shared" ca="1" si="45"/>
        <v>1048</v>
      </c>
      <c r="H565">
        <f t="shared" si="46"/>
        <v>6</v>
      </c>
      <c r="I565" t="str">
        <f t="shared" si="49"/>
        <v>Friday</v>
      </c>
      <c r="L565">
        <f t="shared" ca="1" si="47"/>
        <v>0</v>
      </c>
    </row>
    <row r="566" spans="1:12" x14ac:dyDescent="0.25">
      <c r="A566">
        <v>155810350</v>
      </c>
      <c r="B566" s="1">
        <v>44890</v>
      </c>
      <c r="C566" s="1">
        <v>44917</v>
      </c>
      <c r="D566" t="s">
        <v>7</v>
      </c>
      <c r="E566">
        <v>39</v>
      </c>
      <c r="F566" t="s">
        <v>6</v>
      </c>
      <c r="G566" s="8">
        <f t="shared" si="45"/>
        <v>27</v>
      </c>
      <c r="H566">
        <f t="shared" si="46"/>
        <v>6</v>
      </c>
      <c r="I566" t="str">
        <f t="shared" si="49"/>
        <v>Friday</v>
      </c>
      <c r="L566">
        <f t="shared" si="47"/>
        <v>0</v>
      </c>
    </row>
    <row r="567" spans="1:12" x14ac:dyDescent="0.25">
      <c r="A567">
        <v>161793136</v>
      </c>
      <c r="B567" s="1">
        <v>44890</v>
      </c>
      <c r="C567" s="1">
        <v>45090</v>
      </c>
      <c r="D567" t="s">
        <v>7</v>
      </c>
      <c r="E567">
        <v>39</v>
      </c>
      <c r="F567" t="s">
        <v>6</v>
      </c>
      <c r="G567" s="8">
        <f t="shared" si="45"/>
        <v>200</v>
      </c>
      <c r="H567">
        <f t="shared" si="46"/>
        <v>6</v>
      </c>
      <c r="I567" t="str">
        <f t="shared" si="49"/>
        <v>Friday</v>
      </c>
      <c r="L567">
        <f t="shared" si="47"/>
        <v>0</v>
      </c>
    </row>
    <row r="568" spans="1:12" x14ac:dyDescent="0.25">
      <c r="A568">
        <v>159255776</v>
      </c>
      <c r="B568" s="1">
        <v>44890</v>
      </c>
      <c r="C568" s="1">
        <v>45006</v>
      </c>
      <c r="D568" t="s">
        <v>7</v>
      </c>
      <c r="E568">
        <v>39</v>
      </c>
      <c r="F568" t="s">
        <v>6</v>
      </c>
      <c r="G568" s="8">
        <f t="shared" si="45"/>
        <v>116</v>
      </c>
      <c r="H568">
        <f t="shared" si="46"/>
        <v>6</v>
      </c>
      <c r="I568" t="str">
        <f t="shared" si="49"/>
        <v>Friday</v>
      </c>
      <c r="L568">
        <f t="shared" si="47"/>
        <v>0</v>
      </c>
    </row>
    <row r="569" spans="1:12" x14ac:dyDescent="0.25">
      <c r="A569">
        <v>165807144</v>
      </c>
      <c r="B569" s="1">
        <v>44890</v>
      </c>
      <c r="C569" s="1">
        <v>44958</v>
      </c>
      <c r="D569" t="s">
        <v>7</v>
      </c>
      <c r="E569">
        <v>39</v>
      </c>
      <c r="F569" t="s">
        <v>6</v>
      </c>
      <c r="G569" s="8">
        <f t="shared" si="45"/>
        <v>68</v>
      </c>
      <c r="H569">
        <f t="shared" si="46"/>
        <v>6</v>
      </c>
      <c r="I569" t="str">
        <f t="shared" si="49"/>
        <v>Friday</v>
      </c>
      <c r="L569">
        <f t="shared" si="47"/>
        <v>0</v>
      </c>
    </row>
    <row r="570" spans="1:12" x14ac:dyDescent="0.25">
      <c r="A570">
        <v>165788743</v>
      </c>
      <c r="B570" s="1">
        <v>44890</v>
      </c>
      <c r="C570" s="1">
        <v>44975</v>
      </c>
      <c r="D570" t="s">
        <v>7</v>
      </c>
      <c r="E570">
        <v>39</v>
      </c>
      <c r="F570" t="s">
        <v>6</v>
      </c>
      <c r="G570" s="8">
        <f t="shared" si="45"/>
        <v>85</v>
      </c>
      <c r="H570">
        <f t="shared" si="46"/>
        <v>6</v>
      </c>
      <c r="I570" t="str">
        <f t="shared" si="49"/>
        <v>Friday</v>
      </c>
      <c r="L570">
        <f t="shared" si="47"/>
        <v>0</v>
      </c>
    </row>
    <row r="571" spans="1:12" x14ac:dyDescent="0.25">
      <c r="A571">
        <v>162513776</v>
      </c>
      <c r="B571" s="1">
        <v>44890</v>
      </c>
      <c r="C571" s="1">
        <v>44956</v>
      </c>
      <c r="D571" t="s">
        <v>7</v>
      </c>
      <c r="E571">
        <v>39</v>
      </c>
      <c r="F571" t="s">
        <v>6</v>
      </c>
      <c r="G571" s="8">
        <f t="shared" si="45"/>
        <v>66</v>
      </c>
      <c r="H571">
        <f t="shared" si="46"/>
        <v>6</v>
      </c>
      <c r="I571" t="str">
        <f t="shared" si="49"/>
        <v>Friday</v>
      </c>
      <c r="L571">
        <f t="shared" si="47"/>
        <v>0</v>
      </c>
    </row>
    <row r="572" spans="1:12" x14ac:dyDescent="0.25">
      <c r="A572">
        <v>161841028</v>
      </c>
      <c r="B572" s="1">
        <v>44890</v>
      </c>
      <c r="C572" s="1">
        <v>44951</v>
      </c>
      <c r="D572" t="s">
        <v>7</v>
      </c>
      <c r="E572">
        <v>39</v>
      </c>
      <c r="F572" t="s">
        <v>6</v>
      </c>
      <c r="G572" s="8">
        <f t="shared" si="45"/>
        <v>61</v>
      </c>
      <c r="H572">
        <f t="shared" si="46"/>
        <v>6</v>
      </c>
      <c r="I572" t="str">
        <f t="shared" si="49"/>
        <v>Friday</v>
      </c>
      <c r="L572">
        <f t="shared" si="47"/>
        <v>0</v>
      </c>
    </row>
    <row r="573" spans="1:12" x14ac:dyDescent="0.25">
      <c r="A573">
        <v>160597612</v>
      </c>
      <c r="B573" s="1">
        <v>44890</v>
      </c>
      <c r="C573" s="1">
        <v>44906</v>
      </c>
      <c r="D573" t="s">
        <v>7</v>
      </c>
      <c r="E573">
        <v>39</v>
      </c>
      <c r="F573" t="s">
        <v>6</v>
      </c>
      <c r="G573" s="8">
        <f t="shared" si="45"/>
        <v>16</v>
      </c>
      <c r="H573">
        <f t="shared" si="46"/>
        <v>6</v>
      </c>
      <c r="I573" t="str">
        <f t="shared" si="49"/>
        <v>Friday</v>
      </c>
      <c r="L573">
        <f t="shared" si="47"/>
        <v>0</v>
      </c>
    </row>
    <row r="574" spans="1:12" x14ac:dyDescent="0.25">
      <c r="A574">
        <v>165937140</v>
      </c>
      <c r="B574" s="1">
        <v>44891</v>
      </c>
      <c r="C574" s="1">
        <v>44892</v>
      </c>
      <c r="D574" t="s">
        <v>8</v>
      </c>
      <c r="E574">
        <v>39</v>
      </c>
      <c r="F574" t="s">
        <v>6</v>
      </c>
      <c r="G574" s="8">
        <f t="shared" si="45"/>
        <v>1</v>
      </c>
      <c r="H574">
        <f t="shared" si="46"/>
        <v>7</v>
      </c>
      <c r="I574" t="str">
        <f t="shared" si="49"/>
        <v>Saturday</v>
      </c>
      <c r="L574">
        <f t="shared" si="47"/>
        <v>1</v>
      </c>
    </row>
    <row r="575" spans="1:12" x14ac:dyDescent="0.25">
      <c r="A575">
        <v>165613975</v>
      </c>
      <c r="B575" s="1">
        <v>44891</v>
      </c>
      <c r="C575" s="1">
        <v>45053</v>
      </c>
      <c r="D575" t="s">
        <v>7</v>
      </c>
      <c r="E575">
        <v>39</v>
      </c>
      <c r="F575" t="s">
        <v>6</v>
      </c>
      <c r="G575" s="8">
        <f t="shared" si="45"/>
        <v>162</v>
      </c>
      <c r="H575">
        <f t="shared" si="46"/>
        <v>7</v>
      </c>
      <c r="I575" t="str">
        <f t="shared" si="49"/>
        <v>Saturday</v>
      </c>
      <c r="L575">
        <f t="shared" si="47"/>
        <v>0</v>
      </c>
    </row>
    <row r="576" spans="1:12" x14ac:dyDescent="0.25">
      <c r="A576">
        <v>164662173</v>
      </c>
      <c r="B576" s="1">
        <v>44891</v>
      </c>
      <c r="C576" s="1">
        <v>44952</v>
      </c>
      <c r="D576" t="s">
        <v>7</v>
      </c>
      <c r="E576">
        <v>39</v>
      </c>
      <c r="F576" t="s">
        <v>6</v>
      </c>
      <c r="G576" s="8">
        <f t="shared" si="45"/>
        <v>61</v>
      </c>
      <c r="H576">
        <f t="shared" si="46"/>
        <v>7</v>
      </c>
      <c r="I576" t="str">
        <f t="shared" si="49"/>
        <v>Saturday</v>
      </c>
      <c r="L576">
        <f t="shared" si="47"/>
        <v>0</v>
      </c>
    </row>
    <row r="577" spans="1:12" x14ac:dyDescent="0.25">
      <c r="A577">
        <v>162411394</v>
      </c>
      <c r="B577" s="1">
        <v>44891</v>
      </c>
      <c r="C577" s="1">
        <v>44930</v>
      </c>
      <c r="D577" t="s">
        <v>7</v>
      </c>
      <c r="E577">
        <v>39</v>
      </c>
      <c r="F577" t="s">
        <v>6</v>
      </c>
      <c r="G577" s="8">
        <f t="shared" si="45"/>
        <v>39</v>
      </c>
      <c r="H577">
        <f t="shared" si="46"/>
        <v>7</v>
      </c>
      <c r="I577" t="str">
        <f t="shared" si="49"/>
        <v>Saturday</v>
      </c>
      <c r="L577">
        <f t="shared" si="47"/>
        <v>0</v>
      </c>
    </row>
    <row r="578" spans="1:12" x14ac:dyDescent="0.25">
      <c r="A578">
        <v>121439836</v>
      </c>
      <c r="B578" s="1">
        <v>44892</v>
      </c>
      <c r="C578" s="1">
        <f ca="1">TODAY()</f>
        <v>45938</v>
      </c>
      <c r="D578" t="s">
        <v>7</v>
      </c>
      <c r="E578">
        <v>39</v>
      </c>
      <c r="F578" t="s">
        <v>6</v>
      </c>
      <c r="G578" s="8">
        <f t="shared" ca="1" si="45"/>
        <v>1046</v>
      </c>
      <c r="H578">
        <f t="shared" si="46"/>
        <v>1</v>
      </c>
      <c r="I578" t="str">
        <f t="shared" ref="I578:I641" si="50">TEXT(B578,"DDDD")</f>
        <v>Sunday</v>
      </c>
      <c r="L578">
        <f t="shared" ca="1" si="47"/>
        <v>0</v>
      </c>
    </row>
    <row r="579" spans="1:12" x14ac:dyDescent="0.25">
      <c r="A579">
        <v>157353623</v>
      </c>
      <c r="B579" s="1">
        <v>44892</v>
      </c>
      <c r="C579" s="1">
        <v>44892</v>
      </c>
      <c r="D579" t="s">
        <v>8</v>
      </c>
      <c r="E579">
        <v>39</v>
      </c>
      <c r="F579" t="s">
        <v>6</v>
      </c>
      <c r="G579" s="8">
        <f t="shared" ref="G579:G642" si="51">IFERROR(DATEDIF(B579,C579,"D"),"0")</f>
        <v>0</v>
      </c>
      <c r="H579">
        <f t="shared" ref="H579:H642" si="52">WEEKDAY(B579,1)</f>
        <v>1</v>
      </c>
      <c r="I579" t="str">
        <f t="shared" si="50"/>
        <v>Sunday</v>
      </c>
      <c r="L579">
        <f t="shared" ref="L579:L642" si="53">IF( OR($G579=0,$G579 = 1, $G579 = 2), 1, 0 )</f>
        <v>1</v>
      </c>
    </row>
    <row r="580" spans="1:12" x14ac:dyDescent="0.25">
      <c r="A580">
        <v>165953219</v>
      </c>
      <c r="B580" s="1">
        <v>44892</v>
      </c>
      <c r="C580" s="1">
        <v>44929</v>
      </c>
      <c r="D580" t="s">
        <v>7</v>
      </c>
      <c r="E580">
        <v>39</v>
      </c>
      <c r="F580" t="s">
        <v>6</v>
      </c>
      <c r="G580" s="8">
        <f t="shared" si="51"/>
        <v>37</v>
      </c>
      <c r="H580">
        <f t="shared" si="52"/>
        <v>1</v>
      </c>
      <c r="I580" t="str">
        <f t="shared" si="50"/>
        <v>Sunday</v>
      </c>
      <c r="L580">
        <f t="shared" si="53"/>
        <v>0</v>
      </c>
    </row>
    <row r="581" spans="1:12" x14ac:dyDescent="0.25">
      <c r="A581">
        <v>154710805</v>
      </c>
      <c r="B581" s="1">
        <v>44893</v>
      </c>
      <c r="C581" s="1">
        <f t="shared" ref="C581:C582" ca="1" si="54">TODAY()</f>
        <v>45938</v>
      </c>
      <c r="D581" t="s">
        <v>7</v>
      </c>
      <c r="E581">
        <v>39</v>
      </c>
      <c r="F581" t="s">
        <v>6</v>
      </c>
      <c r="G581" s="8">
        <f t="shared" ca="1" si="51"/>
        <v>1045</v>
      </c>
      <c r="H581">
        <f t="shared" si="52"/>
        <v>2</v>
      </c>
      <c r="I581" t="str">
        <f t="shared" si="50"/>
        <v>Monday</v>
      </c>
      <c r="L581">
        <f t="shared" ca="1" si="53"/>
        <v>0</v>
      </c>
    </row>
    <row r="582" spans="1:12" x14ac:dyDescent="0.25">
      <c r="A582">
        <v>164084318</v>
      </c>
      <c r="B582" s="1">
        <v>44893</v>
      </c>
      <c r="C582" s="1">
        <f t="shared" ca="1" si="54"/>
        <v>45938</v>
      </c>
      <c r="D582" t="s">
        <v>7</v>
      </c>
      <c r="E582">
        <v>39</v>
      </c>
      <c r="F582" t="s">
        <v>6</v>
      </c>
      <c r="G582" s="8">
        <f t="shared" ca="1" si="51"/>
        <v>1045</v>
      </c>
      <c r="H582">
        <f t="shared" si="52"/>
        <v>2</v>
      </c>
      <c r="I582" t="str">
        <f t="shared" si="50"/>
        <v>Monday</v>
      </c>
      <c r="L582">
        <f t="shared" ca="1" si="53"/>
        <v>0</v>
      </c>
    </row>
    <row r="583" spans="1:12" x14ac:dyDescent="0.25">
      <c r="A583">
        <v>160043327</v>
      </c>
      <c r="B583" s="1">
        <v>44893</v>
      </c>
      <c r="C583" s="1">
        <v>44894</v>
      </c>
      <c r="D583" t="s">
        <v>8</v>
      </c>
      <c r="E583">
        <v>39</v>
      </c>
      <c r="F583" t="s">
        <v>6</v>
      </c>
      <c r="G583" s="8">
        <f t="shared" si="51"/>
        <v>1</v>
      </c>
      <c r="H583">
        <f t="shared" si="52"/>
        <v>2</v>
      </c>
      <c r="I583" t="str">
        <f t="shared" si="50"/>
        <v>Monday</v>
      </c>
      <c r="L583">
        <f t="shared" si="53"/>
        <v>1</v>
      </c>
    </row>
    <row r="584" spans="1:12" x14ac:dyDescent="0.25">
      <c r="A584">
        <v>131166579</v>
      </c>
      <c r="B584" s="1">
        <v>44893</v>
      </c>
      <c r="C584" s="1">
        <v>44930</v>
      </c>
      <c r="D584" t="s">
        <v>7</v>
      </c>
      <c r="E584">
        <v>39</v>
      </c>
      <c r="F584" t="s">
        <v>6</v>
      </c>
      <c r="G584" s="8">
        <f t="shared" si="51"/>
        <v>37</v>
      </c>
      <c r="H584">
        <f t="shared" si="52"/>
        <v>2</v>
      </c>
      <c r="I584" t="str">
        <f t="shared" si="50"/>
        <v>Monday</v>
      </c>
      <c r="L584">
        <f t="shared" si="53"/>
        <v>0</v>
      </c>
    </row>
    <row r="585" spans="1:12" x14ac:dyDescent="0.25">
      <c r="A585">
        <v>166109726</v>
      </c>
      <c r="B585" s="1">
        <v>44893</v>
      </c>
      <c r="C585" s="1">
        <v>44938</v>
      </c>
      <c r="D585" t="s">
        <v>7</v>
      </c>
      <c r="E585">
        <v>39</v>
      </c>
      <c r="F585" t="s">
        <v>6</v>
      </c>
      <c r="G585" s="8">
        <f t="shared" si="51"/>
        <v>45</v>
      </c>
      <c r="H585">
        <f t="shared" si="52"/>
        <v>2</v>
      </c>
      <c r="I585" t="str">
        <f t="shared" si="50"/>
        <v>Monday</v>
      </c>
      <c r="L585">
        <f t="shared" si="53"/>
        <v>0</v>
      </c>
    </row>
    <row r="586" spans="1:12" x14ac:dyDescent="0.25">
      <c r="A586">
        <v>155446081</v>
      </c>
      <c r="B586" s="1">
        <v>44893</v>
      </c>
      <c r="C586" s="1">
        <v>44927</v>
      </c>
      <c r="D586" t="s">
        <v>7</v>
      </c>
      <c r="E586">
        <v>39</v>
      </c>
      <c r="F586" t="s">
        <v>6</v>
      </c>
      <c r="G586" s="8">
        <f t="shared" si="51"/>
        <v>34</v>
      </c>
      <c r="H586">
        <f t="shared" si="52"/>
        <v>2</v>
      </c>
      <c r="I586" t="str">
        <f t="shared" si="50"/>
        <v>Monday</v>
      </c>
      <c r="L586">
        <f t="shared" si="53"/>
        <v>0</v>
      </c>
    </row>
    <row r="587" spans="1:12" x14ac:dyDescent="0.25">
      <c r="A587">
        <v>166342075</v>
      </c>
      <c r="B587" s="1">
        <v>44893</v>
      </c>
      <c r="C587" s="1">
        <v>44923</v>
      </c>
      <c r="D587" t="s">
        <v>7</v>
      </c>
      <c r="E587">
        <v>39</v>
      </c>
      <c r="F587" t="s">
        <v>6</v>
      </c>
      <c r="G587" s="8">
        <f t="shared" si="51"/>
        <v>30</v>
      </c>
      <c r="H587">
        <f t="shared" si="52"/>
        <v>2</v>
      </c>
      <c r="I587" t="str">
        <f t="shared" si="50"/>
        <v>Monday</v>
      </c>
      <c r="L587">
        <f t="shared" si="53"/>
        <v>0</v>
      </c>
    </row>
    <row r="588" spans="1:12" x14ac:dyDescent="0.25">
      <c r="A588">
        <v>154063985</v>
      </c>
      <c r="B588" s="1">
        <v>44893</v>
      </c>
      <c r="C588" s="1">
        <v>45142</v>
      </c>
      <c r="D588" t="s">
        <v>7</v>
      </c>
      <c r="E588">
        <v>39</v>
      </c>
      <c r="F588" t="s">
        <v>6</v>
      </c>
      <c r="G588" s="8">
        <f t="shared" si="51"/>
        <v>249</v>
      </c>
      <c r="H588">
        <f t="shared" si="52"/>
        <v>2</v>
      </c>
      <c r="I588" t="str">
        <f t="shared" si="50"/>
        <v>Monday</v>
      </c>
      <c r="L588">
        <f t="shared" si="53"/>
        <v>0</v>
      </c>
    </row>
    <row r="589" spans="1:12" x14ac:dyDescent="0.25">
      <c r="A589">
        <v>164141888</v>
      </c>
      <c r="B589" s="1">
        <v>44894</v>
      </c>
      <c r="C589" s="1">
        <f ca="1">TODAY()</f>
        <v>45938</v>
      </c>
      <c r="D589" t="s">
        <v>7</v>
      </c>
      <c r="E589">
        <v>39</v>
      </c>
      <c r="F589" t="s">
        <v>6</v>
      </c>
      <c r="G589" s="8">
        <f t="shared" ca="1" si="51"/>
        <v>1044</v>
      </c>
      <c r="H589">
        <f t="shared" si="52"/>
        <v>3</v>
      </c>
      <c r="I589" t="str">
        <f t="shared" si="50"/>
        <v>Tuesday</v>
      </c>
      <c r="L589">
        <f t="shared" ca="1" si="53"/>
        <v>0</v>
      </c>
    </row>
    <row r="590" spans="1:12" x14ac:dyDescent="0.25">
      <c r="A590">
        <v>165244044</v>
      </c>
      <c r="B590" s="1">
        <v>44894</v>
      </c>
      <c r="C590" s="1">
        <v>45061</v>
      </c>
      <c r="D590" t="s">
        <v>7</v>
      </c>
      <c r="E590">
        <v>39</v>
      </c>
      <c r="F590" t="s">
        <v>6</v>
      </c>
      <c r="G590" s="8">
        <f t="shared" si="51"/>
        <v>167</v>
      </c>
      <c r="H590">
        <f t="shared" si="52"/>
        <v>3</v>
      </c>
      <c r="I590" t="str">
        <f t="shared" si="50"/>
        <v>Tuesday</v>
      </c>
      <c r="L590">
        <f t="shared" si="53"/>
        <v>0</v>
      </c>
    </row>
    <row r="591" spans="1:12" x14ac:dyDescent="0.25">
      <c r="A591">
        <v>136149379</v>
      </c>
      <c r="B591" s="1">
        <v>44894</v>
      </c>
      <c r="C591" s="1">
        <v>45018</v>
      </c>
      <c r="D591" t="s">
        <v>7</v>
      </c>
      <c r="E591">
        <v>39</v>
      </c>
      <c r="F591" t="s">
        <v>6</v>
      </c>
      <c r="G591" s="8">
        <f t="shared" si="51"/>
        <v>124</v>
      </c>
      <c r="H591">
        <f t="shared" si="52"/>
        <v>3</v>
      </c>
      <c r="I591" t="str">
        <f t="shared" si="50"/>
        <v>Tuesday</v>
      </c>
      <c r="L591">
        <f t="shared" si="53"/>
        <v>0</v>
      </c>
    </row>
    <row r="592" spans="1:12" x14ac:dyDescent="0.25">
      <c r="A592">
        <v>158227426</v>
      </c>
      <c r="B592" s="1">
        <v>44894</v>
      </c>
      <c r="C592" s="1">
        <v>44986</v>
      </c>
      <c r="D592" t="s">
        <v>7</v>
      </c>
      <c r="E592">
        <v>39</v>
      </c>
      <c r="F592" t="s">
        <v>6</v>
      </c>
      <c r="G592" s="8">
        <f t="shared" si="51"/>
        <v>92</v>
      </c>
      <c r="H592">
        <f t="shared" si="52"/>
        <v>3</v>
      </c>
      <c r="I592" t="str">
        <f t="shared" si="50"/>
        <v>Tuesday</v>
      </c>
      <c r="L592">
        <f t="shared" si="53"/>
        <v>0</v>
      </c>
    </row>
    <row r="593" spans="1:12" x14ac:dyDescent="0.25">
      <c r="A593">
        <v>166366125</v>
      </c>
      <c r="B593" s="1">
        <v>44894</v>
      </c>
      <c r="C593" s="1">
        <v>44994</v>
      </c>
      <c r="D593" t="s">
        <v>7</v>
      </c>
      <c r="E593">
        <v>39</v>
      </c>
      <c r="F593" t="s">
        <v>6</v>
      </c>
      <c r="G593" s="8">
        <f t="shared" si="51"/>
        <v>100</v>
      </c>
      <c r="H593">
        <f t="shared" si="52"/>
        <v>3</v>
      </c>
      <c r="I593" t="str">
        <f t="shared" si="50"/>
        <v>Tuesday</v>
      </c>
      <c r="L593">
        <f t="shared" si="53"/>
        <v>0</v>
      </c>
    </row>
    <row r="594" spans="1:12" x14ac:dyDescent="0.25">
      <c r="A594">
        <v>166753946</v>
      </c>
      <c r="B594" s="1">
        <v>44894</v>
      </c>
      <c r="C594" s="1">
        <v>44962</v>
      </c>
      <c r="D594" t="s">
        <v>7</v>
      </c>
      <c r="E594">
        <v>39</v>
      </c>
      <c r="F594" t="s">
        <v>6</v>
      </c>
      <c r="G594" s="8">
        <f t="shared" si="51"/>
        <v>68</v>
      </c>
      <c r="H594">
        <f t="shared" si="52"/>
        <v>3</v>
      </c>
      <c r="I594" t="str">
        <f t="shared" si="50"/>
        <v>Tuesday</v>
      </c>
      <c r="L594">
        <f t="shared" si="53"/>
        <v>0</v>
      </c>
    </row>
    <row r="595" spans="1:12" x14ac:dyDescent="0.25">
      <c r="A595">
        <v>157883110</v>
      </c>
      <c r="B595" s="1">
        <v>44894</v>
      </c>
      <c r="C595" s="1">
        <v>44949</v>
      </c>
      <c r="D595" t="s">
        <v>7</v>
      </c>
      <c r="E595">
        <v>39</v>
      </c>
      <c r="F595" t="s">
        <v>6</v>
      </c>
      <c r="G595" s="8">
        <f t="shared" si="51"/>
        <v>55</v>
      </c>
      <c r="H595">
        <f t="shared" si="52"/>
        <v>3</v>
      </c>
      <c r="I595" t="str">
        <f t="shared" si="50"/>
        <v>Tuesday</v>
      </c>
      <c r="L595">
        <f t="shared" si="53"/>
        <v>0</v>
      </c>
    </row>
    <row r="596" spans="1:12" x14ac:dyDescent="0.25">
      <c r="A596">
        <v>138475621</v>
      </c>
      <c r="B596" s="1">
        <v>44894</v>
      </c>
      <c r="C596" s="1">
        <v>44910</v>
      </c>
      <c r="D596" t="s">
        <v>7</v>
      </c>
      <c r="E596">
        <v>39</v>
      </c>
      <c r="F596" t="s">
        <v>6</v>
      </c>
      <c r="G596" s="8">
        <f t="shared" si="51"/>
        <v>16</v>
      </c>
      <c r="H596">
        <f t="shared" si="52"/>
        <v>3</v>
      </c>
      <c r="I596" t="str">
        <f t="shared" si="50"/>
        <v>Tuesday</v>
      </c>
      <c r="L596">
        <f t="shared" si="53"/>
        <v>0</v>
      </c>
    </row>
    <row r="597" spans="1:12" x14ac:dyDescent="0.25">
      <c r="A597">
        <v>166529240</v>
      </c>
      <c r="B597" s="1">
        <v>44895</v>
      </c>
      <c r="C597" s="1">
        <f ca="1">TODAY()</f>
        <v>45938</v>
      </c>
      <c r="D597" t="s">
        <v>7</v>
      </c>
      <c r="E597">
        <v>39</v>
      </c>
      <c r="F597" t="s">
        <v>6</v>
      </c>
      <c r="G597" s="8">
        <f t="shared" ca="1" si="51"/>
        <v>1043</v>
      </c>
      <c r="H597">
        <f t="shared" si="52"/>
        <v>4</v>
      </c>
      <c r="I597" t="str">
        <f t="shared" si="50"/>
        <v>Wednesday</v>
      </c>
      <c r="L597">
        <f t="shared" ca="1" si="53"/>
        <v>0</v>
      </c>
    </row>
    <row r="598" spans="1:12" x14ac:dyDescent="0.25">
      <c r="A598">
        <v>125828506</v>
      </c>
      <c r="B598" s="1">
        <v>44895</v>
      </c>
      <c r="C598" s="1">
        <v>44971</v>
      </c>
      <c r="D598" t="s">
        <v>7</v>
      </c>
      <c r="E598">
        <v>39</v>
      </c>
      <c r="F598" t="s">
        <v>6</v>
      </c>
      <c r="G598" s="8">
        <f t="shared" si="51"/>
        <v>76</v>
      </c>
      <c r="H598">
        <f t="shared" si="52"/>
        <v>4</v>
      </c>
      <c r="I598" t="str">
        <f t="shared" si="50"/>
        <v>Wednesday</v>
      </c>
      <c r="L598">
        <f t="shared" si="53"/>
        <v>0</v>
      </c>
    </row>
    <row r="599" spans="1:12" x14ac:dyDescent="0.25">
      <c r="A599">
        <v>148869381</v>
      </c>
      <c r="B599" s="1">
        <v>44895</v>
      </c>
      <c r="C599" s="1">
        <v>44957</v>
      </c>
      <c r="D599" t="s">
        <v>7</v>
      </c>
      <c r="E599">
        <v>39</v>
      </c>
      <c r="F599" t="s">
        <v>6</v>
      </c>
      <c r="G599" s="8">
        <f t="shared" si="51"/>
        <v>62</v>
      </c>
      <c r="H599">
        <f t="shared" si="52"/>
        <v>4</v>
      </c>
      <c r="I599" t="str">
        <f t="shared" si="50"/>
        <v>Wednesday</v>
      </c>
      <c r="L599">
        <f t="shared" si="53"/>
        <v>0</v>
      </c>
    </row>
    <row r="600" spans="1:12" x14ac:dyDescent="0.25">
      <c r="A600">
        <v>134825962</v>
      </c>
      <c r="B600" s="1">
        <v>44895</v>
      </c>
      <c r="C600" s="1">
        <v>44927</v>
      </c>
      <c r="D600" t="s">
        <v>7</v>
      </c>
      <c r="E600">
        <v>39</v>
      </c>
      <c r="F600" t="s">
        <v>6</v>
      </c>
      <c r="G600" s="8">
        <f t="shared" si="51"/>
        <v>32</v>
      </c>
      <c r="H600">
        <f t="shared" si="52"/>
        <v>4</v>
      </c>
      <c r="I600" t="str">
        <f t="shared" si="50"/>
        <v>Wednesday</v>
      </c>
      <c r="L600">
        <f t="shared" si="53"/>
        <v>0</v>
      </c>
    </row>
    <row r="601" spans="1:12" x14ac:dyDescent="0.25">
      <c r="A601">
        <v>151163143</v>
      </c>
      <c r="B601" s="1">
        <v>44895</v>
      </c>
      <c r="C601" s="1">
        <v>44932</v>
      </c>
      <c r="D601" t="s">
        <v>7</v>
      </c>
      <c r="E601">
        <v>39</v>
      </c>
      <c r="F601" t="s">
        <v>6</v>
      </c>
      <c r="G601" s="8">
        <f t="shared" si="51"/>
        <v>37</v>
      </c>
      <c r="H601">
        <f t="shared" si="52"/>
        <v>4</v>
      </c>
      <c r="I601" t="str">
        <f t="shared" si="50"/>
        <v>Wednesday</v>
      </c>
      <c r="L601">
        <f t="shared" si="53"/>
        <v>0</v>
      </c>
    </row>
    <row r="602" spans="1:12" x14ac:dyDescent="0.25">
      <c r="A602">
        <v>156111982</v>
      </c>
      <c r="B602" s="1">
        <v>44895</v>
      </c>
      <c r="C602" s="1">
        <v>44918</v>
      </c>
      <c r="D602" t="s">
        <v>7</v>
      </c>
      <c r="E602">
        <v>39</v>
      </c>
      <c r="F602" t="s">
        <v>6</v>
      </c>
      <c r="G602" s="8">
        <f t="shared" si="51"/>
        <v>23</v>
      </c>
      <c r="H602">
        <f t="shared" si="52"/>
        <v>4</v>
      </c>
      <c r="I602" t="str">
        <f t="shared" si="50"/>
        <v>Wednesday</v>
      </c>
      <c r="L602">
        <f t="shared" si="53"/>
        <v>0</v>
      </c>
    </row>
    <row r="603" spans="1:12" x14ac:dyDescent="0.25">
      <c r="A603">
        <v>166546201</v>
      </c>
      <c r="B603" s="1">
        <v>44895</v>
      </c>
      <c r="C603" s="1">
        <v>44906</v>
      </c>
      <c r="D603" t="s">
        <v>7</v>
      </c>
      <c r="E603">
        <v>39</v>
      </c>
      <c r="F603" t="s">
        <v>6</v>
      </c>
      <c r="G603" s="8">
        <f t="shared" si="51"/>
        <v>11</v>
      </c>
      <c r="H603">
        <f t="shared" si="52"/>
        <v>4</v>
      </c>
      <c r="I603" t="str">
        <f t="shared" si="50"/>
        <v>Wednesday</v>
      </c>
      <c r="L603">
        <f t="shared" si="53"/>
        <v>0</v>
      </c>
    </row>
    <row r="604" spans="1:12" x14ac:dyDescent="0.25">
      <c r="A604">
        <v>162126074</v>
      </c>
      <c r="B604" s="1">
        <v>44896</v>
      </c>
      <c r="C604" s="1">
        <f t="shared" ref="C604:C607" ca="1" si="55">TODAY()</f>
        <v>45938</v>
      </c>
      <c r="D604" t="s">
        <v>7</v>
      </c>
      <c r="E604">
        <v>39</v>
      </c>
      <c r="F604" t="s">
        <v>6</v>
      </c>
      <c r="G604" s="8">
        <f t="shared" ca="1" si="51"/>
        <v>1042</v>
      </c>
      <c r="H604">
        <f t="shared" si="52"/>
        <v>5</v>
      </c>
      <c r="I604" t="str">
        <f t="shared" si="50"/>
        <v>Thursday</v>
      </c>
      <c r="L604">
        <f t="shared" ca="1" si="53"/>
        <v>0</v>
      </c>
    </row>
    <row r="605" spans="1:12" x14ac:dyDescent="0.25">
      <c r="A605">
        <v>162640429</v>
      </c>
      <c r="B605" s="1">
        <v>44896</v>
      </c>
      <c r="C605" s="1">
        <f t="shared" ca="1" si="55"/>
        <v>45938</v>
      </c>
      <c r="D605" t="s">
        <v>7</v>
      </c>
      <c r="E605">
        <v>39</v>
      </c>
      <c r="F605" t="s">
        <v>6</v>
      </c>
      <c r="G605" s="8">
        <f t="shared" ca="1" si="51"/>
        <v>1042</v>
      </c>
      <c r="H605">
        <f t="shared" si="52"/>
        <v>5</v>
      </c>
      <c r="I605" t="str">
        <f t="shared" si="50"/>
        <v>Thursday</v>
      </c>
      <c r="L605">
        <f t="shared" ca="1" si="53"/>
        <v>0</v>
      </c>
    </row>
    <row r="606" spans="1:12" x14ac:dyDescent="0.25">
      <c r="A606">
        <v>164413682</v>
      </c>
      <c r="B606" s="1">
        <v>44896</v>
      </c>
      <c r="C606" s="1">
        <f t="shared" ca="1" si="55"/>
        <v>45938</v>
      </c>
      <c r="D606" t="s">
        <v>7</v>
      </c>
      <c r="E606">
        <v>39</v>
      </c>
      <c r="F606" t="s">
        <v>6</v>
      </c>
      <c r="G606" s="8">
        <f t="shared" ca="1" si="51"/>
        <v>1042</v>
      </c>
      <c r="H606">
        <f t="shared" si="52"/>
        <v>5</v>
      </c>
      <c r="I606" t="str">
        <f t="shared" si="50"/>
        <v>Thursday</v>
      </c>
      <c r="L606">
        <f t="shared" ca="1" si="53"/>
        <v>0</v>
      </c>
    </row>
    <row r="607" spans="1:12" x14ac:dyDescent="0.25">
      <c r="A607">
        <v>162850052</v>
      </c>
      <c r="B607" s="1">
        <v>44896</v>
      </c>
      <c r="C607" s="1">
        <f t="shared" ca="1" si="55"/>
        <v>45938</v>
      </c>
      <c r="D607" t="s">
        <v>7</v>
      </c>
      <c r="E607">
        <v>39</v>
      </c>
      <c r="F607" t="s">
        <v>6</v>
      </c>
      <c r="G607" s="8">
        <f t="shared" ca="1" si="51"/>
        <v>1042</v>
      </c>
      <c r="H607">
        <f t="shared" si="52"/>
        <v>5</v>
      </c>
      <c r="I607" t="str">
        <f t="shared" si="50"/>
        <v>Thursday</v>
      </c>
      <c r="L607">
        <f t="shared" ca="1" si="53"/>
        <v>0</v>
      </c>
    </row>
    <row r="608" spans="1:12" x14ac:dyDescent="0.25">
      <c r="A608">
        <v>162177746</v>
      </c>
      <c r="B608" s="1">
        <v>44896</v>
      </c>
      <c r="C608" s="1">
        <v>44924</v>
      </c>
      <c r="D608" t="s">
        <v>7</v>
      </c>
      <c r="E608">
        <v>39</v>
      </c>
      <c r="F608" t="s">
        <v>6</v>
      </c>
      <c r="G608" s="8">
        <f t="shared" si="51"/>
        <v>28</v>
      </c>
      <c r="H608">
        <f t="shared" si="52"/>
        <v>5</v>
      </c>
      <c r="I608" t="str">
        <f t="shared" si="50"/>
        <v>Thursday</v>
      </c>
      <c r="L608">
        <f t="shared" si="53"/>
        <v>0</v>
      </c>
    </row>
    <row r="609" spans="1:12" x14ac:dyDescent="0.25">
      <c r="A609">
        <v>135587508</v>
      </c>
      <c r="B609" s="1">
        <v>44896</v>
      </c>
      <c r="C609" s="1">
        <v>44966</v>
      </c>
      <c r="D609" t="s">
        <v>7</v>
      </c>
      <c r="E609">
        <v>39</v>
      </c>
      <c r="F609" t="s">
        <v>6</v>
      </c>
      <c r="G609" s="8">
        <f t="shared" si="51"/>
        <v>70</v>
      </c>
      <c r="H609">
        <f t="shared" si="52"/>
        <v>5</v>
      </c>
      <c r="I609" t="str">
        <f t="shared" si="50"/>
        <v>Thursday</v>
      </c>
      <c r="L609">
        <f t="shared" si="53"/>
        <v>0</v>
      </c>
    </row>
    <row r="610" spans="1:12" x14ac:dyDescent="0.25">
      <c r="A610">
        <v>161428649</v>
      </c>
      <c r="B610" s="1">
        <v>44896</v>
      </c>
      <c r="C610" s="1">
        <v>45024</v>
      </c>
      <c r="D610" t="s">
        <v>7</v>
      </c>
      <c r="E610">
        <v>39</v>
      </c>
      <c r="F610" t="s">
        <v>6</v>
      </c>
      <c r="G610" s="8">
        <f t="shared" si="51"/>
        <v>128</v>
      </c>
      <c r="H610">
        <f t="shared" si="52"/>
        <v>5</v>
      </c>
      <c r="I610" t="str">
        <f t="shared" si="50"/>
        <v>Thursday</v>
      </c>
      <c r="L610">
        <f t="shared" si="53"/>
        <v>0</v>
      </c>
    </row>
    <row r="611" spans="1:12" x14ac:dyDescent="0.25">
      <c r="A611">
        <v>166977144</v>
      </c>
      <c r="B611" s="1">
        <v>44896</v>
      </c>
      <c r="C611" s="1">
        <v>45024</v>
      </c>
      <c r="D611" t="s">
        <v>7</v>
      </c>
      <c r="E611">
        <v>39</v>
      </c>
      <c r="F611" t="s">
        <v>6</v>
      </c>
      <c r="G611" s="8">
        <f t="shared" si="51"/>
        <v>128</v>
      </c>
      <c r="H611">
        <f t="shared" si="52"/>
        <v>5</v>
      </c>
      <c r="I611" t="str">
        <f t="shared" si="50"/>
        <v>Thursday</v>
      </c>
      <c r="L611">
        <f t="shared" si="53"/>
        <v>0</v>
      </c>
    </row>
    <row r="612" spans="1:12" x14ac:dyDescent="0.25">
      <c r="A612">
        <v>161640666</v>
      </c>
      <c r="B612" s="1">
        <v>44896</v>
      </c>
      <c r="C612" s="1">
        <v>44986</v>
      </c>
      <c r="D612" t="s">
        <v>7</v>
      </c>
      <c r="E612">
        <v>39</v>
      </c>
      <c r="F612" t="s">
        <v>6</v>
      </c>
      <c r="G612" s="8">
        <f t="shared" si="51"/>
        <v>90</v>
      </c>
      <c r="H612">
        <f t="shared" si="52"/>
        <v>5</v>
      </c>
      <c r="I612" t="str">
        <f t="shared" si="50"/>
        <v>Thursday</v>
      </c>
      <c r="L612">
        <f t="shared" si="53"/>
        <v>0</v>
      </c>
    </row>
    <row r="613" spans="1:12" x14ac:dyDescent="0.25">
      <c r="A613">
        <v>165932696</v>
      </c>
      <c r="B613" s="1">
        <v>44896</v>
      </c>
      <c r="C613" s="1">
        <v>44986</v>
      </c>
      <c r="D613" t="s">
        <v>7</v>
      </c>
      <c r="E613">
        <v>39</v>
      </c>
      <c r="F613" t="s">
        <v>6</v>
      </c>
      <c r="G613" s="8">
        <f t="shared" si="51"/>
        <v>90</v>
      </c>
      <c r="H613">
        <f t="shared" si="52"/>
        <v>5</v>
      </c>
      <c r="I613" t="str">
        <f t="shared" si="50"/>
        <v>Thursday</v>
      </c>
      <c r="L613">
        <f t="shared" si="53"/>
        <v>0</v>
      </c>
    </row>
    <row r="614" spans="1:12" x14ac:dyDescent="0.25">
      <c r="A614">
        <v>165204032</v>
      </c>
      <c r="B614" s="1">
        <v>44896</v>
      </c>
      <c r="C614" s="1">
        <v>44971</v>
      </c>
      <c r="D614" t="s">
        <v>7</v>
      </c>
      <c r="E614">
        <v>39</v>
      </c>
      <c r="F614" t="s">
        <v>6</v>
      </c>
      <c r="G614" s="8">
        <f t="shared" si="51"/>
        <v>75</v>
      </c>
      <c r="H614">
        <f t="shared" si="52"/>
        <v>5</v>
      </c>
      <c r="I614" t="str">
        <f t="shared" si="50"/>
        <v>Thursday</v>
      </c>
      <c r="L614">
        <f t="shared" si="53"/>
        <v>0</v>
      </c>
    </row>
    <row r="615" spans="1:12" x14ac:dyDescent="0.25">
      <c r="A615">
        <v>162469903</v>
      </c>
      <c r="B615" s="1">
        <v>44896</v>
      </c>
      <c r="C615" s="1">
        <v>44965</v>
      </c>
      <c r="D615" t="s">
        <v>7</v>
      </c>
      <c r="E615">
        <v>39</v>
      </c>
      <c r="F615" t="s">
        <v>6</v>
      </c>
      <c r="G615" s="8">
        <f t="shared" si="51"/>
        <v>69</v>
      </c>
      <c r="H615">
        <f t="shared" si="52"/>
        <v>5</v>
      </c>
      <c r="I615" t="str">
        <f t="shared" si="50"/>
        <v>Thursday</v>
      </c>
      <c r="L615">
        <f t="shared" si="53"/>
        <v>0</v>
      </c>
    </row>
    <row r="616" spans="1:12" x14ac:dyDescent="0.25">
      <c r="A616">
        <v>166515564</v>
      </c>
      <c r="B616" s="1">
        <v>44896</v>
      </c>
      <c r="C616" s="1">
        <v>44945</v>
      </c>
      <c r="D616" t="s">
        <v>7</v>
      </c>
      <c r="E616">
        <v>39</v>
      </c>
      <c r="F616" t="s">
        <v>6</v>
      </c>
      <c r="G616" s="8">
        <f t="shared" si="51"/>
        <v>49</v>
      </c>
      <c r="H616">
        <f t="shared" si="52"/>
        <v>5</v>
      </c>
      <c r="I616" t="str">
        <f t="shared" si="50"/>
        <v>Thursday</v>
      </c>
      <c r="L616">
        <f t="shared" si="53"/>
        <v>0</v>
      </c>
    </row>
    <row r="617" spans="1:12" x14ac:dyDescent="0.25">
      <c r="A617">
        <v>139323228</v>
      </c>
      <c r="B617" s="1">
        <v>44896</v>
      </c>
      <c r="C617" s="1">
        <v>44950</v>
      </c>
      <c r="D617" t="s">
        <v>7</v>
      </c>
      <c r="E617">
        <v>39</v>
      </c>
      <c r="F617" t="s">
        <v>6</v>
      </c>
      <c r="G617" s="8">
        <f t="shared" si="51"/>
        <v>54</v>
      </c>
      <c r="H617">
        <f t="shared" si="52"/>
        <v>5</v>
      </c>
      <c r="I617" t="str">
        <f t="shared" si="50"/>
        <v>Thursday</v>
      </c>
      <c r="L617">
        <f t="shared" si="53"/>
        <v>0</v>
      </c>
    </row>
    <row r="618" spans="1:12" x14ac:dyDescent="0.25">
      <c r="A618">
        <v>162569750</v>
      </c>
      <c r="B618" s="1">
        <v>44896</v>
      </c>
      <c r="C618" s="1">
        <v>44899</v>
      </c>
      <c r="D618" t="s">
        <v>7</v>
      </c>
      <c r="E618">
        <v>39</v>
      </c>
      <c r="F618" t="s">
        <v>6</v>
      </c>
      <c r="G618" s="8">
        <f t="shared" si="51"/>
        <v>3</v>
      </c>
      <c r="H618">
        <f t="shared" si="52"/>
        <v>5</v>
      </c>
      <c r="I618" t="str">
        <f t="shared" si="50"/>
        <v>Thursday</v>
      </c>
      <c r="L618">
        <f t="shared" si="53"/>
        <v>0</v>
      </c>
    </row>
    <row r="619" spans="1:12" x14ac:dyDescent="0.25">
      <c r="A619">
        <v>165959602</v>
      </c>
      <c r="B619" s="1">
        <v>44896</v>
      </c>
      <c r="C619" s="1">
        <v>44918</v>
      </c>
      <c r="D619" t="s">
        <v>7</v>
      </c>
      <c r="E619">
        <v>39</v>
      </c>
      <c r="F619" t="s">
        <v>6</v>
      </c>
      <c r="G619" s="8">
        <f t="shared" si="51"/>
        <v>22</v>
      </c>
      <c r="H619">
        <f t="shared" si="52"/>
        <v>5</v>
      </c>
      <c r="I619" t="str">
        <f t="shared" si="50"/>
        <v>Thursday</v>
      </c>
      <c r="L619">
        <f t="shared" si="53"/>
        <v>0</v>
      </c>
    </row>
    <row r="620" spans="1:12" x14ac:dyDescent="0.25">
      <c r="A620">
        <v>160968524</v>
      </c>
      <c r="B620" s="1">
        <v>44896</v>
      </c>
      <c r="C620" s="1">
        <v>45127</v>
      </c>
      <c r="D620" t="s">
        <v>7</v>
      </c>
      <c r="E620">
        <v>39</v>
      </c>
      <c r="F620" t="s">
        <v>6</v>
      </c>
      <c r="G620" s="8">
        <f t="shared" si="51"/>
        <v>231</v>
      </c>
      <c r="H620">
        <f t="shared" si="52"/>
        <v>5</v>
      </c>
      <c r="I620" t="str">
        <f t="shared" si="50"/>
        <v>Thursday</v>
      </c>
      <c r="L620">
        <f t="shared" si="53"/>
        <v>0</v>
      </c>
    </row>
    <row r="621" spans="1:12" x14ac:dyDescent="0.25">
      <c r="A621">
        <v>163258260</v>
      </c>
      <c r="B621" s="1">
        <v>44897</v>
      </c>
      <c r="C621" s="1">
        <f t="shared" ref="C621:C622" ca="1" si="56">TODAY()</f>
        <v>45938</v>
      </c>
      <c r="D621" t="s">
        <v>7</v>
      </c>
      <c r="E621">
        <v>39</v>
      </c>
      <c r="F621" t="s">
        <v>6</v>
      </c>
      <c r="G621" s="8">
        <f t="shared" ca="1" si="51"/>
        <v>1041</v>
      </c>
      <c r="H621">
        <f t="shared" si="52"/>
        <v>6</v>
      </c>
      <c r="I621" t="str">
        <f t="shared" si="50"/>
        <v>Friday</v>
      </c>
      <c r="L621">
        <f t="shared" ca="1" si="53"/>
        <v>0</v>
      </c>
    </row>
    <row r="622" spans="1:12" x14ac:dyDescent="0.25">
      <c r="A622">
        <v>167051046</v>
      </c>
      <c r="B622" s="1">
        <v>44897</v>
      </c>
      <c r="C622" s="1">
        <f t="shared" ca="1" si="56"/>
        <v>45938</v>
      </c>
      <c r="D622" t="s">
        <v>7</v>
      </c>
      <c r="E622">
        <v>39</v>
      </c>
      <c r="F622" t="s">
        <v>6</v>
      </c>
      <c r="G622" s="8">
        <f t="shared" ca="1" si="51"/>
        <v>1041</v>
      </c>
      <c r="H622">
        <f t="shared" si="52"/>
        <v>6</v>
      </c>
      <c r="I622" t="str">
        <f t="shared" si="50"/>
        <v>Friday</v>
      </c>
      <c r="L622">
        <f t="shared" ca="1" si="53"/>
        <v>0</v>
      </c>
    </row>
    <row r="623" spans="1:12" x14ac:dyDescent="0.25">
      <c r="A623">
        <v>161182367</v>
      </c>
      <c r="B623" s="1">
        <v>44897</v>
      </c>
      <c r="C623" s="1">
        <v>44898</v>
      </c>
      <c r="D623" t="s">
        <v>7</v>
      </c>
      <c r="E623">
        <v>39</v>
      </c>
      <c r="F623" t="s">
        <v>6</v>
      </c>
      <c r="G623" s="8">
        <f t="shared" si="51"/>
        <v>1</v>
      </c>
      <c r="H623">
        <f t="shared" si="52"/>
        <v>6</v>
      </c>
      <c r="I623" t="str">
        <f t="shared" si="50"/>
        <v>Friday</v>
      </c>
      <c r="L623">
        <f t="shared" si="53"/>
        <v>1</v>
      </c>
    </row>
    <row r="624" spans="1:12" x14ac:dyDescent="0.25">
      <c r="A624">
        <v>167292985</v>
      </c>
      <c r="B624" s="1">
        <v>44897</v>
      </c>
      <c r="C624" s="1">
        <v>44898</v>
      </c>
      <c r="D624" t="s">
        <v>8</v>
      </c>
      <c r="E624">
        <v>39</v>
      </c>
      <c r="F624" t="s">
        <v>6</v>
      </c>
      <c r="G624" s="8">
        <f t="shared" si="51"/>
        <v>1</v>
      </c>
      <c r="H624">
        <f t="shared" si="52"/>
        <v>6</v>
      </c>
      <c r="I624" t="str">
        <f t="shared" si="50"/>
        <v>Friday</v>
      </c>
      <c r="L624">
        <f t="shared" si="53"/>
        <v>1</v>
      </c>
    </row>
    <row r="625" spans="1:12" x14ac:dyDescent="0.25">
      <c r="A625">
        <v>166183014</v>
      </c>
      <c r="B625" s="1">
        <v>44897</v>
      </c>
      <c r="C625" s="1">
        <v>44898</v>
      </c>
      <c r="D625" t="s">
        <v>8</v>
      </c>
      <c r="E625">
        <v>39</v>
      </c>
      <c r="F625" t="s">
        <v>6</v>
      </c>
      <c r="G625" s="8">
        <f t="shared" si="51"/>
        <v>1</v>
      </c>
      <c r="H625">
        <f t="shared" si="52"/>
        <v>6</v>
      </c>
      <c r="I625" t="str">
        <f t="shared" si="50"/>
        <v>Friday</v>
      </c>
      <c r="L625">
        <f t="shared" si="53"/>
        <v>1</v>
      </c>
    </row>
    <row r="626" spans="1:12" x14ac:dyDescent="0.25">
      <c r="A626">
        <v>165143920</v>
      </c>
      <c r="B626" s="1">
        <v>44897</v>
      </c>
      <c r="C626" s="1">
        <v>45079</v>
      </c>
      <c r="D626" t="s">
        <v>7</v>
      </c>
      <c r="E626">
        <v>39</v>
      </c>
      <c r="F626" t="s">
        <v>6</v>
      </c>
      <c r="G626" s="8">
        <f t="shared" si="51"/>
        <v>182</v>
      </c>
      <c r="H626">
        <f t="shared" si="52"/>
        <v>6</v>
      </c>
      <c r="I626" t="str">
        <f t="shared" si="50"/>
        <v>Friday</v>
      </c>
      <c r="L626">
        <f t="shared" si="53"/>
        <v>0</v>
      </c>
    </row>
    <row r="627" spans="1:12" x14ac:dyDescent="0.25">
      <c r="A627">
        <v>165958089</v>
      </c>
      <c r="B627" s="1">
        <v>44897</v>
      </c>
      <c r="C627" s="1">
        <v>44966</v>
      </c>
      <c r="D627" t="s">
        <v>7</v>
      </c>
      <c r="E627">
        <v>39</v>
      </c>
      <c r="F627" t="s">
        <v>6</v>
      </c>
      <c r="G627" s="8">
        <f t="shared" si="51"/>
        <v>69</v>
      </c>
      <c r="H627">
        <f t="shared" si="52"/>
        <v>6</v>
      </c>
      <c r="I627" t="str">
        <f t="shared" si="50"/>
        <v>Friday</v>
      </c>
      <c r="L627">
        <f t="shared" si="53"/>
        <v>0</v>
      </c>
    </row>
    <row r="628" spans="1:12" x14ac:dyDescent="0.25">
      <c r="A628">
        <v>165431576</v>
      </c>
      <c r="B628" s="1">
        <v>44897</v>
      </c>
      <c r="C628" s="1">
        <v>44958</v>
      </c>
      <c r="D628" t="s">
        <v>7</v>
      </c>
      <c r="E628">
        <v>39</v>
      </c>
      <c r="F628" t="s">
        <v>6</v>
      </c>
      <c r="G628" s="8">
        <f t="shared" si="51"/>
        <v>61</v>
      </c>
      <c r="H628">
        <f t="shared" si="52"/>
        <v>6</v>
      </c>
      <c r="I628" t="str">
        <f t="shared" si="50"/>
        <v>Friday</v>
      </c>
      <c r="L628">
        <f t="shared" si="53"/>
        <v>0</v>
      </c>
    </row>
    <row r="629" spans="1:12" x14ac:dyDescent="0.25">
      <c r="A629">
        <v>163708513</v>
      </c>
      <c r="B629" s="1">
        <v>44897</v>
      </c>
      <c r="C629" s="1">
        <v>44925</v>
      </c>
      <c r="D629" t="s">
        <v>7</v>
      </c>
      <c r="E629">
        <v>39</v>
      </c>
      <c r="F629" t="s">
        <v>6</v>
      </c>
      <c r="G629" s="8">
        <f t="shared" si="51"/>
        <v>28</v>
      </c>
      <c r="H629">
        <f t="shared" si="52"/>
        <v>6</v>
      </c>
      <c r="I629" t="str">
        <f t="shared" si="50"/>
        <v>Friday</v>
      </c>
      <c r="L629">
        <f t="shared" si="53"/>
        <v>0</v>
      </c>
    </row>
    <row r="630" spans="1:12" x14ac:dyDescent="0.25">
      <c r="A630">
        <v>164521419</v>
      </c>
      <c r="B630" s="1">
        <v>44897</v>
      </c>
      <c r="C630" s="1">
        <v>44924</v>
      </c>
      <c r="D630" t="s">
        <v>7</v>
      </c>
      <c r="E630">
        <v>39</v>
      </c>
      <c r="F630" t="s">
        <v>6</v>
      </c>
      <c r="G630" s="8">
        <f t="shared" si="51"/>
        <v>27</v>
      </c>
      <c r="H630">
        <f t="shared" si="52"/>
        <v>6</v>
      </c>
      <c r="I630" t="str">
        <f t="shared" si="50"/>
        <v>Friday</v>
      </c>
      <c r="L630">
        <f t="shared" si="53"/>
        <v>0</v>
      </c>
    </row>
    <row r="631" spans="1:12" x14ac:dyDescent="0.25">
      <c r="A631">
        <v>166257164</v>
      </c>
      <c r="B631" s="1">
        <v>44897</v>
      </c>
      <c r="C631" s="1">
        <v>44916</v>
      </c>
      <c r="D631" t="s">
        <v>7</v>
      </c>
      <c r="E631">
        <v>39</v>
      </c>
      <c r="F631" t="s">
        <v>6</v>
      </c>
      <c r="G631" s="8">
        <f t="shared" si="51"/>
        <v>19</v>
      </c>
      <c r="H631">
        <f t="shared" si="52"/>
        <v>6</v>
      </c>
      <c r="I631" t="str">
        <f t="shared" si="50"/>
        <v>Friday</v>
      </c>
      <c r="L631">
        <f t="shared" si="53"/>
        <v>0</v>
      </c>
    </row>
    <row r="632" spans="1:12" x14ac:dyDescent="0.25">
      <c r="A632">
        <v>121348156</v>
      </c>
      <c r="B632" s="1">
        <v>44897</v>
      </c>
      <c r="C632" s="1">
        <v>44901</v>
      </c>
      <c r="D632" t="s">
        <v>7</v>
      </c>
      <c r="E632">
        <v>39</v>
      </c>
      <c r="F632" t="s">
        <v>6</v>
      </c>
      <c r="G632" s="8">
        <f t="shared" si="51"/>
        <v>4</v>
      </c>
      <c r="H632">
        <f t="shared" si="52"/>
        <v>6</v>
      </c>
      <c r="I632" t="str">
        <f t="shared" si="50"/>
        <v>Friday</v>
      </c>
      <c r="L632">
        <f t="shared" si="53"/>
        <v>0</v>
      </c>
    </row>
    <row r="633" spans="1:12" x14ac:dyDescent="0.25">
      <c r="A633">
        <v>167280894</v>
      </c>
      <c r="B633" s="1">
        <v>44897</v>
      </c>
      <c r="C633" s="1">
        <v>45113</v>
      </c>
      <c r="D633" t="s">
        <v>7</v>
      </c>
      <c r="E633">
        <v>39</v>
      </c>
      <c r="F633" t="s">
        <v>6</v>
      </c>
      <c r="G633" s="8">
        <f t="shared" si="51"/>
        <v>216</v>
      </c>
      <c r="H633">
        <f t="shared" si="52"/>
        <v>6</v>
      </c>
      <c r="I633" t="str">
        <f t="shared" si="50"/>
        <v>Friday</v>
      </c>
      <c r="L633">
        <f t="shared" si="53"/>
        <v>0</v>
      </c>
    </row>
    <row r="634" spans="1:12" x14ac:dyDescent="0.25">
      <c r="A634">
        <v>160980795</v>
      </c>
      <c r="B634" s="1">
        <v>44898</v>
      </c>
      <c r="C634" s="1">
        <f t="shared" ref="C634:C637" ca="1" si="57">TODAY()</f>
        <v>45938</v>
      </c>
      <c r="D634" t="s">
        <v>7</v>
      </c>
      <c r="E634">
        <v>39</v>
      </c>
      <c r="F634" t="s">
        <v>6</v>
      </c>
      <c r="G634" s="8">
        <f t="shared" ca="1" si="51"/>
        <v>1040</v>
      </c>
      <c r="H634">
        <f t="shared" si="52"/>
        <v>7</v>
      </c>
      <c r="I634" t="str">
        <f t="shared" si="50"/>
        <v>Saturday</v>
      </c>
      <c r="L634">
        <f t="shared" ca="1" si="53"/>
        <v>0</v>
      </c>
    </row>
    <row r="635" spans="1:12" x14ac:dyDescent="0.25">
      <c r="A635">
        <v>167544686</v>
      </c>
      <c r="B635" s="1">
        <v>44898</v>
      </c>
      <c r="C635" s="1">
        <f t="shared" ca="1" si="57"/>
        <v>45938</v>
      </c>
      <c r="D635" t="s">
        <v>7</v>
      </c>
      <c r="E635">
        <v>39</v>
      </c>
      <c r="F635" t="s">
        <v>6</v>
      </c>
      <c r="G635" s="8">
        <f t="shared" ca="1" si="51"/>
        <v>1040</v>
      </c>
      <c r="H635">
        <f t="shared" si="52"/>
        <v>7</v>
      </c>
      <c r="I635" t="str">
        <f t="shared" si="50"/>
        <v>Saturday</v>
      </c>
      <c r="L635">
        <f t="shared" ca="1" si="53"/>
        <v>0</v>
      </c>
    </row>
    <row r="636" spans="1:12" x14ac:dyDescent="0.25">
      <c r="A636">
        <v>161968719</v>
      </c>
      <c r="B636" s="1">
        <v>44898</v>
      </c>
      <c r="C636" s="1">
        <f t="shared" ca="1" si="57"/>
        <v>45938</v>
      </c>
      <c r="D636" t="s">
        <v>7</v>
      </c>
      <c r="E636">
        <v>39</v>
      </c>
      <c r="F636" t="s">
        <v>6</v>
      </c>
      <c r="G636" s="8">
        <f t="shared" ca="1" si="51"/>
        <v>1040</v>
      </c>
      <c r="H636">
        <f t="shared" si="52"/>
        <v>7</v>
      </c>
      <c r="I636" t="str">
        <f t="shared" si="50"/>
        <v>Saturday</v>
      </c>
      <c r="L636">
        <f t="shared" ca="1" si="53"/>
        <v>0</v>
      </c>
    </row>
    <row r="637" spans="1:12" x14ac:dyDescent="0.25">
      <c r="A637">
        <v>159070152</v>
      </c>
      <c r="B637" s="1">
        <v>44898</v>
      </c>
      <c r="C637" s="1">
        <f t="shared" ca="1" si="57"/>
        <v>45938</v>
      </c>
      <c r="D637" t="s">
        <v>7</v>
      </c>
      <c r="E637">
        <v>39</v>
      </c>
      <c r="F637" t="s">
        <v>6</v>
      </c>
      <c r="G637" s="8">
        <f t="shared" ca="1" si="51"/>
        <v>1040</v>
      </c>
      <c r="H637">
        <f t="shared" si="52"/>
        <v>7</v>
      </c>
      <c r="I637" t="str">
        <f t="shared" si="50"/>
        <v>Saturday</v>
      </c>
      <c r="L637">
        <f t="shared" ca="1" si="53"/>
        <v>0</v>
      </c>
    </row>
    <row r="638" spans="1:12" x14ac:dyDescent="0.25">
      <c r="A638">
        <v>167445788</v>
      </c>
      <c r="B638" s="1">
        <v>44898</v>
      </c>
      <c r="C638" s="1">
        <v>44899</v>
      </c>
      <c r="D638" t="s">
        <v>8</v>
      </c>
      <c r="E638">
        <v>39</v>
      </c>
      <c r="F638" t="s">
        <v>6</v>
      </c>
      <c r="G638" s="8">
        <f t="shared" si="51"/>
        <v>1</v>
      </c>
      <c r="H638">
        <f t="shared" si="52"/>
        <v>7</v>
      </c>
      <c r="I638" t="str">
        <f t="shared" si="50"/>
        <v>Saturday</v>
      </c>
      <c r="L638">
        <f t="shared" si="53"/>
        <v>1</v>
      </c>
    </row>
    <row r="639" spans="1:12" x14ac:dyDescent="0.25">
      <c r="A639">
        <v>167441263</v>
      </c>
      <c r="B639" s="1">
        <v>44898</v>
      </c>
      <c r="C639" s="1">
        <v>45087</v>
      </c>
      <c r="D639" t="s">
        <v>7</v>
      </c>
      <c r="E639">
        <v>39</v>
      </c>
      <c r="F639" t="s">
        <v>6</v>
      </c>
      <c r="G639" s="8">
        <f t="shared" si="51"/>
        <v>189</v>
      </c>
      <c r="H639">
        <f t="shared" si="52"/>
        <v>7</v>
      </c>
      <c r="I639" t="str">
        <f t="shared" si="50"/>
        <v>Saturday</v>
      </c>
      <c r="L639">
        <f t="shared" si="53"/>
        <v>0</v>
      </c>
    </row>
    <row r="640" spans="1:12" x14ac:dyDescent="0.25">
      <c r="A640">
        <v>167586100</v>
      </c>
      <c r="B640" s="1">
        <v>44898</v>
      </c>
      <c r="C640" s="1">
        <v>44987</v>
      </c>
      <c r="D640" t="s">
        <v>7</v>
      </c>
      <c r="E640">
        <v>39</v>
      </c>
      <c r="F640" t="s">
        <v>6</v>
      </c>
      <c r="G640" s="8">
        <f t="shared" si="51"/>
        <v>89</v>
      </c>
      <c r="H640">
        <f t="shared" si="52"/>
        <v>7</v>
      </c>
      <c r="I640" t="str">
        <f t="shared" si="50"/>
        <v>Saturday</v>
      </c>
      <c r="L640">
        <f t="shared" si="53"/>
        <v>0</v>
      </c>
    </row>
    <row r="641" spans="1:12" x14ac:dyDescent="0.25">
      <c r="A641">
        <v>139789436</v>
      </c>
      <c r="B641" s="1">
        <v>44898</v>
      </c>
      <c r="C641" s="1">
        <v>44955</v>
      </c>
      <c r="D641" t="s">
        <v>7</v>
      </c>
      <c r="E641">
        <v>39</v>
      </c>
      <c r="F641" t="s">
        <v>6</v>
      </c>
      <c r="G641" s="8">
        <f t="shared" si="51"/>
        <v>57</v>
      </c>
      <c r="H641">
        <f t="shared" si="52"/>
        <v>7</v>
      </c>
      <c r="I641" t="str">
        <f t="shared" si="50"/>
        <v>Saturday</v>
      </c>
      <c r="L641">
        <f t="shared" si="53"/>
        <v>0</v>
      </c>
    </row>
    <row r="642" spans="1:12" x14ac:dyDescent="0.25">
      <c r="A642">
        <v>116319450</v>
      </c>
      <c r="B642" s="1">
        <v>44899</v>
      </c>
      <c r="C642" s="1">
        <v>45035</v>
      </c>
      <c r="D642" t="s">
        <v>7</v>
      </c>
      <c r="E642">
        <v>39</v>
      </c>
      <c r="F642" t="s">
        <v>6</v>
      </c>
      <c r="G642" s="8">
        <f t="shared" si="51"/>
        <v>136</v>
      </c>
      <c r="H642">
        <f t="shared" si="52"/>
        <v>1</v>
      </c>
      <c r="I642" t="str">
        <f t="shared" ref="I642:I705" si="58">TEXT(B642,"DDDD")</f>
        <v>Sunday</v>
      </c>
      <c r="L642">
        <f t="shared" si="53"/>
        <v>0</v>
      </c>
    </row>
    <row r="643" spans="1:12" x14ac:dyDescent="0.25">
      <c r="A643">
        <v>162939264</v>
      </c>
      <c r="B643" s="1">
        <v>44899</v>
      </c>
      <c r="C643" s="1">
        <v>45050</v>
      </c>
      <c r="D643" t="s">
        <v>7</v>
      </c>
      <c r="E643">
        <v>39</v>
      </c>
      <c r="F643" t="s">
        <v>6</v>
      </c>
      <c r="G643" s="8">
        <f t="shared" ref="G643:G706" si="59">IFERROR(DATEDIF(B643,C643,"D"),"0")</f>
        <v>151</v>
      </c>
      <c r="H643">
        <f t="shared" ref="H643:H706" si="60">WEEKDAY(B643,1)</f>
        <v>1</v>
      </c>
      <c r="I643" t="str">
        <f t="shared" si="58"/>
        <v>Sunday</v>
      </c>
      <c r="L643">
        <f t="shared" ref="L643:L706" si="61">IF( OR($G643=0,$G643 = 1, $G643 = 2), 1, 0 )</f>
        <v>0</v>
      </c>
    </row>
    <row r="644" spans="1:12" x14ac:dyDescent="0.25">
      <c r="A644">
        <v>167711417</v>
      </c>
      <c r="B644" s="1">
        <v>44899</v>
      </c>
      <c r="C644" s="1">
        <v>45010</v>
      </c>
      <c r="D644" t="s">
        <v>7</v>
      </c>
      <c r="E644">
        <v>39</v>
      </c>
      <c r="F644" t="s">
        <v>6</v>
      </c>
      <c r="G644" s="8">
        <f t="shared" si="59"/>
        <v>111</v>
      </c>
      <c r="H644">
        <f t="shared" si="60"/>
        <v>1</v>
      </c>
      <c r="I644" t="str">
        <f t="shared" si="58"/>
        <v>Sunday</v>
      </c>
      <c r="L644">
        <f t="shared" si="61"/>
        <v>0</v>
      </c>
    </row>
    <row r="645" spans="1:12" x14ac:dyDescent="0.25">
      <c r="A645">
        <v>157381517</v>
      </c>
      <c r="B645" s="1">
        <v>44900</v>
      </c>
      <c r="C645" s="1">
        <f ca="1">TODAY()</f>
        <v>45938</v>
      </c>
      <c r="D645" t="s">
        <v>7</v>
      </c>
      <c r="E645">
        <v>39</v>
      </c>
      <c r="F645" t="s">
        <v>6</v>
      </c>
      <c r="G645" s="8">
        <f t="shared" ca="1" si="59"/>
        <v>1038</v>
      </c>
      <c r="H645">
        <f t="shared" si="60"/>
        <v>2</v>
      </c>
      <c r="I645" t="str">
        <f t="shared" si="58"/>
        <v>Monday</v>
      </c>
      <c r="L645">
        <f t="shared" ca="1" si="61"/>
        <v>0</v>
      </c>
    </row>
    <row r="646" spans="1:12" x14ac:dyDescent="0.25">
      <c r="A646">
        <v>162912102</v>
      </c>
      <c r="B646" s="1">
        <v>44900</v>
      </c>
      <c r="C646" s="1">
        <v>44901</v>
      </c>
      <c r="D646" t="s">
        <v>7</v>
      </c>
      <c r="E646">
        <v>39</v>
      </c>
      <c r="F646" t="s">
        <v>6</v>
      </c>
      <c r="G646" s="8">
        <f t="shared" si="59"/>
        <v>1</v>
      </c>
      <c r="H646">
        <f t="shared" si="60"/>
        <v>2</v>
      </c>
      <c r="I646" t="str">
        <f t="shared" si="58"/>
        <v>Monday</v>
      </c>
      <c r="L646">
        <f t="shared" si="61"/>
        <v>1</v>
      </c>
    </row>
    <row r="647" spans="1:12" x14ac:dyDescent="0.25">
      <c r="A647">
        <v>167833210</v>
      </c>
      <c r="B647" s="1">
        <v>44900</v>
      </c>
      <c r="C647" s="1">
        <v>45110</v>
      </c>
      <c r="D647" t="s">
        <v>7</v>
      </c>
      <c r="E647">
        <v>39</v>
      </c>
      <c r="F647" t="s">
        <v>6</v>
      </c>
      <c r="G647" s="8">
        <f t="shared" si="59"/>
        <v>210</v>
      </c>
      <c r="H647">
        <f t="shared" si="60"/>
        <v>2</v>
      </c>
      <c r="I647" t="str">
        <f t="shared" si="58"/>
        <v>Monday</v>
      </c>
      <c r="L647">
        <f t="shared" si="61"/>
        <v>0</v>
      </c>
    </row>
    <row r="648" spans="1:12" x14ac:dyDescent="0.25">
      <c r="A648">
        <v>165676999</v>
      </c>
      <c r="B648" s="1">
        <v>44900</v>
      </c>
      <c r="C648" s="1">
        <v>44962</v>
      </c>
      <c r="D648" t="s">
        <v>7</v>
      </c>
      <c r="E648">
        <v>39</v>
      </c>
      <c r="F648" t="s">
        <v>6</v>
      </c>
      <c r="G648" s="8">
        <f t="shared" si="59"/>
        <v>62</v>
      </c>
      <c r="H648">
        <f t="shared" si="60"/>
        <v>2</v>
      </c>
      <c r="I648" t="str">
        <f t="shared" si="58"/>
        <v>Monday</v>
      </c>
      <c r="L648">
        <f t="shared" si="61"/>
        <v>0</v>
      </c>
    </row>
    <row r="649" spans="1:12" x14ac:dyDescent="0.25">
      <c r="A649">
        <v>167253106</v>
      </c>
      <c r="B649" s="1">
        <v>44900</v>
      </c>
      <c r="C649" s="1">
        <v>44963</v>
      </c>
      <c r="D649" t="s">
        <v>7</v>
      </c>
      <c r="E649">
        <v>39</v>
      </c>
      <c r="F649" t="s">
        <v>6</v>
      </c>
      <c r="G649" s="8">
        <f t="shared" si="59"/>
        <v>63</v>
      </c>
      <c r="H649">
        <f t="shared" si="60"/>
        <v>2</v>
      </c>
      <c r="I649" t="str">
        <f t="shared" si="58"/>
        <v>Monday</v>
      </c>
      <c r="L649">
        <f t="shared" si="61"/>
        <v>0</v>
      </c>
    </row>
    <row r="650" spans="1:12" x14ac:dyDescent="0.25">
      <c r="A650">
        <v>168022972</v>
      </c>
      <c r="B650" s="1">
        <v>44900</v>
      </c>
      <c r="C650" s="1">
        <v>44939</v>
      </c>
      <c r="D650" t="s">
        <v>7</v>
      </c>
      <c r="E650">
        <v>39</v>
      </c>
      <c r="F650" t="s">
        <v>6</v>
      </c>
      <c r="G650" s="8">
        <f t="shared" si="59"/>
        <v>39</v>
      </c>
      <c r="H650">
        <f t="shared" si="60"/>
        <v>2</v>
      </c>
      <c r="I650" t="str">
        <f t="shared" si="58"/>
        <v>Monday</v>
      </c>
      <c r="L650">
        <f t="shared" si="61"/>
        <v>0</v>
      </c>
    </row>
    <row r="651" spans="1:12" x14ac:dyDescent="0.25">
      <c r="A651">
        <v>167315920</v>
      </c>
      <c r="B651" s="1">
        <v>44900</v>
      </c>
      <c r="C651" s="1">
        <v>44931</v>
      </c>
      <c r="D651" t="s">
        <v>7</v>
      </c>
      <c r="E651">
        <v>39</v>
      </c>
      <c r="F651" t="s">
        <v>6</v>
      </c>
      <c r="G651" s="8">
        <f t="shared" si="59"/>
        <v>31</v>
      </c>
      <c r="H651">
        <f t="shared" si="60"/>
        <v>2</v>
      </c>
      <c r="I651" t="str">
        <f t="shared" si="58"/>
        <v>Monday</v>
      </c>
      <c r="L651">
        <f t="shared" si="61"/>
        <v>0</v>
      </c>
    </row>
    <row r="652" spans="1:12" x14ac:dyDescent="0.25">
      <c r="A652">
        <v>167928962</v>
      </c>
      <c r="B652" s="1">
        <v>44900</v>
      </c>
      <c r="C652" s="1">
        <v>44924</v>
      </c>
      <c r="D652" t="s">
        <v>7</v>
      </c>
      <c r="E652">
        <v>39</v>
      </c>
      <c r="F652" t="s">
        <v>6</v>
      </c>
      <c r="G652" s="8">
        <f t="shared" si="59"/>
        <v>24</v>
      </c>
      <c r="H652">
        <f t="shared" si="60"/>
        <v>2</v>
      </c>
      <c r="I652" t="str">
        <f t="shared" si="58"/>
        <v>Monday</v>
      </c>
      <c r="L652">
        <f t="shared" si="61"/>
        <v>0</v>
      </c>
    </row>
    <row r="653" spans="1:12" x14ac:dyDescent="0.25">
      <c r="A653">
        <v>166211741</v>
      </c>
      <c r="B653" s="1">
        <v>44901</v>
      </c>
      <c r="C653" s="1">
        <v>45027</v>
      </c>
      <c r="D653" t="s">
        <v>7</v>
      </c>
      <c r="E653">
        <v>39</v>
      </c>
      <c r="F653" t="s">
        <v>6</v>
      </c>
      <c r="G653" s="8">
        <f t="shared" si="59"/>
        <v>126</v>
      </c>
      <c r="H653">
        <f t="shared" si="60"/>
        <v>3</v>
      </c>
      <c r="I653" t="str">
        <f t="shared" si="58"/>
        <v>Tuesday</v>
      </c>
      <c r="L653">
        <f t="shared" si="61"/>
        <v>0</v>
      </c>
    </row>
    <row r="654" spans="1:12" x14ac:dyDescent="0.25">
      <c r="A654">
        <v>161450418</v>
      </c>
      <c r="B654" s="1">
        <v>44901</v>
      </c>
      <c r="C654" s="1">
        <v>45050</v>
      </c>
      <c r="D654" t="s">
        <v>7</v>
      </c>
      <c r="E654">
        <v>39</v>
      </c>
      <c r="F654" t="s">
        <v>6</v>
      </c>
      <c r="G654" s="8">
        <f t="shared" si="59"/>
        <v>149</v>
      </c>
      <c r="H654">
        <f t="shared" si="60"/>
        <v>3</v>
      </c>
      <c r="I654" t="str">
        <f t="shared" si="58"/>
        <v>Tuesday</v>
      </c>
      <c r="L654">
        <f t="shared" si="61"/>
        <v>0</v>
      </c>
    </row>
    <row r="655" spans="1:12" x14ac:dyDescent="0.25">
      <c r="A655">
        <v>144961802</v>
      </c>
      <c r="B655" s="1">
        <v>44901</v>
      </c>
      <c r="C655" s="1">
        <v>44987</v>
      </c>
      <c r="D655" t="s">
        <v>7</v>
      </c>
      <c r="E655">
        <v>39</v>
      </c>
      <c r="F655" t="s">
        <v>6</v>
      </c>
      <c r="G655" s="8">
        <f t="shared" si="59"/>
        <v>86</v>
      </c>
      <c r="H655">
        <f t="shared" si="60"/>
        <v>3</v>
      </c>
      <c r="I655" t="str">
        <f t="shared" si="58"/>
        <v>Tuesday</v>
      </c>
      <c r="L655">
        <f t="shared" si="61"/>
        <v>0</v>
      </c>
    </row>
    <row r="656" spans="1:12" x14ac:dyDescent="0.25">
      <c r="A656">
        <v>168137404</v>
      </c>
      <c r="B656" s="1">
        <v>44901</v>
      </c>
      <c r="C656" s="1">
        <v>44958</v>
      </c>
      <c r="D656" t="s">
        <v>7</v>
      </c>
      <c r="E656">
        <v>39</v>
      </c>
      <c r="F656" t="s">
        <v>6</v>
      </c>
      <c r="G656" s="8">
        <f t="shared" si="59"/>
        <v>57</v>
      </c>
      <c r="H656">
        <f t="shared" si="60"/>
        <v>3</v>
      </c>
      <c r="I656" t="str">
        <f t="shared" si="58"/>
        <v>Tuesday</v>
      </c>
      <c r="L656">
        <f t="shared" si="61"/>
        <v>0</v>
      </c>
    </row>
    <row r="657" spans="1:12" x14ac:dyDescent="0.25">
      <c r="A657">
        <v>153441732</v>
      </c>
      <c r="B657" s="1">
        <v>44901</v>
      </c>
      <c r="C657" s="1">
        <v>44970</v>
      </c>
      <c r="D657" t="s">
        <v>7</v>
      </c>
      <c r="E657">
        <v>39</v>
      </c>
      <c r="F657" t="s">
        <v>6</v>
      </c>
      <c r="G657" s="8">
        <f t="shared" si="59"/>
        <v>69</v>
      </c>
      <c r="H657">
        <f t="shared" si="60"/>
        <v>3</v>
      </c>
      <c r="I657" t="str">
        <f t="shared" si="58"/>
        <v>Tuesday</v>
      </c>
      <c r="L657">
        <f t="shared" si="61"/>
        <v>0</v>
      </c>
    </row>
    <row r="658" spans="1:12" x14ac:dyDescent="0.25">
      <c r="A658">
        <v>167649041</v>
      </c>
      <c r="B658" s="1">
        <v>44901</v>
      </c>
      <c r="C658" s="1">
        <v>44957</v>
      </c>
      <c r="D658" t="s">
        <v>7</v>
      </c>
      <c r="E658">
        <v>39</v>
      </c>
      <c r="F658" t="s">
        <v>6</v>
      </c>
      <c r="G658" s="8">
        <f t="shared" si="59"/>
        <v>56</v>
      </c>
      <c r="H658">
        <f t="shared" si="60"/>
        <v>3</v>
      </c>
      <c r="I658" t="str">
        <f t="shared" si="58"/>
        <v>Tuesday</v>
      </c>
      <c r="L658">
        <f t="shared" si="61"/>
        <v>0</v>
      </c>
    </row>
    <row r="659" spans="1:12" x14ac:dyDescent="0.25">
      <c r="A659">
        <v>168089746</v>
      </c>
      <c r="B659" s="1">
        <v>44901</v>
      </c>
      <c r="C659" s="1">
        <v>44939</v>
      </c>
      <c r="D659" t="s">
        <v>7</v>
      </c>
      <c r="E659">
        <v>39</v>
      </c>
      <c r="F659" t="s">
        <v>6</v>
      </c>
      <c r="G659" s="8">
        <f t="shared" si="59"/>
        <v>38</v>
      </c>
      <c r="H659">
        <f t="shared" si="60"/>
        <v>3</v>
      </c>
      <c r="I659" t="str">
        <f t="shared" si="58"/>
        <v>Tuesday</v>
      </c>
      <c r="L659">
        <f t="shared" si="61"/>
        <v>0</v>
      </c>
    </row>
    <row r="660" spans="1:12" x14ac:dyDescent="0.25">
      <c r="A660">
        <v>158177274</v>
      </c>
      <c r="B660" s="1">
        <v>44901</v>
      </c>
      <c r="C660" s="1">
        <v>44952</v>
      </c>
      <c r="D660" t="s">
        <v>7</v>
      </c>
      <c r="E660">
        <v>39</v>
      </c>
      <c r="F660" t="s">
        <v>6</v>
      </c>
      <c r="G660" s="8">
        <f t="shared" si="59"/>
        <v>51</v>
      </c>
      <c r="H660">
        <f t="shared" si="60"/>
        <v>3</v>
      </c>
      <c r="I660" t="str">
        <f t="shared" si="58"/>
        <v>Tuesday</v>
      </c>
      <c r="L660">
        <f t="shared" si="61"/>
        <v>0</v>
      </c>
    </row>
    <row r="661" spans="1:12" x14ac:dyDescent="0.25">
      <c r="A661">
        <v>168061628</v>
      </c>
      <c r="B661" s="1">
        <v>44901</v>
      </c>
      <c r="C661" s="1">
        <v>44939</v>
      </c>
      <c r="D661" t="s">
        <v>7</v>
      </c>
      <c r="E661">
        <v>39</v>
      </c>
      <c r="F661" t="s">
        <v>6</v>
      </c>
      <c r="G661" s="8">
        <f t="shared" si="59"/>
        <v>38</v>
      </c>
      <c r="H661">
        <f t="shared" si="60"/>
        <v>3</v>
      </c>
      <c r="I661" t="str">
        <f t="shared" si="58"/>
        <v>Tuesday</v>
      </c>
      <c r="L661">
        <f t="shared" si="61"/>
        <v>0</v>
      </c>
    </row>
    <row r="662" spans="1:12" x14ac:dyDescent="0.25">
      <c r="A662">
        <v>168436401</v>
      </c>
      <c r="B662" s="1">
        <v>44902</v>
      </c>
      <c r="C662" s="1">
        <f ca="1">TODAY()</f>
        <v>45938</v>
      </c>
      <c r="D662" t="s">
        <v>7</v>
      </c>
      <c r="E662">
        <v>39</v>
      </c>
      <c r="F662" t="s">
        <v>6</v>
      </c>
      <c r="G662" s="8">
        <f t="shared" ca="1" si="59"/>
        <v>1036</v>
      </c>
      <c r="H662">
        <f t="shared" si="60"/>
        <v>4</v>
      </c>
      <c r="I662" t="str">
        <f t="shared" si="58"/>
        <v>Wednesday</v>
      </c>
      <c r="L662">
        <f t="shared" ca="1" si="61"/>
        <v>0</v>
      </c>
    </row>
    <row r="663" spans="1:12" x14ac:dyDescent="0.25">
      <c r="A663">
        <v>126770376</v>
      </c>
      <c r="B663" s="1">
        <v>44902</v>
      </c>
      <c r="C663" s="1">
        <v>44928</v>
      </c>
      <c r="D663" t="s">
        <v>7</v>
      </c>
      <c r="E663">
        <v>39</v>
      </c>
      <c r="F663" t="s">
        <v>6</v>
      </c>
      <c r="G663" s="8">
        <f t="shared" si="59"/>
        <v>26</v>
      </c>
      <c r="H663">
        <f t="shared" si="60"/>
        <v>4</v>
      </c>
      <c r="I663" t="str">
        <f t="shared" si="58"/>
        <v>Wednesday</v>
      </c>
      <c r="L663">
        <f t="shared" si="61"/>
        <v>0</v>
      </c>
    </row>
    <row r="664" spans="1:12" x14ac:dyDescent="0.25">
      <c r="A664">
        <v>153468957</v>
      </c>
      <c r="B664" s="1">
        <v>44902</v>
      </c>
      <c r="C664" s="1">
        <v>44971</v>
      </c>
      <c r="D664" t="s">
        <v>7</v>
      </c>
      <c r="E664">
        <v>39</v>
      </c>
      <c r="F664" t="s">
        <v>6</v>
      </c>
      <c r="G664" s="8">
        <f t="shared" si="59"/>
        <v>69</v>
      </c>
      <c r="H664">
        <f t="shared" si="60"/>
        <v>4</v>
      </c>
      <c r="I664" t="str">
        <f t="shared" si="58"/>
        <v>Wednesday</v>
      </c>
      <c r="L664">
        <f t="shared" si="61"/>
        <v>0</v>
      </c>
    </row>
    <row r="665" spans="1:12" x14ac:dyDescent="0.25">
      <c r="A665">
        <v>168336474</v>
      </c>
      <c r="B665" s="1">
        <v>44902</v>
      </c>
      <c r="C665" s="1">
        <v>44984</v>
      </c>
      <c r="D665" t="s">
        <v>7</v>
      </c>
      <c r="E665">
        <v>39</v>
      </c>
      <c r="F665" t="s">
        <v>6</v>
      </c>
      <c r="G665" s="8">
        <f t="shared" si="59"/>
        <v>82</v>
      </c>
      <c r="H665">
        <f t="shared" si="60"/>
        <v>4</v>
      </c>
      <c r="I665" t="str">
        <f t="shared" si="58"/>
        <v>Wednesday</v>
      </c>
      <c r="L665">
        <f t="shared" si="61"/>
        <v>0</v>
      </c>
    </row>
    <row r="666" spans="1:12" x14ac:dyDescent="0.25">
      <c r="A666">
        <v>166929423</v>
      </c>
      <c r="B666" s="1">
        <v>44902</v>
      </c>
      <c r="C666" s="1">
        <v>44923</v>
      </c>
      <c r="D666" t="s">
        <v>7</v>
      </c>
      <c r="E666">
        <v>39</v>
      </c>
      <c r="F666" t="s">
        <v>6</v>
      </c>
      <c r="G666" s="8">
        <f t="shared" si="59"/>
        <v>21</v>
      </c>
      <c r="H666">
        <f t="shared" si="60"/>
        <v>4</v>
      </c>
      <c r="I666" t="str">
        <f t="shared" si="58"/>
        <v>Wednesday</v>
      </c>
      <c r="L666">
        <f t="shared" si="61"/>
        <v>0</v>
      </c>
    </row>
    <row r="667" spans="1:12" x14ac:dyDescent="0.25">
      <c r="A667">
        <v>163990458</v>
      </c>
      <c r="B667" s="1">
        <v>44902</v>
      </c>
      <c r="C667" s="1">
        <v>44917</v>
      </c>
      <c r="D667" t="s">
        <v>7</v>
      </c>
      <c r="E667">
        <v>39</v>
      </c>
      <c r="F667" t="s">
        <v>6</v>
      </c>
      <c r="G667" s="8">
        <f t="shared" si="59"/>
        <v>15</v>
      </c>
      <c r="H667">
        <f t="shared" si="60"/>
        <v>4</v>
      </c>
      <c r="I667" t="str">
        <f t="shared" si="58"/>
        <v>Wednesday</v>
      </c>
      <c r="L667">
        <f t="shared" si="61"/>
        <v>0</v>
      </c>
    </row>
    <row r="668" spans="1:12" x14ac:dyDescent="0.25">
      <c r="A668">
        <v>166411463</v>
      </c>
      <c r="B668" s="1">
        <v>44903</v>
      </c>
      <c r="C668" s="1">
        <f t="shared" ref="C668:C670" ca="1" si="62">TODAY()</f>
        <v>45938</v>
      </c>
      <c r="D668" t="s">
        <v>7</v>
      </c>
      <c r="E668">
        <v>39</v>
      </c>
      <c r="F668" t="s">
        <v>6</v>
      </c>
      <c r="G668" s="8">
        <f t="shared" ca="1" si="59"/>
        <v>1035</v>
      </c>
      <c r="H668">
        <f t="shared" si="60"/>
        <v>5</v>
      </c>
      <c r="I668" t="str">
        <f t="shared" si="58"/>
        <v>Thursday</v>
      </c>
      <c r="L668">
        <f t="shared" ca="1" si="61"/>
        <v>0</v>
      </c>
    </row>
    <row r="669" spans="1:12" x14ac:dyDescent="0.25">
      <c r="A669">
        <v>168433088</v>
      </c>
      <c r="B669" s="1">
        <v>44903</v>
      </c>
      <c r="C669" s="1">
        <f t="shared" ca="1" si="62"/>
        <v>45938</v>
      </c>
      <c r="D669" t="s">
        <v>7</v>
      </c>
      <c r="E669">
        <v>39</v>
      </c>
      <c r="F669" t="s">
        <v>6</v>
      </c>
      <c r="G669" s="8">
        <f t="shared" ca="1" si="59"/>
        <v>1035</v>
      </c>
      <c r="H669">
        <f t="shared" si="60"/>
        <v>5</v>
      </c>
      <c r="I669" t="str">
        <f t="shared" si="58"/>
        <v>Thursday</v>
      </c>
      <c r="L669">
        <f t="shared" ca="1" si="61"/>
        <v>0</v>
      </c>
    </row>
    <row r="670" spans="1:12" x14ac:dyDescent="0.25">
      <c r="A670">
        <v>155426075</v>
      </c>
      <c r="B670" s="1">
        <v>44903</v>
      </c>
      <c r="C670" s="1">
        <f t="shared" ca="1" si="62"/>
        <v>45938</v>
      </c>
      <c r="D670" t="s">
        <v>7</v>
      </c>
      <c r="E670">
        <v>39</v>
      </c>
      <c r="F670" t="s">
        <v>6</v>
      </c>
      <c r="G670" s="8">
        <f t="shared" ca="1" si="59"/>
        <v>1035</v>
      </c>
      <c r="H670">
        <f t="shared" si="60"/>
        <v>5</v>
      </c>
      <c r="I670" t="str">
        <f t="shared" si="58"/>
        <v>Thursday</v>
      </c>
      <c r="L670">
        <f t="shared" ca="1" si="61"/>
        <v>0</v>
      </c>
    </row>
    <row r="671" spans="1:12" x14ac:dyDescent="0.25">
      <c r="A671">
        <v>168555694</v>
      </c>
      <c r="B671" s="1">
        <v>44903</v>
      </c>
      <c r="C671" s="1">
        <v>44904</v>
      </c>
      <c r="D671" t="s">
        <v>8</v>
      </c>
      <c r="E671">
        <v>39</v>
      </c>
      <c r="F671" t="s">
        <v>6</v>
      </c>
      <c r="G671" s="8">
        <f t="shared" si="59"/>
        <v>1</v>
      </c>
      <c r="H671">
        <f t="shared" si="60"/>
        <v>5</v>
      </c>
      <c r="I671" t="str">
        <f t="shared" si="58"/>
        <v>Thursday</v>
      </c>
      <c r="L671">
        <f t="shared" si="61"/>
        <v>1</v>
      </c>
    </row>
    <row r="672" spans="1:12" x14ac:dyDescent="0.25">
      <c r="A672">
        <v>162912102</v>
      </c>
      <c r="B672" s="1">
        <v>44903</v>
      </c>
      <c r="C672" s="1">
        <v>45061</v>
      </c>
      <c r="D672" t="s">
        <v>7</v>
      </c>
      <c r="E672">
        <v>39</v>
      </c>
      <c r="F672" t="s">
        <v>6</v>
      </c>
      <c r="G672" s="8">
        <f t="shared" si="59"/>
        <v>158</v>
      </c>
      <c r="H672">
        <f t="shared" si="60"/>
        <v>5</v>
      </c>
      <c r="I672" t="str">
        <f t="shared" si="58"/>
        <v>Thursday</v>
      </c>
      <c r="L672">
        <f t="shared" si="61"/>
        <v>0</v>
      </c>
    </row>
    <row r="673" spans="1:12" x14ac:dyDescent="0.25">
      <c r="A673">
        <v>168471192</v>
      </c>
      <c r="B673" s="1">
        <v>44903</v>
      </c>
      <c r="C673" s="1">
        <v>44960</v>
      </c>
      <c r="D673" t="s">
        <v>7</v>
      </c>
      <c r="E673">
        <v>39</v>
      </c>
      <c r="F673" t="s">
        <v>6</v>
      </c>
      <c r="G673" s="8">
        <f t="shared" si="59"/>
        <v>57</v>
      </c>
      <c r="H673">
        <f t="shared" si="60"/>
        <v>5</v>
      </c>
      <c r="I673" t="str">
        <f t="shared" si="58"/>
        <v>Thursday</v>
      </c>
      <c r="L673">
        <f t="shared" si="61"/>
        <v>0</v>
      </c>
    </row>
    <row r="674" spans="1:12" x14ac:dyDescent="0.25">
      <c r="A674">
        <v>168825734</v>
      </c>
      <c r="B674" s="1">
        <v>44903</v>
      </c>
      <c r="C674" s="1">
        <v>44941</v>
      </c>
      <c r="D674" t="s">
        <v>7</v>
      </c>
      <c r="E674">
        <v>39</v>
      </c>
      <c r="F674" t="s">
        <v>6</v>
      </c>
      <c r="G674" s="8">
        <f t="shared" si="59"/>
        <v>38</v>
      </c>
      <c r="H674">
        <f t="shared" si="60"/>
        <v>5</v>
      </c>
      <c r="I674" t="str">
        <f t="shared" si="58"/>
        <v>Thursday</v>
      </c>
      <c r="L674">
        <f t="shared" si="61"/>
        <v>0</v>
      </c>
    </row>
    <row r="675" spans="1:12" x14ac:dyDescent="0.25">
      <c r="A675">
        <v>163852568</v>
      </c>
      <c r="B675" s="1">
        <v>44903</v>
      </c>
      <c r="C675" s="1">
        <v>44907</v>
      </c>
      <c r="D675" t="s">
        <v>7</v>
      </c>
      <c r="E675">
        <v>39</v>
      </c>
      <c r="F675" t="s">
        <v>6</v>
      </c>
      <c r="G675" s="8">
        <f t="shared" si="59"/>
        <v>4</v>
      </c>
      <c r="H675">
        <f t="shared" si="60"/>
        <v>5</v>
      </c>
      <c r="I675" t="str">
        <f t="shared" si="58"/>
        <v>Thursday</v>
      </c>
      <c r="L675">
        <f t="shared" si="61"/>
        <v>0</v>
      </c>
    </row>
    <row r="676" spans="1:12" x14ac:dyDescent="0.25">
      <c r="A676">
        <v>168460834</v>
      </c>
      <c r="B676" s="1">
        <v>44903</v>
      </c>
      <c r="C676" s="1">
        <v>44922</v>
      </c>
      <c r="D676" t="s">
        <v>7</v>
      </c>
      <c r="E676">
        <v>39</v>
      </c>
      <c r="F676" t="s">
        <v>6</v>
      </c>
      <c r="G676" s="8">
        <f t="shared" si="59"/>
        <v>19</v>
      </c>
      <c r="H676">
        <f t="shared" si="60"/>
        <v>5</v>
      </c>
      <c r="I676" t="str">
        <f t="shared" si="58"/>
        <v>Thursday</v>
      </c>
      <c r="L676">
        <f t="shared" si="61"/>
        <v>0</v>
      </c>
    </row>
    <row r="677" spans="1:12" x14ac:dyDescent="0.25">
      <c r="A677">
        <v>169085351</v>
      </c>
      <c r="B677" s="1">
        <v>44904</v>
      </c>
      <c r="C677" s="1">
        <v>45112</v>
      </c>
      <c r="D677" t="s">
        <v>7</v>
      </c>
      <c r="E677">
        <v>39</v>
      </c>
      <c r="F677" t="s">
        <v>6</v>
      </c>
      <c r="G677" s="8">
        <f t="shared" si="59"/>
        <v>208</v>
      </c>
      <c r="H677">
        <f t="shared" si="60"/>
        <v>6</v>
      </c>
      <c r="I677" t="str">
        <f t="shared" si="58"/>
        <v>Friday</v>
      </c>
      <c r="L677">
        <f t="shared" si="61"/>
        <v>0</v>
      </c>
    </row>
    <row r="678" spans="1:12" x14ac:dyDescent="0.25">
      <c r="A678">
        <v>168456070</v>
      </c>
      <c r="B678" s="1">
        <v>44904</v>
      </c>
      <c r="C678" s="1">
        <v>45038</v>
      </c>
      <c r="D678" t="s">
        <v>7</v>
      </c>
      <c r="E678">
        <v>39</v>
      </c>
      <c r="F678" t="s">
        <v>6</v>
      </c>
      <c r="G678" s="8">
        <f t="shared" si="59"/>
        <v>134</v>
      </c>
      <c r="H678">
        <f t="shared" si="60"/>
        <v>6</v>
      </c>
      <c r="I678" t="str">
        <f t="shared" si="58"/>
        <v>Friday</v>
      </c>
      <c r="L678">
        <f t="shared" si="61"/>
        <v>0</v>
      </c>
    </row>
    <row r="679" spans="1:12" x14ac:dyDescent="0.25">
      <c r="A679">
        <v>168900021</v>
      </c>
      <c r="B679" s="1">
        <v>44904</v>
      </c>
      <c r="C679" s="1">
        <v>44963</v>
      </c>
      <c r="D679" t="s">
        <v>7</v>
      </c>
      <c r="E679">
        <v>39</v>
      </c>
      <c r="F679" t="s">
        <v>6</v>
      </c>
      <c r="G679" s="8">
        <f t="shared" si="59"/>
        <v>59</v>
      </c>
      <c r="H679">
        <f t="shared" si="60"/>
        <v>6</v>
      </c>
      <c r="I679" t="str">
        <f t="shared" si="58"/>
        <v>Friday</v>
      </c>
      <c r="L679">
        <f t="shared" si="61"/>
        <v>0</v>
      </c>
    </row>
    <row r="680" spans="1:12" x14ac:dyDescent="0.25">
      <c r="A680">
        <v>169113748</v>
      </c>
      <c r="B680" s="1">
        <v>44904</v>
      </c>
      <c r="C680" s="1">
        <v>44939</v>
      </c>
      <c r="D680" t="s">
        <v>7</v>
      </c>
      <c r="E680">
        <v>39</v>
      </c>
      <c r="F680" t="s">
        <v>6</v>
      </c>
      <c r="G680" s="8">
        <f t="shared" si="59"/>
        <v>35</v>
      </c>
      <c r="H680">
        <f t="shared" si="60"/>
        <v>6</v>
      </c>
      <c r="I680" t="str">
        <f t="shared" si="58"/>
        <v>Friday</v>
      </c>
      <c r="L680">
        <f t="shared" si="61"/>
        <v>0</v>
      </c>
    </row>
    <row r="681" spans="1:12" x14ac:dyDescent="0.25">
      <c r="A681">
        <v>162193491</v>
      </c>
      <c r="B681" s="1">
        <v>44904</v>
      </c>
      <c r="C681" s="1">
        <v>44946</v>
      </c>
      <c r="D681" t="s">
        <v>7</v>
      </c>
      <c r="E681">
        <v>39</v>
      </c>
      <c r="F681" t="s">
        <v>6</v>
      </c>
      <c r="G681" s="8">
        <f t="shared" si="59"/>
        <v>42</v>
      </c>
      <c r="H681">
        <f t="shared" si="60"/>
        <v>6</v>
      </c>
      <c r="I681" t="str">
        <f t="shared" si="58"/>
        <v>Friday</v>
      </c>
      <c r="L681">
        <f t="shared" si="61"/>
        <v>0</v>
      </c>
    </row>
    <row r="682" spans="1:12" x14ac:dyDescent="0.25">
      <c r="A682">
        <v>167761722</v>
      </c>
      <c r="B682" s="1">
        <v>44904</v>
      </c>
      <c r="C682" s="1">
        <v>45123</v>
      </c>
      <c r="D682" t="s">
        <v>7</v>
      </c>
      <c r="E682">
        <v>39</v>
      </c>
      <c r="F682" t="s">
        <v>6</v>
      </c>
      <c r="G682" s="8">
        <f t="shared" si="59"/>
        <v>219</v>
      </c>
      <c r="H682">
        <f t="shared" si="60"/>
        <v>6</v>
      </c>
      <c r="I682" t="str">
        <f t="shared" si="58"/>
        <v>Friday</v>
      </c>
      <c r="L682">
        <f t="shared" si="61"/>
        <v>0</v>
      </c>
    </row>
    <row r="683" spans="1:12" x14ac:dyDescent="0.25">
      <c r="A683">
        <v>169244937</v>
      </c>
      <c r="B683" s="1">
        <v>44905</v>
      </c>
      <c r="C683" s="1">
        <v>44989</v>
      </c>
      <c r="D683" t="s">
        <v>7</v>
      </c>
      <c r="E683">
        <v>39</v>
      </c>
      <c r="F683" t="s">
        <v>6</v>
      </c>
      <c r="G683" s="8">
        <f t="shared" si="59"/>
        <v>84</v>
      </c>
      <c r="H683">
        <f t="shared" si="60"/>
        <v>7</v>
      </c>
      <c r="I683" t="str">
        <f t="shared" si="58"/>
        <v>Saturday</v>
      </c>
      <c r="L683">
        <f t="shared" si="61"/>
        <v>0</v>
      </c>
    </row>
    <row r="684" spans="1:12" x14ac:dyDescent="0.25">
      <c r="A684">
        <v>167923504</v>
      </c>
      <c r="B684" s="1">
        <v>44905</v>
      </c>
      <c r="C684" s="1">
        <v>44965</v>
      </c>
      <c r="D684" t="s">
        <v>7</v>
      </c>
      <c r="E684">
        <v>39</v>
      </c>
      <c r="F684" t="s">
        <v>6</v>
      </c>
      <c r="G684" s="8">
        <f t="shared" si="59"/>
        <v>60</v>
      </c>
      <c r="H684">
        <f t="shared" si="60"/>
        <v>7</v>
      </c>
      <c r="I684" t="str">
        <f t="shared" si="58"/>
        <v>Saturday</v>
      </c>
      <c r="L684">
        <f t="shared" si="61"/>
        <v>0</v>
      </c>
    </row>
    <row r="685" spans="1:12" x14ac:dyDescent="0.25">
      <c r="A685">
        <v>167459469</v>
      </c>
      <c r="B685" s="1">
        <v>44905</v>
      </c>
      <c r="C685" s="1">
        <v>44940</v>
      </c>
      <c r="D685" t="s">
        <v>7</v>
      </c>
      <c r="E685">
        <v>39</v>
      </c>
      <c r="F685" t="s">
        <v>6</v>
      </c>
      <c r="G685" s="8">
        <f t="shared" si="59"/>
        <v>35</v>
      </c>
      <c r="H685">
        <f t="shared" si="60"/>
        <v>7</v>
      </c>
      <c r="I685" t="str">
        <f t="shared" si="58"/>
        <v>Saturday</v>
      </c>
      <c r="L685">
        <f t="shared" si="61"/>
        <v>0</v>
      </c>
    </row>
    <row r="686" spans="1:12" x14ac:dyDescent="0.25">
      <c r="A686">
        <v>123169152</v>
      </c>
      <c r="B686" s="1">
        <v>44905</v>
      </c>
      <c r="C686" s="1">
        <v>44929</v>
      </c>
      <c r="D686" t="s">
        <v>7</v>
      </c>
      <c r="E686">
        <v>39</v>
      </c>
      <c r="F686" t="s">
        <v>6</v>
      </c>
      <c r="G686" s="8">
        <f t="shared" si="59"/>
        <v>24</v>
      </c>
      <c r="H686">
        <f t="shared" si="60"/>
        <v>7</v>
      </c>
      <c r="I686" t="str">
        <f t="shared" si="58"/>
        <v>Saturday</v>
      </c>
      <c r="L686">
        <f t="shared" si="61"/>
        <v>0</v>
      </c>
    </row>
    <row r="687" spans="1:12" x14ac:dyDescent="0.25">
      <c r="A687">
        <v>153157541</v>
      </c>
      <c r="B687" s="1">
        <v>44906</v>
      </c>
      <c r="C687" s="1">
        <f t="shared" ref="C687:C688" ca="1" si="63">TODAY()</f>
        <v>45938</v>
      </c>
      <c r="D687" t="s">
        <v>7</v>
      </c>
      <c r="E687">
        <v>39</v>
      </c>
      <c r="F687" t="s">
        <v>6</v>
      </c>
      <c r="G687" s="8">
        <f t="shared" ca="1" si="59"/>
        <v>1032</v>
      </c>
      <c r="H687">
        <f t="shared" si="60"/>
        <v>1</v>
      </c>
      <c r="I687" t="str">
        <f t="shared" si="58"/>
        <v>Sunday</v>
      </c>
      <c r="L687">
        <f t="shared" ca="1" si="61"/>
        <v>0</v>
      </c>
    </row>
    <row r="688" spans="1:12" x14ac:dyDescent="0.25">
      <c r="A688">
        <v>169133180</v>
      </c>
      <c r="B688" s="1">
        <v>44906</v>
      </c>
      <c r="C688" s="1">
        <f t="shared" ca="1" si="63"/>
        <v>45938</v>
      </c>
      <c r="D688" t="s">
        <v>7</v>
      </c>
      <c r="E688">
        <v>39</v>
      </c>
      <c r="F688" t="s">
        <v>6</v>
      </c>
      <c r="G688" s="8">
        <f t="shared" ca="1" si="59"/>
        <v>1032</v>
      </c>
      <c r="H688">
        <f t="shared" si="60"/>
        <v>1</v>
      </c>
      <c r="I688" t="str">
        <f t="shared" si="58"/>
        <v>Sunday</v>
      </c>
      <c r="L688">
        <f t="shared" ca="1" si="61"/>
        <v>0</v>
      </c>
    </row>
    <row r="689" spans="1:12" x14ac:dyDescent="0.25">
      <c r="A689">
        <v>129447970</v>
      </c>
      <c r="B689" s="1">
        <v>44906</v>
      </c>
      <c r="C689" s="1">
        <v>44907</v>
      </c>
      <c r="D689" t="s">
        <v>7</v>
      </c>
      <c r="E689">
        <v>39</v>
      </c>
      <c r="F689" t="s">
        <v>6</v>
      </c>
      <c r="G689" s="8">
        <f t="shared" si="59"/>
        <v>1</v>
      </c>
      <c r="H689">
        <f t="shared" si="60"/>
        <v>1</v>
      </c>
      <c r="I689" t="str">
        <f t="shared" si="58"/>
        <v>Sunday</v>
      </c>
      <c r="L689">
        <f t="shared" si="61"/>
        <v>1</v>
      </c>
    </row>
    <row r="690" spans="1:12" x14ac:dyDescent="0.25">
      <c r="A690">
        <v>169388365</v>
      </c>
      <c r="B690" s="1">
        <v>44906</v>
      </c>
      <c r="C690" s="1">
        <v>45095</v>
      </c>
      <c r="D690" t="s">
        <v>7</v>
      </c>
      <c r="E690">
        <v>39</v>
      </c>
      <c r="F690" t="s">
        <v>6</v>
      </c>
      <c r="G690" s="8">
        <f t="shared" si="59"/>
        <v>189</v>
      </c>
      <c r="H690">
        <f t="shared" si="60"/>
        <v>1</v>
      </c>
      <c r="I690" t="str">
        <f t="shared" si="58"/>
        <v>Sunday</v>
      </c>
      <c r="L690">
        <f t="shared" si="61"/>
        <v>0</v>
      </c>
    </row>
    <row r="691" spans="1:12" x14ac:dyDescent="0.25">
      <c r="A691">
        <v>130872019</v>
      </c>
      <c r="B691" s="1">
        <v>44906</v>
      </c>
      <c r="C691" s="1">
        <v>45027</v>
      </c>
      <c r="D691" t="s">
        <v>7</v>
      </c>
      <c r="E691">
        <v>39</v>
      </c>
      <c r="F691" t="s">
        <v>6</v>
      </c>
      <c r="G691" s="8">
        <f t="shared" si="59"/>
        <v>121</v>
      </c>
      <c r="H691">
        <f t="shared" si="60"/>
        <v>1</v>
      </c>
      <c r="I691" t="str">
        <f t="shared" si="58"/>
        <v>Sunday</v>
      </c>
      <c r="L691">
        <f t="shared" si="61"/>
        <v>0</v>
      </c>
    </row>
    <row r="692" spans="1:12" x14ac:dyDescent="0.25">
      <c r="A692">
        <v>167674086</v>
      </c>
      <c r="B692" s="1">
        <v>44906</v>
      </c>
      <c r="C692" s="1">
        <v>45047</v>
      </c>
      <c r="D692" t="s">
        <v>7</v>
      </c>
      <c r="E692">
        <v>39</v>
      </c>
      <c r="F692" t="s">
        <v>6</v>
      </c>
      <c r="G692" s="8">
        <f t="shared" si="59"/>
        <v>141</v>
      </c>
      <c r="H692">
        <f t="shared" si="60"/>
        <v>1</v>
      </c>
      <c r="I692" t="str">
        <f t="shared" si="58"/>
        <v>Sunday</v>
      </c>
      <c r="L692">
        <f t="shared" si="61"/>
        <v>0</v>
      </c>
    </row>
    <row r="693" spans="1:12" x14ac:dyDescent="0.25">
      <c r="A693">
        <v>169590994</v>
      </c>
      <c r="B693" s="1">
        <v>44906</v>
      </c>
      <c r="C693" s="1">
        <v>44983</v>
      </c>
      <c r="D693" t="s">
        <v>7</v>
      </c>
      <c r="E693">
        <v>39</v>
      </c>
      <c r="F693" t="s">
        <v>6</v>
      </c>
      <c r="G693" s="8">
        <f t="shared" si="59"/>
        <v>77</v>
      </c>
      <c r="H693">
        <f t="shared" si="60"/>
        <v>1</v>
      </c>
      <c r="I693" t="str">
        <f t="shared" si="58"/>
        <v>Sunday</v>
      </c>
      <c r="L693">
        <f t="shared" si="61"/>
        <v>0</v>
      </c>
    </row>
    <row r="694" spans="1:12" x14ac:dyDescent="0.25">
      <c r="A694">
        <v>166199181</v>
      </c>
      <c r="B694" s="1">
        <v>44906</v>
      </c>
      <c r="C694" s="1">
        <v>44944</v>
      </c>
      <c r="D694" t="s">
        <v>7</v>
      </c>
      <c r="E694">
        <v>39</v>
      </c>
      <c r="F694" t="s">
        <v>6</v>
      </c>
      <c r="G694" s="8">
        <f t="shared" si="59"/>
        <v>38</v>
      </c>
      <c r="H694">
        <f t="shared" si="60"/>
        <v>1</v>
      </c>
      <c r="I694" t="str">
        <f t="shared" si="58"/>
        <v>Sunday</v>
      </c>
      <c r="L694">
        <f t="shared" si="61"/>
        <v>0</v>
      </c>
    </row>
    <row r="695" spans="1:12" x14ac:dyDescent="0.25">
      <c r="A695">
        <v>169895510</v>
      </c>
      <c r="B695" s="1">
        <v>44907</v>
      </c>
      <c r="C695" s="1">
        <f t="shared" ref="C695:C697" ca="1" si="64">TODAY()</f>
        <v>45938</v>
      </c>
      <c r="D695" t="s">
        <v>7</v>
      </c>
      <c r="E695">
        <v>39</v>
      </c>
      <c r="F695" t="s">
        <v>6</v>
      </c>
      <c r="G695" s="8">
        <f t="shared" ca="1" si="59"/>
        <v>1031</v>
      </c>
      <c r="H695">
        <f t="shared" si="60"/>
        <v>2</v>
      </c>
      <c r="I695" t="str">
        <f t="shared" si="58"/>
        <v>Monday</v>
      </c>
      <c r="L695">
        <f t="shared" ca="1" si="61"/>
        <v>0</v>
      </c>
    </row>
    <row r="696" spans="1:12" x14ac:dyDescent="0.25">
      <c r="A696">
        <v>169837410</v>
      </c>
      <c r="B696" s="1">
        <v>44907</v>
      </c>
      <c r="C696" s="1">
        <f t="shared" ca="1" si="64"/>
        <v>45938</v>
      </c>
      <c r="D696" t="s">
        <v>7</v>
      </c>
      <c r="E696">
        <v>39</v>
      </c>
      <c r="F696" t="s">
        <v>6</v>
      </c>
      <c r="G696" s="8">
        <f t="shared" ca="1" si="59"/>
        <v>1031</v>
      </c>
      <c r="H696">
        <f t="shared" si="60"/>
        <v>2</v>
      </c>
      <c r="I696" t="str">
        <f t="shared" si="58"/>
        <v>Monday</v>
      </c>
      <c r="L696">
        <f t="shared" ca="1" si="61"/>
        <v>0</v>
      </c>
    </row>
    <row r="697" spans="1:12" x14ac:dyDescent="0.25">
      <c r="A697">
        <v>169854397</v>
      </c>
      <c r="B697" s="1">
        <v>44907</v>
      </c>
      <c r="C697" s="1">
        <f t="shared" ca="1" si="64"/>
        <v>45938</v>
      </c>
      <c r="D697" t="s">
        <v>8</v>
      </c>
      <c r="E697">
        <v>39</v>
      </c>
      <c r="F697" t="s">
        <v>6</v>
      </c>
      <c r="G697" s="8">
        <f t="shared" ca="1" si="59"/>
        <v>1031</v>
      </c>
      <c r="H697">
        <f t="shared" si="60"/>
        <v>2</v>
      </c>
      <c r="I697" t="str">
        <f t="shared" si="58"/>
        <v>Monday</v>
      </c>
      <c r="L697">
        <f t="shared" ca="1" si="61"/>
        <v>0</v>
      </c>
    </row>
    <row r="698" spans="1:12" x14ac:dyDescent="0.25">
      <c r="A698">
        <v>145987169</v>
      </c>
      <c r="B698" s="1">
        <v>44907</v>
      </c>
      <c r="C698" s="1">
        <v>44953</v>
      </c>
      <c r="D698" t="s">
        <v>7</v>
      </c>
      <c r="E698">
        <v>39</v>
      </c>
      <c r="F698" t="s">
        <v>6</v>
      </c>
      <c r="G698" s="8">
        <f t="shared" si="59"/>
        <v>46</v>
      </c>
      <c r="H698">
        <f t="shared" si="60"/>
        <v>2</v>
      </c>
      <c r="I698" t="str">
        <f t="shared" si="58"/>
        <v>Monday</v>
      </c>
      <c r="L698">
        <f t="shared" si="61"/>
        <v>0</v>
      </c>
    </row>
    <row r="699" spans="1:12" x14ac:dyDescent="0.25">
      <c r="A699">
        <v>169915574</v>
      </c>
      <c r="B699" s="1">
        <v>44907</v>
      </c>
      <c r="C699" s="1">
        <v>44998</v>
      </c>
      <c r="D699" t="s">
        <v>7</v>
      </c>
      <c r="E699">
        <v>39</v>
      </c>
      <c r="F699" t="s">
        <v>6</v>
      </c>
      <c r="G699" s="8">
        <f t="shared" si="59"/>
        <v>91</v>
      </c>
      <c r="H699">
        <f t="shared" si="60"/>
        <v>2</v>
      </c>
      <c r="I699" t="str">
        <f t="shared" si="58"/>
        <v>Monday</v>
      </c>
      <c r="L699">
        <f t="shared" si="61"/>
        <v>0</v>
      </c>
    </row>
    <row r="700" spans="1:12" x14ac:dyDescent="0.25">
      <c r="A700">
        <v>164632485</v>
      </c>
      <c r="B700" s="1">
        <v>44907</v>
      </c>
      <c r="C700" s="1">
        <v>44992</v>
      </c>
      <c r="D700" t="s">
        <v>7</v>
      </c>
      <c r="E700">
        <v>39</v>
      </c>
      <c r="F700" t="s">
        <v>6</v>
      </c>
      <c r="G700" s="8">
        <f t="shared" si="59"/>
        <v>85</v>
      </c>
      <c r="H700">
        <f t="shared" si="60"/>
        <v>2</v>
      </c>
      <c r="I700" t="str">
        <f t="shared" si="58"/>
        <v>Monday</v>
      </c>
      <c r="L700">
        <f t="shared" si="61"/>
        <v>0</v>
      </c>
    </row>
    <row r="701" spans="1:12" x14ac:dyDescent="0.25">
      <c r="A701">
        <v>169830063</v>
      </c>
      <c r="B701" s="1">
        <v>44907</v>
      </c>
      <c r="C701" s="1">
        <v>44956</v>
      </c>
      <c r="D701" t="s">
        <v>7</v>
      </c>
      <c r="E701">
        <v>39</v>
      </c>
      <c r="F701" t="s">
        <v>6</v>
      </c>
      <c r="G701" s="8">
        <f t="shared" si="59"/>
        <v>49</v>
      </c>
      <c r="H701">
        <f t="shared" si="60"/>
        <v>2</v>
      </c>
      <c r="I701" t="str">
        <f t="shared" si="58"/>
        <v>Monday</v>
      </c>
      <c r="L701">
        <f t="shared" si="61"/>
        <v>0</v>
      </c>
    </row>
    <row r="702" spans="1:12" x14ac:dyDescent="0.25">
      <c r="A702">
        <v>162624984</v>
      </c>
      <c r="B702" s="1">
        <v>44907</v>
      </c>
      <c r="C702" s="1">
        <v>44949</v>
      </c>
      <c r="D702" t="s">
        <v>7</v>
      </c>
      <c r="E702">
        <v>39</v>
      </c>
      <c r="F702" t="s">
        <v>6</v>
      </c>
      <c r="G702" s="8">
        <f t="shared" si="59"/>
        <v>42</v>
      </c>
      <c r="H702">
        <f t="shared" si="60"/>
        <v>2</v>
      </c>
      <c r="I702" t="str">
        <f t="shared" si="58"/>
        <v>Monday</v>
      </c>
      <c r="L702">
        <f t="shared" si="61"/>
        <v>0</v>
      </c>
    </row>
    <row r="703" spans="1:12" x14ac:dyDescent="0.25">
      <c r="A703">
        <v>169020452</v>
      </c>
      <c r="B703" s="1">
        <v>44907</v>
      </c>
      <c r="C703" s="1">
        <v>45147</v>
      </c>
      <c r="D703" t="s">
        <v>7</v>
      </c>
      <c r="E703">
        <v>39</v>
      </c>
      <c r="F703" t="s">
        <v>6</v>
      </c>
      <c r="G703" s="8">
        <f t="shared" si="59"/>
        <v>240</v>
      </c>
      <c r="H703">
        <f t="shared" si="60"/>
        <v>2</v>
      </c>
      <c r="I703" t="str">
        <f t="shared" si="58"/>
        <v>Monday</v>
      </c>
      <c r="L703">
        <f t="shared" si="61"/>
        <v>0</v>
      </c>
    </row>
    <row r="704" spans="1:12" x14ac:dyDescent="0.25">
      <c r="A704">
        <v>170037760</v>
      </c>
      <c r="B704" s="1">
        <v>44908</v>
      </c>
      <c r="C704" s="1">
        <f ca="1">TODAY()</f>
        <v>45938</v>
      </c>
      <c r="D704" t="s">
        <v>7</v>
      </c>
      <c r="E704">
        <v>39</v>
      </c>
      <c r="F704" t="s">
        <v>6</v>
      </c>
      <c r="G704" s="8">
        <f t="shared" ca="1" si="59"/>
        <v>1030</v>
      </c>
      <c r="H704">
        <f t="shared" si="60"/>
        <v>3</v>
      </c>
      <c r="I704" t="str">
        <f t="shared" si="58"/>
        <v>Tuesday</v>
      </c>
      <c r="L704">
        <f t="shared" ca="1" si="61"/>
        <v>0</v>
      </c>
    </row>
    <row r="705" spans="1:12" x14ac:dyDescent="0.25">
      <c r="A705">
        <v>116060198</v>
      </c>
      <c r="B705" s="1">
        <v>44908</v>
      </c>
      <c r="C705" s="1">
        <v>45005</v>
      </c>
      <c r="D705" t="s">
        <v>7</v>
      </c>
      <c r="E705">
        <v>39</v>
      </c>
      <c r="F705" t="s">
        <v>6</v>
      </c>
      <c r="G705" s="8">
        <f t="shared" si="59"/>
        <v>97</v>
      </c>
      <c r="H705">
        <f t="shared" si="60"/>
        <v>3</v>
      </c>
      <c r="I705" t="str">
        <f t="shared" si="58"/>
        <v>Tuesday</v>
      </c>
      <c r="L705">
        <f t="shared" si="61"/>
        <v>0</v>
      </c>
    </row>
    <row r="706" spans="1:12" x14ac:dyDescent="0.25">
      <c r="A706">
        <v>129798657</v>
      </c>
      <c r="B706" s="1">
        <v>44908</v>
      </c>
      <c r="C706" s="1">
        <v>44998</v>
      </c>
      <c r="D706" t="s">
        <v>7</v>
      </c>
      <c r="E706">
        <v>39</v>
      </c>
      <c r="F706" t="s">
        <v>6</v>
      </c>
      <c r="G706" s="8">
        <f t="shared" si="59"/>
        <v>90</v>
      </c>
      <c r="H706">
        <f t="shared" si="60"/>
        <v>3</v>
      </c>
      <c r="I706" t="str">
        <f t="shared" ref="I706:I769" si="65">TEXT(B706,"DDDD")</f>
        <v>Tuesday</v>
      </c>
      <c r="L706">
        <f t="shared" si="61"/>
        <v>0</v>
      </c>
    </row>
    <row r="707" spans="1:12" x14ac:dyDescent="0.25">
      <c r="A707">
        <v>170426615</v>
      </c>
      <c r="B707" s="1">
        <v>44908</v>
      </c>
      <c r="C707" s="1">
        <v>44970</v>
      </c>
      <c r="D707" t="s">
        <v>7</v>
      </c>
      <c r="E707">
        <v>39</v>
      </c>
      <c r="F707" t="s">
        <v>6</v>
      </c>
      <c r="G707" s="8">
        <f t="shared" ref="G707:G770" si="66">IFERROR(DATEDIF(B707,C707,"D"),"0")</f>
        <v>62</v>
      </c>
      <c r="H707">
        <f t="shared" ref="H707:H770" si="67">WEEKDAY(B707,1)</f>
        <v>3</v>
      </c>
      <c r="I707" t="str">
        <f t="shared" si="65"/>
        <v>Tuesday</v>
      </c>
      <c r="L707">
        <f t="shared" ref="L707:L770" si="68">IF( OR($G707=0,$G707 = 1, $G707 = 2), 1, 0 )</f>
        <v>0</v>
      </c>
    </row>
    <row r="708" spans="1:12" x14ac:dyDescent="0.25">
      <c r="A708">
        <v>161574018</v>
      </c>
      <c r="B708" s="1">
        <v>44908</v>
      </c>
      <c r="C708" s="1">
        <v>44978</v>
      </c>
      <c r="D708" t="s">
        <v>7</v>
      </c>
      <c r="E708">
        <v>39</v>
      </c>
      <c r="F708" t="s">
        <v>6</v>
      </c>
      <c r="G708" s="8">
        <f t="shared" si="66"/>
        <v>70</v>
      </c>
      <c r="H708">
        <f t="shared" si="67"/>
        <v>3</v>
      </c>
      <c r="I708" t="str">
        <f t="shared" si="65"/>
        <v>Tuesday</v>
      </c>
      <c r="L708">
        <f t="shared" si="68"/>
        <v>0</v>
      </c>
    </row>
    <row r="709" spans="1:12" x14ac:dyDescent="0.25">
      <c r="A709">
        <v>160272364</v>
      </c>
      <c r="B709" s="1">
        <v>44909</v>
      </c>
      <c r="C709" s="1">
        <f t="shared" ref="C709:C710" ca="1" si="69">TODAY()</f>
        <v>45938</v>
      </c>
      <c r="D709" t="s">
        <v>7</v>
      </c>
      <c r="E709">
        <v>39</v>
      </c>
      <c r="F709" t="s">
        <v>6</v>
      </c>
      <c r="G709" s="8">
        <f t="shared" ca="1" si="66"/>
        <v>1029</v>
      </c>
      <c r="H709">
        <f t="shared" si="67"/>
        <v>4</v>
      </c>
      <c r="I709" t="str">
        <f t="shared" si="65"/>
        <v>Wednesday</v>
      </c>
      <c r="L709">
        <f t="shared" ca="1" si="68"/>
        <v>0</v>
      </c>
    </row>
    <row r="710" spans="1:12" x14ac:dyDescent="0.25">
      <c r="A710">
        <v>144938943</v>
      </c>
      <c r="B710" s="1">
        <v>44909</v>
      </c>
      <c r="C710" s="1">
        <f t="shared" ca="1" si="69"/>
        <v>45938</v>
      </c>
      <c r="D710" t="s">
        <v>8</v>
      </c>
      <c r="E710">
        <v>39</v>
      </c>
      <c r="F710" t="s">
        <v>6</v>
      </c>
      <c r="G710" s="8">
        <f t="shared" ca="1" si="66"/>
        <v>1029</v>
      </c>
      <c r="H710">
        <f t="shared" si="67"/>
        <v>4</v>
      </c>
      <c r="I710" t="str">
        <f t="shared" si="65"/>
        <v>Wednesday</v>
      </c>
      <c r="L710">
        <f t="shared" ca="1" si="68"/>
        <v>0</v>
      </c>
    </row>
    <row r="711" spans="1:12" x14ac:dyDescent="0.25">
      <c r="A711">
        <v>170004555</v>
      </c>
      <c r="B711" s="1">
        <v>44909</v>
      </c>
      <c r="C711" s="1">
        <v>44968</v>
      </c>
      <c r="D711" t="s">
        <v>7</v>
      </c>
      <c r="E711">
        <v>39</v>
      </c>
      <c r="F711" t="s">
        <v>6</v>
      </c>
      <c r="G711" s="8">
        <f t="shared" si="66"/>
        <v>59</v>
      </c>
      <c r="H711">
        <f t="shared" si="67"/>
        <v>4</v>
      </c>
      <c r="I711" t="str">
        <f t="shared" si="65"/>
        <v>Wednesday</v>
      </c>
      <c r="L711">
        <f t="shared" si="68"/>
        <v>0</v>
      </c>
    </row>
    <row r="712" spans="1:12" x14ac:dyDescent="0.25">
      <c r="A712">
        <v>167673987</v>
      </c>
      <c r="B712" s="1">
        <v>44909</v>
      </c>
      <c r="C712" s="1">
        <v>44978</v>
      </c>
      <c r="D712" t="s">
        <v>7</v>
      </c>
      <c r="E712">
        <v>39</v>
      </c>
      <c r="F712" t="s">
        <v>6</v>
      </c>
      <c r="G712" s="8">
        <f t="shared" si="66"/>
        <v>69</v>
      </c>
      <c r="H712">
        <f t="shared" si="67"/>
        <v>4</v>
      </c>
      <c r="I712" t="str">
        <f t="shared" si="65"/>
        <v>Wednesday</v>
      </c>
      <c r="L712">
        <f t="shared" si="68"/>
        <v>0</v>
      </c>
    </row>
    <row r="713" spans="1:12" x14ac:dyDescent="0.25">
      <c r="A713">
        <v>154448870</v>
      </c>
      <c r="B713" s="1">
        <v>44909</v>
      </c>
      <c r="C713" s="1">
        <v>44928</v>
      </c>
      <c r="D713" t="s">
        <v>7</v>
      </c>
      <c r="E713">
        <v>39</v>
      </c>
      <c r="F713" t="s">
        <v>6</v>
      </c>
      <c r="G713" s="8">
        <f t="shared" si="66"/>
        <v>19</v>
      </c>
      <c r="H713">
        <f t="shared" si="67"/>
        <v>4</v>
      </c>
      <c r="I713" t="str">
        <f t="shared" si="65"/>
        <v>Wednesday</v>
      </c>
      <c r="L713">
        <f t="shared" si="68"/>
        <v>0</v>
      </c>
    </row>
    <row r="714" spans="1:12" x14ac:dyDescent="0.25">
      <c r="A714">
        <v>153508650</v>
      </c>
      <c r="B714" s="1">
        <v>44909</v>
      </c>
      <c r="C714" s="1">
        <v>44957</v>
      </c>
      <c r="D714" t="s">
        <v>7</v>
      </c>
      <c r="E714">
        <v>39</v>
      </c>
      <c r="F714" t="s">
        <v>6</v>
      </c>
      <c r="G714" s="8">
        <f t="shared" si="66"/>
        <v>48</v>
      </c>
      <c r="H714">
        <f t="shared" si="67"/>
        <v>4</v>
      </c>
      <c r="I714" t="str">
        <f t="shared" si="65"/>
        <v>Wednesday</v>
      </c>
      <c r="L714">
        <f t="shared" si="68"/>
        <v>0</v>
      </c>
    </row>
    <row r="715" spans="1:12" x14ac:dyDescent="0.25">
      <c r="A715">
        <v>156521981</v>
      </c>
      <c r="B715" s="1">
        <v>44909</v>
      </c>
      <c r="C715" s="1">
        <v>44940</v>
      </c>
      <c r="D715" t="s">
        <v>7</v>
      </c>
      <c r="E715">
        <v>39</v>
      </c>
      <c r="F715" t="s">
        <v>6</v>
      </c>
      <c r="G715" s="8">
        <f t="shared" si="66"/>
        <v>31</v>
      </c>
      <c r="H715">
        <f t="shared" si="67"/>
        <v>4</v>
      </c>
      <c r="I715" t="str">
        <f t="shared" si="65"/>
        <v>Wednesday</v>
      </c>
      <c r="L715">
        <f t="shared" si="68"/>
        <v>0</v>
      </c>
    </row>
    <row r="716" spans="1:12" x14ac:dyDescent="0.25">
      <c r="A716">
        <v>170897520</v>
      </c>
      <c r="B716" s="1">
        <v>44909</v>
      </c>
      <c r="C716" s="1">
        <v>45111</v>
      </c>
      <c r="D716" t="s">
        <v>7</v>
      </c>
      <c r="E716">
        <v>39</v>
      </c>
      <c r="F716" t="s">
        <v>6</v>
      </c>
      <c r="G716" s="8">
        <f t="shared" si="66"/>
        <v>202</v>
      </c>
      <c r="H716">
        <f t="shared" si="67"/>
        <v>4</v>
      </c>
      <c r="I716" t="str">
        <f t="shared" si="65"/>
        <v>Wednesday</v>
      </c>
      <c r="L716">
        <f t="shared" si="68"/>
        <v>0</v>
      </c>
    </row>
    <row r="717" spans="1:12" x14ac:dyDescent="0.25">
      <c r="A717">
        <v>167076396</v>
      </c>
      <c r="B717" s="1">
        <v>44909</v>
      </c>
      <c r="C717" s="1">
        <v>45142</v>
      </c>
      <c r="D717" t="s">
        <v>7</v>
      </c>
      <c r="E717">
        <v>39</v>
      </c>
      <c r="F717" t="s">
        <v>6</v>
      </c>
      <c r="G717" s="8">
        <f t="shared" si="66"/>
        <v>233</v>
      </c>
      <c r="H717">
        <f t="shared" si="67"/>
        <v>4</v>
      </c>
      <c r="I717" t="str">
        <f t="shared" si="65"/>
        <v>Wednesday</v>
      </c>
      <c r="L717">
        <f t="shared" si="68"/>
        <v>0</v>
      </c>
    </row>
    <row r="718" spans="1:12" x14ac:dyDescent="0.25">
      <c r="A718">
        <v>170968987</v>
      </c>
      <c r="B718" s="1">
        <v>44910</v>
      </c>
      <c r="C718" s="1">
        <f ca="1">TODAY()</f>
        <v>45938</v>
      </c>
      <c r="D718" t="s">
        <v>7</v>
      </c>
      <c r="E718">
        <v>39</v>
      </c>
      <c r="F718" t="s">
        <v>6</v>
      </c>
      <c r="G718" s="8">
        <f t="shared" ca="1" si="66"/>
        <v>1028</v>
      </c>
      <c r="H718">
        <f t="shared" si="67"/>
        <v>5</v>
      </c>
      <c r="I718" t="str">
        <f t="shared" si="65"/>
        <v>Thursday</v>
      </c>
      <c r="L718">
        <f t="shared" ca="1" si="68"/>
        <v>0</v>
      </c>
    </row>
    <row r="719" spans="1:12" x14ac:dyDescent="0.25">
      <c r="A719">
        <v>170154956</v>
      </c>
      <c r="B719" s="1">
        <v>44910</v>
      </c>
      <c r="C719" s="1">
        <v>45034</v>
      </c>
      <c r="D719" t="s">
        <v>7</v>
      </c>
      <c r="E719">
        <v>39</v>
      </c>
      <c r="F719" t="s">
        <v>6</v>
      </c>
      <c r="G719" s="8">
        <f t="shared" si="66"/>
        <v>124</v>
      </c>
      <c r="H719">
        <f t="shared" si="67"/>
        <v>5</v>
      </c>
      <c r="I719" t="str">
        <f t="shared" si="65"/>
        <v>Thursday</v>
      </c>
      <c r="L719">
        <f t="shared" si="68"/>
        <v>0</v>
      </c>
    </row>
    <row r="720" spans="1:12" x14ac:dyDescent="0.25">
      <c r="A720">
        <v>170976924</v>
      </c>
      <c r="B720" s="1">
        <v>44910</v>
      </c>
      <c r="C720" s="1">
        <v>45076</v>
      </c>
      <c r="D720" t="s">
        <v>7</v>
      </c>
      <c r="E720">
        <v>39</v>
      </c>
      <c r="F720" t="s">
        <v>6</v>
      </c>
      <c r="G720" s="8">
        <f t="shared" si="66"/>
        <v>166</v>
      </c>
      <c r="H720">
        <f t="shared" si="67"/>
        <v>5</v>
      </c>
      <c r="I720" t="str">
        <f t="shared" si="65"/>
        <v>Thursday</v>
      </c>
      <c r="L720">
        <f t="shared" si="68"/>
        <v>0</v>
      </c>
    </row>
    <row r="721" spans="1:12" x14ac:dyDescent="0.25">
      <c r="A721">
        <v>171090027</v>
      </c>
      <c r="B721" s="1">
        <v>44910</v>
      </c>
      <c r="C721" s="1">
        <v>44999</v>
      </c>
      <c r="D721" t="s">
        <v>7</v>
      </c>
      <c r="E721">
        <v>39</v>
      </c>
      <c r="F721" t="s">
        <v>6</v>
      </c>
      <c r="G721" s="8">
        <f t="shared" si="66"/>
        <v>89</v>
      </c>
      <c r="H721">
        <f t="shared" si="67"/>
        <v>5</v>
      </c>
      <c r="I721" t="str">
        <f t="shared" si="65"/>
        <v>Thursday</v>
      </c>
      <c r="L721">
        <f t="shared" si="68"/>
        <v>0</v>
      </c>
    </row>
    <row r="722" spans="1:12" x14ac:dyDescent="0.25">
      <c r="A722">
        <v>167135160</v>
      </c>
      <c r="B722" s="1">
        <v>44910</v>
      </c>
      <c r="C722" s="1">
        <v>44944</v>
      </c>
      <c r="D722" t="s">
        <v>7</v>
      </c>
      <c r="E722">
        <v>39</v>
      </c>
      <c r="F722" t="s">
        <v>6</v>
      </c>
      <c r="G722" s="8">
        <f t="shared" si="66"/>
        <v>34</v>
      </c>
      <c r="H722">
        <f t="shared" si="67"/>
        <v>5</v>
      </c>
      <c r="I722" t="str">
        <f t="shared" si="65"/>
        <v>Thursday</v>
      </c>
      <c r="L722">
        <f t="shared" si="68"/>
        <v>0</v>
      </c>
    </row>
    <row r="723" spans="1:12" x14ac:dyDescent="0.25">
      <c r="A723">
        <v>171339244</v>
      </c>
      <c r="B723" s="1">
        <v>44910</v>
      </c>
      <c r="C723" s="1">
        <v>44910</v>
      </c>
      <c r="D723" t="s">
        <v>7</v>
      </c>
      <c r="E723">
        <v>39</v>
      </c>
      <c r="F723" t="s">
        <v>6</v>
      </c>
      <c r="G723" s="8">
        <f t="shared" si="66"/>
        <v>0</v>
      </c>
      <c r="H723">
        <f t="shared" si="67"/>
        <v>5</v>
      </c>
      <c r="I723" t="str">
        <f t="shared" si="65"/>
        <v>Thursday</v>
      </c>
      <c r="L723">
        <f t="shared" si="68"/>
        <v>1</v>
      </c>
    </row>
    <row r="724" spans="1:12" x14ac:dyDescent="0.25">
      <c r="A724">
        <v>169285280</v>
      </c>
      <c r="B724" s="1">
        <v>44911</v>
      </c>
      <c r="C724" s="1">
        <v>44912</v>
      </c>
      <c r="D724" t="s">
        <v>8</v>
      </c>
      <c r="E724">
        <v>39</v>
      </c>
      <c r="F724" t="s">
        <v>6</v>
      </c>
      <c r="G724" s="8">
        <f t="shared" si="66"/>
        <v>1</v>
      </c>
      <c r="H724">
        <f t="shared" si="67"/>
        <v>6</v>
      </c>
      <c r="I724" t="str">
        <f t="shared" si="65"/>
        <v>Friday</v>
      </c>
      <c r="L724">
        <f t="shared" si="68"/>
        <v>1</v>
      </c>
    </row>
    <row r="725" spans="1:12" x14ac:dyDescent="0.25">
      <c r="A725">
        <v>137315832</v>
      </c>
      <c r="B725" s="1">
        <v>44911</v>
      </c>
      <c r="C725" s="1">
        <v>45008</v>
      </c>
      <c r="D725" t="s">
        <v>7</v>
      </c>
      <c r="E725">
        <v>39</v>
      </c>
      <c r="F725" t="s">
        <v>6</v>
      </c>
      <c r="G725" s="8">
        <f t="shared" si="66"/>
        <v>97</v>
      </c>
      <c r="H725">
        <f t="shared" si="67"/>
        <v>6</v>
      </c>
      <c r="I725" t="str">
        <f t="shared" si="65"/>
        <v>Friday</v>
      </c>
      <c r="L725">
        <f t="shared" si="68"/>
        <v>0</v>
      </c>
    </row>
    <row r="726" spans="1:12" x14ac:dyDescent="0.25">
      <c r="A726">
        <v>171286538</v>
      </c>
      <c r="B726" s="1">
        <v>44911</v>
      </c>
      <c r="C726" s="1">
        <v>45029</v>
      </c>
      <c r="D726" t="s">
        <v>7</v>
      </c>
      <c r="E726">
        <v>39</v>
      </c>
      <c r="F726" t="s">
        <v>6</v>
      </c>
      <c r="G726" s="8">
        <f t="shared" si="66"/>
        <v>118</v>
      </c>
      <c r="H726">
        <f t="shared" si="67"/>
        <v>6</v>
      </c>
      <c r="I726" t="str">
        <f t="shared" si="65"/>
        <v>Friday</v>
      </c>
      <c r="L726">
        <f t="shared" si="68"/>
        <v>0</v>
      </c>
    </row>
    <row r="727" spans="1:12" x14ac:dyDescent="0.25">
      <c r="A727">
        <v>154531106</v>
      </c>
      <c r="B727" s="1">
        <v>44911</v>
      </c>
      <c r="C727" s="1">
        <v>45030</v>
      </c>
      <c r="D727" t="s">
        <v>7</v>
      </c>
      <c r="E727">
        <v>39</v>
      </c>
      <c r="F727" t="s">
        <v>6</v>
      </c>
      <c r="G727" s="8">
        <f t="shared" si="66"/>
        <v>119</v>
      </c>
      <c r="H727">
        <f t="shared" si="67"/>
        <v>6</v>
      </c>
      <c r="I727" t="str">
        <f t="shared" si="65"/>
        <v>Friday</v>
      </c>
      <c r="L727">
        <f t="shared" si="68"/>
        <v>0</v>
      </c>
    </row>
    <row r="728" spans="1:12" x14ac:dyDescent="0.25">
      <c r="A728">
        <v>169998988</v>
      </c>
      <c r="B728" s="1">
        <v>44911</v>
      </c>
      <c r="C728" s="1">
        <v>45063</v>
      </c>
      <c r="D728" t="s">
        <v>7</v>
      </c>
      <c r="E728">
        <v>39</v>
      </c>
      <c r="F728" t="s">
        <v>6</v>
      </c>
      <c r="G728" s="8">
        <f t="shared" si="66"/>
        <v>152</v>
      </c>
      <c r="H728">
        <f t="shared" si="67"/>
        <v>6</v>
      </c>
      <c r="I728" t="str">
        <f t="shared" si="65"/>
        <v>Friday</v>
      </c>
      <c r="L728">
        <f t="shared" si="68"/>
        <v>0</v>
      </c>
    </row>
    <row r="729" spans="1:12" x14ac:dyDescent="0.25">
      <c r="A729">
        <v>171860036</v>
      </c>
      <c r="B729" s="1">
        <v>44911</v>
      </c>
      <c r="C729" s="1">
        <v>45003</v>
      </c>
      <c r="D729" t="s">
        <v>7</v>
      </c>
      <c r="E729">
        <v>39</v>
      </c>
      <c r="F729" t="s">
        <v>6</v>
      </c>
      <c r="G729" s="8">
        <f t="shared" si="66"/>
        <v>92</v>
      </c>
      <c r="H729">
        <f t="shared" si="67"/>
        <v>6</v>
      </c>
      <c r="I729" t="str">
        <f t="shared" si="65"/>
        <v>Friday</v>
      </c>
      <c r="L729">
        <f t="shared" si="68"/>
        <v>0</v>
      </c>
    </row>
    <row r="730" spans="1:12" x14ac:dyDescent="0.25">
      <c r="A730">
        <v>169906376</v>
      </c>
      <c r="B730" s="1">
        <v>44911</v>
      </c>
      <c r="C730" s="1">
        <v>44970</v>
      </c>
      <c r="D730" t="s">
        <v>7</v>
      </c>
      <c r="E730">
        <v>39</v>
      </c>
      <c r="F730" t="s">
        <v>6</v>
      </c>
      <c r="G730" s="8">
        <f t="shared" si="66"/>
        <v>59</v>
      </c>
      <c r="H730">
        <f t="shared" si="67"/>
        <v>6</v>
      </c>
      <c r="I730" t="str">
        <f t="shared" si="65"/>
        <v>Friday</v>
      </c>
      <c r="L730">
        <f t="shared" si="68"/>
        <v>0</v>
      </c>
    </row>
    <row r="731" spans="1:12" x14ac:dyDescent="0.25">
      <c r="A731">
        <v>171681744</v>
      </c>
      <c r="B731" s="1">
        <v>44911</v>
      </c>
      <c r="C731" s="1">
        <v>44979</v>
      </c>
      <c r="D731" t="s">
        <v>7</v>
      </c>
      <c r="E731">
        <v>39</v>
      </c>
      <c r="F731" t="s">
        <v>6</v>
      </c>
      <c r="G731" s="8">
        <f t="shared" si="66"/>
        <v>68</v>
      </c>
      <c r="H731">
        <f t="shared" si="67"/>
        <v>6</v>
      </c>
      <c r="I731" t="str">
        <f t="shared" si="65"/>
        <v>Friday</v>
      </c>
      <c r="L731">
        <f t="shared" si="68"/>
        <v>0</v>
      </c>
    </row>
    <row r="732" spans="1:12" x14ac:dyDescent="0.25">
      <c r="A732">
        <v>171375108</v>
      </c>
      <c r="B732" s="1">
        <v>44911</v>
      </c>
      <c r="C732" s="1">
        <v>44942</v>
      </c>
      <c r="D732" t="s">
        <v>7</v>
      </c>
      <c r="E732">
        <v>39</v>
      </c>
      <c r="F732" t="s">
        <v>6</v>
      </c>
      <c r="G732" s="8">
        <f t="shared" si="66"/>
        <v>31</v>
      </c>
      <c r="H732">
        <f t="shared" si="67"/>
        <v>6</v>
      </c>
      <c r="I732" t="str">
        <f t="shared" si="65"/>
        <v>Friday</v>
      </c>
      <c r="L732">
        <f t="shared" si="68"/>
        <v>0</v>
      </c>
    </row>
    <row r="733" spans="1:12" x14ac:dyDescent="0.25">
      <c r="A733">
        <v>166358674</v>
      </c>
      <c r="B733" s="1">
        <v>44911</v>
      </c>
      <c r="C733" s="1">
        <v>44949</v>
      </c>
      <c r="D733" t="s">
        <v>7</v>
      </c>
      <c r="E733">
        <v>39</v>
      </c>
      <c r="F733" t="s">
        <v>6</v>
      </c>
      <c r="G733" s="8">
        <f t="shared" si="66"/>
        <v>38</v>
      </c>
      <c r="H733">
        <f t="shared" si="67"/>
        <v>6</v>
      </c>
      <c r="I733" t="str">
        <f t="shared" si="65"/>
        <v>Friday</v>
      </c>
      <c r="L733">
        <f t="shared" si="68"/>
        <v>0</v>
      </c>
    </row>
    <row r="734" spans="1:12" x14ac:dyDescent="0.25">
      <c r="A734">
        <v>168696864</v>
      </c>
      <c r="B734" s="1">
        <v>44912</v>
      </c>
      <c r="C734" s="1">
        <v>44913</v>
      </c>
      <c r="D734" t="s">
        <v>7</v>
      </c>
      <c r="E734">
        <v>39</v>
      </c>
      <c r="F734" t="s">
        <v>6</v>
      </c>
      <c r="G734" s="8">
        <f t="shared" si="66"/>
        <v>1</v>
      </c>
      <c r="H734">
        <f t="shared" si="67"/>
        <v>7</v>
      </c>
      <c r="I734" t="str">
        <f t="shared" si="65"/>
        <v>Saturday</v>
      </c>
      <c r="L734">
        <f t="shared" si="68"/>
        <v>1</v>
      </c>
    </row>
    <row r="735" spans="1:12" x14ac:dyDescent="0.25">
      <c r="A735">
        <v>149303812</v>
      </c>
      <c r="B735" s="1">
        <v>44912</v>
      </c>
      <c r="C735" s="1">
        <v>44977</v>
      </c>
      <c r="D735" t="s">
        <v>7</v>
      </c>
      <c r="E735">
        <v>39</v>
      </c>
      <c r="F735" t="s">
        <v>6</v>
      </c>
      <c r="G735" s="8">
        <f t="shared" si="66"/>
        <v>65</v>
      </c>
      <c r="H735">
        <f t="shared" si="67"/>
        <v>7</v>
      </c>
      <c r="I735" t="str">
        <f t="shared" si="65"/>
        <v>Saturday</v>
      </c>
      <c r="L735">
        <f t="shared" si="68"/>
        <v>0</v>
      </c>
    </row>
    <row r="736" spans="1:12" x14ac:dyDescent="0.25">
      <c r="A736">
        <v>145969392</v>
      </c>
      <c r="B736" s="1">
        <v>44912</v>
      </c>
      <c r="C736" s="1">
        <v>44958</v>
      </c>
      <c r="D736" t="s">
        <v>7</v>
      </c>
      <c r="E736">
        <v>39</v>
      </c>
      <c r="F736" t="s">
        <v>6</v>
      </c>
      <c r="G736" s="8">
        <f t="shared" si="66"/>
        <v>46</v>
      </c>
      <c r="H736">
        <f t="shared" si="67"/>
        <v>7</v>
      </c>
      <c r="I736" t="str">
        <f t="shared" si="65"/>
        <v>Saturday</v>
      </c>
      <c r="L736">
        <f t="shared" si="68"/>
        <v>0</v>
      </c>
    </row>
    <row r="737" spans="1:12" x14ac:dyDescent="0.25">
      <c r="A737">
        <v>169399624</v>
      </c>
      <c r="B737" s="1">
        <v>44912</v>
      </c>
      <c r="C737" s="1">
        <v>44967</v>
      </c>
      <c r="D737" t="s">
        <v>7</v>
      </c>
      <c r="E737">
        <v>39</v>
      </c>
      <c r="F737" t="s">
        <v>6</v>
      </c>
      <c r="G737" s="8">
        <f t="shared" si="66"/>
        <v>55</v>
      </c>
      <c r="H737">
        <f t="shared" si="67"/>
        <v>7</v>
      </c>
      <c r="I737" t="str">
        <f t="shared" si="65"/>
        <v>Saturday</v>
      </c>
      <c r="L737">
        <f t="shared" si="68"/>
        <v>0</v>
      </c>
    </row>
    <row r="738" spans="1:12" x14ac:dyDescent="0.25">
      <c r="A738">
        <v>162423643</v>
      </c>
      <c r="B738" s="1">
        <v>44912</v>
      </c>
      <c r="C738" s="1">
        <v>44912</v>
      </c>
      <c r="D738" t="s">
        <v>7</v>
      </c>
      <c r="E738">
        <v>39</v>
      </c>
      <c r="F738" t="s">
        <v>6</v>
      </c>
      <c r="G738" s="8">
        <f t="shared" si="66"/>
        <v>0</v>
      </c>
      <c r="H738">
        <f t="shared" si="67"/>
        <v>7</v>
      </c>
      <c r="I738" t="str">
        <f t="shared" si="65"/>
        <v>Saturday</v>
      </c>
      <c r="L738">
        <f t="shared" si="68"/>
        <v>1</v>
      </c>
    </row>
    <row r="739" spans="1:12" x14ac:dyDescent="0.25">
      <c r="A739">
        <v>171131528</v>
      </c>
      <c r="B739" s="1">
        <v>44913</v>
      </c>
      <c r="C739" s="1">
        <f ca="1">TODAY()</f>
        <v>45938</v>
      </c>
      <c r="D739" t="s">
        <v>7</v>
      </c>
      <c r="E739">
        <v>39</v>
      </c>
      <c r="F739" t="s">
        <v>6</v>
      </c>
      <c r="G739" s="8">
        <f t="shared" ca="1" si="66"/>
        <v>1025</v>
      </c>
      <c r="H739">
        <f t="shared" si="67"/>
        <v>1</v>
      </c>
      <c r="I739" t="str">
        <f t="shared" si="65"/>
        <v>Sunday</v>
      </c>
      <c r="L739">
        <f t="shared" ca="1" si="68"/>
        <v>0</v>
      </c>
    </row>
    <row r="740" spans="1:12" x14ac:dyDescent="0.25">
      <c r="A740">
        <v>172370430</v>
      </c>
      <c r="B740" s="1">
        <v>44913</v>
      </c>
      <c r="C740" s="1">
        <v>44914</v>
      </c>
      <c r="D740" t="s">
        <v>8</v>
      </c>
      <c r="E740">
        <v>39</v>
      </c>
      <c r="F740" t="s">
        <v>6</v>
      </c>
      <c r="G740" s="8">
        <f t="shared" si="66"/>
        <v>1</v>
      </c>
      <c r="H740">
        <f t="shared" si="67"/>
        <v>1</v>
      </c>
      <c r="I740" t="str">
        <f t="shared" si="65"/>
        <v>Sunday</v>
      </c>
      <c r="L740">
        <f t="shared" si="68"/>
        <v>1</v>
      </c>
    </row>
    <row r="741" spans="1:12" x14ac:dyDescent="0.25">
      <c r="A741">
        <v>122646091</v>
      </c>
      <c r="B741" s="1">
        <v>44913</v>
      </c>
      <c r="C741" s="1">
        <v>45006</v>
      </c>
      <c r="D741" t="s">
        <v>7</v>
      </c>
      <c r="E741">
        <v>39</v>
      </c>
      <c r="F741" t="s">
        <v>6</v>
      </c>
      <c r="G741" s="8">
        <f t="shared" si="66"/>
        <v>93</v>
      </c>
      <c r="H741">
        <f t="shared" si="67"/>
        <v>1</v>
      </c>
      <c r="I741" t="str">
        <f t="shared" si="65"/>
        <v>Sunday</v>
      </c>
      <c r="L741">
        <f t="shared" si="68"/>
        <v>0</v>
      </c>
    </row>
    <row r="742" spans="1:12" x14ac:dyDescent="0.25">
      <c r="A742">
        <v>171688728</v>
      </c>
      <c r="B742" s="1">
        <v>44913</v>
      </c>
      <c r="C742" s="1">
        <v>44939</v>
      </c>
      <c r="D742" t="s">
        <v>7</v>
      </c>
      <c r="E742">
        <v>39</v>
      </c>
      <c r="F742" t="s">
        <v>6</v>
      </c>
      <c r="G742" s="8">
        <f t="shared" si="66"/>
        <v>26</v>
      </c>
      <c r="H742">
        <f t="shared" si="67"/>
        <v>1</v>
      </c>
      <c r="I742" t="str">
        <f t="shared" si="65"/>
        <v>Sunday</v>
      </c>
      <c r="L742">
        <f t="shared" si="68"/>
        <v>0</v>
      </c>
    </row>
    <row r="743" spans="1:12" x14ac:dyDescent="0.25">
      <c r="A743">
        <v>173037778</v>
      </c>
      <c r="B743" s="1">
        <v>44913</v>
      </c>
      <c r="C743" s="1">
        <v>44953</v>
      </c>
      <c r="D743" t="s">
        <v>7</v>
      </c>
      <c r="E743">
        <v>39</v>
      </c>
      <c r="F743" t="s">
        <v>6</v>
      </c>
      <c r="G743" s="8">
        <f t="shared" si="66"/>
        <v>40</v>
      </c>
      <c r="H743">
        <f t="shared" si="67"/>
        <v>1</v>
      </c>
      <c r="I743" t="str">
        <f t="shared" si="65"/>
        <v>Sunday</v>
      </c>
      <c r="L743">
        <f t="shared" si="68"/>
        <v>0</v>
      </c>
    </row>
    <row r="744" spans="1:12" x14ac:dyDescent="0.25">
      <c r="A744">
        <v>139247241</v>
      </c>
      <c r="B744" s="1">
        <v>44913</v>
      </c>
      <c r="C744" s="1">
        <v>44933</v>
      </c>
      <c r="D744" t="s">
        <v>7</v>
      </c>
      <c r="E744">
        <v>39</v>
      </c>
      <c r="F744" t="s">
        <v>6</v>
      </c>
      <c r="G744" s="8">
        <f t="shared" si="66"/>
        <v>20</v>
      </c>
      <c r="H744">
        <f t="shared" si="67"/>
        <v>1</v>
      </c>
      <c r="I744" t="str">
        <f t="shared" si="65"/>
        <v>Sunday</v>
      </c>
      <c r="L744">
        <f t="shared" si="68"/>
        <v>0</v>
      </c>
    </row>
    <row r="745" spans="1:12" x14ac:dyDescent="0.25">
      <c r="A745">
        <v>138235674</v>
      </c>
      <c r="B745" s="1">
        <v>44914</v>
      </c>
      <c r="C745" s="1">
        <f ca="1">TODAY()</f>
        <v>45938</v>
      </c>
      <c r="D745" t="s">
        <v>7</v>
      </c>
      <c r="E745">
        <v>39</v>
      </c>
      <c r="F745" t="s">
        <v>6</v>
      </c>
      <c r="G745" s="8">
        <f t="shared" ca="1" si="66"/>
        <v>1024</v>
      </c>
      <c r="H745">
        <f t="shared" si="67"/>
        <v>2</v>
      </c>
      <c r="I745" t="str">
        <f t="shared" si="65"/>
        <v>Monday</v>
      </c>
      <c r="L745">
        <f t="shared" ca="1" si="68"/>
        <v>0</v>
      </c>
    </row>
    <row r="746" spans="1:12" x14ac:dyDescent="0.25">
      <c r="A746">
        <v>173832314</v>
      </c>
      <c r="B746" s="1">
        <v>44914</v>
      </c>
      <c r="C746" s="1">
        <v>44983</v>
      </c>
      <c r="D746" t="s">
        <v>7</v>
      </c>
      <c r="E746">
        <v>39</v>
      </c>
      <c r="F746" t="s">
        <v>6</v>
      </c>
      <c r="G746" s="8">
        <f t="shared" si="66"/>
        <v>69</v>
      </c>
      <c r="H746">
        <f t="shared" si="67"/>
        <v>2</v>
      </c>
      <c r="I746" t="str">
        <f t="shared" si="65"/>
        <v>Monday</v>
      </c>
      <c r="L746">
        <f t="shared" si="68"/>
        <v>0</v>
      </c>
    </row>
    <row r="747" spans="1:12" x14ac:dyDescent="0.25">
      <c r="A747">
        <v>170752898</v>
      </c>
      <c r="B747" s="1">
        <v>44914</v>
      </c>
      <c r="C747" s="1">
        <v>44980</v>
      </c>
      <c r="D747" t="s">
        <v>7</v>
      </c>
      <c r="E747">
        <v>39</v>
      </c>
      <c r="F747" t="s">
        <v>6</v>
      </c>
      <c r="G747" s="8">
        <f t="shared" si="66"/>
        <v>66</v>
      </c>
      <c r="H747">
        <f t="shared" si="67"/>
        <v>2</v>
      </c>
      <c r="I747" t="str">
        <f t="shared" si="65"/>
        <v>Monday</v>
      </c>
      <c r="L747">
        <f t="shared" si="68"/>
        <v>0</v>
      </c>
    </row>
    <row r="748" spans="1:12" x14ac:dyDescent="0.25">
      <c r="A748">
        <v>172517999</v>
      </c>
      <c r="B748" s="1">
        <v>44914</v>
      </c>
      <c r="C748" s="1">
        <v>44952</v>
      </c>
      <c r="D748" t="s">
        <v>7</v>
      </c>
      <c r="E748">
        <v>39</v>
      </c>
      <c r="F748" t="s">
        <v>6</v>
      </c>
      <c r="G748" s="8">
        <f t="shared" si="66"/>
        <v>38</v>
      </c>
      <c r="H748">
        <f t="shared" si="67"/>
        <v>2</v>
      </c>
      <c r="I748" t="str">
        <f t="shared" si="65"/>
        <v>Monday</v>
      </c>
      <c r="L748">
        <f t="shared" si="68"/>
        <v>0</v>
      </c>
    </row>
    <row r="749" spans="1:12" x14ac:dyDescent="0.25">
      <c r="A749">
        <v>150779000</v>
      </c>
      <c r="B749" s="1">
        <v>44914</v>
      </c>
      <c r="C749" s="1">
        <v>44928</v>
      </c>
      <c r="D749" t="s">
        <v>7</v>
      </c>
      <c r="E749">
        <v>39</v>
      </c>
      <c r="F749" t="s">
        <v>6</v>
      </c>
      <c r="G749" s="8">
        <f t="shared" si="66"/>
        <v>14</v>
      </c>
      <c r="H749">
        <f t="shared" si="67"/>
        <v>2</v>
      </c>
      <c r="I749" t="str">
        <f t="shared" si="65"/>
        <v>Monday</v>
      </c>
      <c r="L749">
        <f t="shared" si="68"/>
        <v>0</v>
      </c>
    </row>
    <row r="750" spans="1:12" x14ac:dyDescent="0.25">
      <c r="A750">
        <v>171304646</v>
      </c>
      <c r="B750" s="1">
        <v>44914</v>
      </c>
      <c r="C750" s="1">
        <v>45164</v>
      </c>
      <c r="D750" t="s">
        <v>7</v>
      </c>
      <c r="E750">
        <v>39</v>
      </c>
      <c r="F750" t="s">
        <v>6</v>
      </c>
      <c r="G750" s="8">
        <f t="shared" si="66"/>
        <v>250</v>
      </c>
      <c r="H750">
        <f t="shared" si="67"/>
        <v>2</v>
      </c>
      <c r="I750" t="str">
        <f t="shared" si="65"/>
        <v>Monday</v>
      </c>
      <c r="L750">
        <f t="shared" si="68"/>
        <v>0</v>
      </c>
    </row>
    <row r="751" spans="1:12" x14ac:dyDescent="0.25">
      <c r="A751">
        <v>168696864</v>
      </c>
      <c r="B751" s="1">
        <v>44915</v>
      </c>
      <c r="C751" s="1">
        <f t="shared" ref="C751:C753" ca="1" si="70">TODAY()</f>
        <v>45938</v>
      </c>
      <c r="D751" t="s">
        <v>7</v>
      </c>
      <c r="E751">
        <v>39</v>
      </c>
      <c r="F751" t="s">
        <v>6</v>
      </c>
      <c r="G751" s="8">
        <f t="shared" ca="1" si="66"/>
        <v>1023</v>
      </c>
      <c r="H751">
        <f t="shared" si="67"/>
        <v>3</v>
      </c>
      <c r="I751" t="str">
        <f t="shared" si="65"/>
        <v>Tuesday</v>
      </c>
      <c r="L751">
        <f t="shared" ca="1" si="68"/>
        <v>0</v>
      </c>
    </row>
    <row r="752" spans="1:12" x14ac:dyDescent="0.25">
      <c r="A752">
        <v>174268714</v>
      </c>
      <c r="B752" s="1">
        <v>44915</v>
      </c>
      <c r="C752" s="1">
        <f t="shared" ca="1" si="70"/>
        <v>45938</v>
      </c>
      <c r="D752" t="s">
        <v>7</v>
      </c>
      <c r="E752">
        <v>39</v>
      </c>
      <c r="F752" t="s">
        <v>6</v>
      </c>
      <c r="G752" s="8">
        <f t="shared" ca="1" si="66"/>
        <v>1023</v>
      </c>
      <c r="H752">
        <f t="shared" si="67"/>
        <v>3</v>
      </c>
      <c r="I752" t="str">
        <f t="shared" si="65"/>
        <v>Tuesday</v>
      </c>
      <c r="L752">
        <f t="shared" ca="1" si="68"/>
        <v>0</v>
      </c>
    </row>
    <row r="753" spans="1:12" x14ac:dyDescent="0.25">
      <c r="A753">
        <v>147022677</v>
      </c>
      <c r="B753" s="1">
        <v>44915</v>
      </c>
      <c r="C753" s="1">
        <f t="shared" ca="1" si="70"/>
        <v>45938</v>
      </c>
      <c r="D753" t="s">
        <v>7</v>
      </c>
      <c r="E753">
        <v>39</v>
      </c>
      <c r="F753" t="s">
        <v>6</v>
      </c>
      <c r="G753" s="8">
        <f t="shared" ca="1" si="66"/>
        <v>1023</v>
      </c>
      <c r="H753">
        <f t="shared" si="67"/>
        <v>3</v>
      </c>
      <c r="I753" t="str">
        <f t="shared" si="65"/>
        <v>Tuesday</v>
      </c>
      <c r="L753">
        <f t="shared" ca="1" si="68"/>
        <v>0</v>
      </c>
    </row>
    <row r="754" spans="1:12" x14ac:dyDescent="0.25">
      <c r="A754">
        <v>156864062</v>
      </c>
      <c r="B754" s="1">
        <v>44915</v>
      </c>
      <c r="C754" s="1">
        <v>44916</v>
      </c>
      <c r="D754" t="s">
        <v>8</v>
      </c>
      <c r="E754">
        <v>39</v>
      </c>
      <c r="F754" t="s">
        <v>6</v>
      </c>
      <c r="G754" s="8">
        <f t="shared" si="66"/>
        <v>1</v>
      </c>
      <c r="H754">
        <f t="shared" si="67"/>
        <v>3</v>
      </c>
      <c r="I754" t="str">
        <f t="shared" si="65"/>
        <v>Tuesday</v>
      </c>
      <c r="L754">
        <f t="shared" si="68"/>
        <v>1</v>
      </c>
    </row>
    <row r="755" spans="1:12" x14ac:dyDescent="0.25">
      <c r="A755">
        <v>123065349</v>
      </c>
      <c r="B755" s="1">
        <v>44915</v>
      </c>
      <c r="C755" s="1">
        <v>45012</v>
      </c>
      <c r="D755" t="s">
        <v>7</v>
      </c>
      <c r="E755">
        <v>39</v>
      </c>
      <c r="F755" t="s">
        <v>6</v>
      </c>
      <c r="G755" s="8">
        <f t="shared" si="66"/>
        <v>97</v>
      </c>
      <c r="H755">
        <f t="shared" si="67"/>
        <v>3</v>
      </c>
      <c r="I755" t="str">
        <f t="shared" si="65"/>
        <v>Tuesday</v>
      </c>
      <c r="L755">
        <f t="shared" si="68"/>
        <v>0</v>
      </c>
    </row>
    <row r="756" spans="1:12" x14ac:dyDescent="0.25">
      <c r="A756">
        <v>174258180</v>
      </c>
      <c r="B756" s="1">
        <v>44915</v>
      </c>
      <c r="C756" s="1">
        <v>45045</v>
      </c>
      <c r="D756" t="s">
        <v>7</v>
      </c>
      <c r="E756">
        <v>39</v>
      </c>
      <c r="F756" t="s">
        <v>6</v>
      </c>
      <c r="G756" s="8">
        <f t="shared" si="66"/>
        <v>130</v>
      </c>
      <c r="H756">
        <f t="shared" si="67"/>
        <v>3</v>
      </c>
      <c r="I756" t="str">
        <f t="shared" si="65"/>
        <v>Tuesday</v>
      </c>
      <c r="L756">
        <f t="shared" si="68"/>
        <v>0</v>
      </c>
    </row>
    <row r="757" spans="1:12" x14ac:dyDescent="0.25">
      <c r="A757">
        <v>174269667</v>
      </c>
      <c r="B757" s="1">
        <v>44915</v>
      </c>
      <c r="C757" s="1">
        <v>44988</v>
      </c>
      <c r="D757" t="s">
        <v>7</v>
      </c>
      <c r="E757">
        <v>39</v>
      </c>
      <c r="F757" t="s">
        <v>6</v>
      </c>
      <c r="G757" s="8">
        <f t="shared" si="66"/>
        <v>73</v>
      </c>
      <c r="H757">
        <f t="shared" si="67"/>
        <v>3</v>
      </c>
      <c r="I757" t="str">
        <f t="shared" si="65"/>
        <v>Tuesday</v>
      </c>
      <c r="L757">
        <f t="shared" si="68"/>
        <v>0</v>
      </c>
    </row>
    <row r="758" spans="1:12" x14ac:dyDescent="0.25">
      <c r="A758">
        <v>171889946</v>
      </c>
      <c r="B758" s="1">
        <v>44915</v>
      </c>
      <c r="C758" s="1">
        <v>44967</v>
      </c>
      <c r="D758" t="s">
        <v>7</v>
      </c>
      <c r="E758">
        <v>39</v>
      </c>
      <c r="F758" t="s">
        <v>6</v>
      </c>
      <c r="G758" s="8">
        <f t="shared" si="66"/>
        <v>52</v>
      </c>
      <c r="H758">
        <f t="shared" si="67"/>
        <v>3</v>
      </c>
      <c r="I758" t="str">
        <f t="shared" si="65"/>
        <v>Tuesday</v>
      </c>
      <c r="L758">
        <f t="shared" si="68"/>
        <v>0</v>
      </c>
    </row>
    <row r="759" spans="1:12" x14ac:dyDescent="0.25">
      <c r="A759">
        <v>171613468</v>
      </c>
      <c r="B759" s="1">
        <v>44915</v>
      </c>
      <c r="C759" s="1">
        <v>44979</v>
      </c>
      <c r="D759" t="s">
        <v>7</v>
      </c>
      <c r="E759">
        <v>39</v>
      </c>
      <c r="F759" t="s">
        <v>6</v>
      </c>
      <c r="G759" s="8">
        <f t="shared" si="66"/>
        <v>64</v>
      </c>
      <c r="H759">
        <f t="shared" si="67"/>
        <v>3</v>
      </c>
      <c r="I759" t="str">
        <f t="shared" si="65"/>
        <v>Tuesday</v>
      </c>
      <c r="L759">
        <f t="shared" si="68"/>
        <v>0</v>
      </c>
    </row>
    <row r="760" spans="1:12" x14ac:dyDescent="0.25">
      <c r="A760">
        <v>122922737</v>
      </c>
      <c r="B760" s="1">
        <v>44916</v>
      </c>
      <c r="C760" s="1">
        <f ca="1">TODAY()</f>
        <v>45938</v>
      </c>
      <c r="D760" t="s">
        <v>7</v>
      </c>
      <c r="E760">
        <v>39</v>
      </c>
      <c r="F760" t="s">
        <v>6</v>
      </c>
      <c r="G760" s="8">
        <f t="shared" ca="1" si="66"/>
        <v>1022</v>
      </c>
      <c r="H760">
        <f t="shared" si="67"/>
        <v>4</v>
      </c>
      <c r="I760" t="str">
        <f t="shared" si="65"/>
        <v>Wednesday</v>
      </c>
      <c r="L760">
        <f t="shared" ca="1" si="68"/>
        <v>0</v>
      </c>
    </row>
    <row r="761" spans="1:12" x14ac:dyDescent="0.25">
      <c r="A761">
        <v>174646924</v>
      </c>
      <c r="B761" s="1">
        <v>44916</v>
      </c>
      <c r="C761" s="1">
        <v>45013</v>
      </c>
      <c r="D761" t="s">
        <v>7</v>
      </c>
      <c r="E761">
        <v>39</v>
      </c>
      <c r="F761" t="s">
        <v>6</v>
      </c>
      <c r="G761" s="8">
        <f t="shared" si="66"/>
        <v>97</v>
      </c>
      <c r="H761">
        <f t="shared" si="67"/>
        <v>4</v>
      </c>
      <c r="I761" t="str">
        <f t="shared" si="65"/>
        <v>Wednesday</v>
      </c>
      <c r="L761">
        <f t="shared" si="68"/>
        <v>0</v>
      </c>
    </row>
    <row r="762" spans="1:12" x14ac:dyDescent="0.25">
      <c r="A762">
        <v>174264280</v>
      </c>
      <c r="B762" s="1">
        <v>44916</v>
      </c>
      <c r="C762" s="1">
        <v>45013</v>
      </c>
      <c r="D762" t="s">
        <v>7</v>
      </c>
      <c r="E762">
        <v>39</v>
      </c>
      <c r="F762" t="s">
        <v>6</v>
      </c>
      <c r="G762" s="8">
        <f t="shared" si="66"/>
        <v>97</v>
      </c>
      <c r="H762">
        <f t="shared" si="67"/>
        <v>4</v>
      </c>
      <c r="I762" t="str">
        <f t="shared" si="65"/>
        <v>Wednesday</v>
      </c>
      <c r="L762">
        <f t="shared" si="68"/>
        <v>0</v>
      </c>
    </row>
    <row r="763" spans="1:12" x14ac:dyDescent="0.25">
      <c r="A763">
        <v>174609120</v>
      </c>
      <c r="B763" s="1">
        <v>44916</v>
      </c>
      <c r="C763" s="1">
        <v>45003</v>
      </c>
      <c r="D763" t="s">
        <v>7</v>
      </c>
      <c r="E763">
        <v>39</v>
      </c>
      <c r="F763" t="s">
        <v>6</v>
      </c>
      <c r="G763" s="8">
        <f t="shared" si="66"/>
        <v>87</v>
      </c>
      <c r="H763">
        <f t="shared" si="67"/>
        <v>4</v>
      </c>
      <c r="I763" t="str">
        <f t="shared" si="65"/>
        <v>Wednesday</v>
      </c>
      <c r="L763">
        <f t="shared" si="68"/>
        <v>0</v>
      </c>
    </row>
    <row r="764" spans="1:12" x14ac:dyDescent="0.25">
      <c r="A764">
        <v>174158995</v>
      </c>
      <c r="B764" s="1">
        <v>44916</v>
      </c>
      <c r="C764" s="1">
        <v>44982</v>
      </c>
      <c r="D764" t="s">
        <v>7</v>
      </c>
      <c r="E764">
        <v>39</v>
      </c>
      <c r="F764" t="s">
        <v>6</v>
      </c>
      <c r="G764" s="8">
        <f t="shared" si="66"/>
        <v>66</v>
      </c>
      <c r="H764">
        <f t="shared" si="67"/>
        <v>4</v>
      </c>
      <c r="I764" t="str">
        <f t="shared" si="65"/>
        <v>Wednesday</v>
      </c>
      <c r="L764">
        <f t="shared" si="68"/>
        <v>0</v>
      </c>
    </row>
    <row r="765" spans="1:12" x14ac:dyDescent="0.25">
      <c r="A765">
        <v>174484311</v>
      </c>
      <c r="B765" s="1">
        <v>44916</v>
      </c>
      <c r="C765" s="1">
        <v>44982</v>
      </c>
      <c r="D765" t="s">
        <v>7</v>
      </c>
      <c r="E765">
        <v>39</v>
      </c>
      <c r="F765" t="s">
        <v>6</v>
      </c>
      <c r="G765" s="8">
        <f t="shared" si="66"/>
        <v>66</v>
      </c>
      <c r="H765">
        <f t="shared" si="67"/>
        <v>4</v>
      </c>
      <c r="I765" t="str">
        <f t="shared" si="65"/>
        <v>Wednesday</v>
      </c>
      <c r="L765">
        <f t="shared" si="68"/>
        <v>0</v>
      </c>
    </row>
    <row r="766" spans="1:12" x14ac:dyDescent="0.25">
      <c r="A766">
        <v>169556175</v>
      </c>
      <c r="B766" s="1">
        <v>44916</v>
      </c>
      <c r="C766" s="1">
        <v>44948</v>
      </c>
      <c r="D766" t="s">
        <v>7</v>
      </c>
      <c r="E766">
        <v>39</v>
      </c>
      <c r="F766" t="s">
        <v>6</v>
      </c>
      <c r="G766" s="8">
        <f t="shared" si="66"/>
        <v>32</v>
      </c>
      <c r="H766">
        <f t="shared" si="67"/>
        <v>4</v>
      </c>
      <c r="I766" t="str">
        <f t="shared" si="65"/>
        <v>Wednesday</v>
      </c>
      <c r="L766">
        <f t="shared" si="68"/>
        <v>0</v>
      </c>
    </row>
    <row r="767" spans="1:12" x14ac:dyDescent="0.25">
      <c r="A767">
        <v>153122282</v>
      </c>
      <c r="B767" s="1">
        <v>44916</v>
      </c>
      <c r="C767" s="1">
        <v>44916</v>
      </c>
      <c r="D767" t="s">
        <v>7</v>
      </c>
      <c r="E767">
        <v>39</v>
      </c>
      <c r="F767" t="s">
        <v>6</v>
      </c>
      <c r="G767" s="8">
        <f t="shared" si="66"/>
        <v>0</v>
      </c>
      <c r="H767">
        <f t="shared" si="67"/>
        <v>4</v>
      </c>
      <c r="I767" t="str">
        <f t="shared" si="65"/>
        <v>Wednesday</v>
      </c>
      <c r="L767">
        <f t="shared" si="68"/>
        <v>1</v>
      </c>
    </row>
    <row r="768" spans="1:12" x14ac:dyDescent="0.25">
      <c r="A768">
        <v>174576654</v>
      </c>
      <c r="B768" s="1">
        <v>44916</v>
      </c>
      <c r="C768" s="1">
        <v>45114</v>
      </c>
      <c r="D768" t="s">
        <v>7</v>
      </c>
      <c r="E768">
        <v>39</v>
      </c>
      <c r="F768" t="s">
        <v>6</v>
      </c>
      <c r="G768" s="8">
        <f t="shared" si="66"/>
        <v>198</v>
      </c>
      <c r="H768">
        <f t="shared" si="67"/>
        <v>4</v>
      </c>
      <c r="I768" t="str">
        <f t="shared" si="65"/>
        <v>Wednesday</v>
      </c>
      <c r="L768">
        <f t="shared" si="68"/>
        <v>0</v>
      </c>
    </row>
    <row r="769" spans="1:12" x14ac:dyDescent="0.25">
      <c r="A769">
        <v>154711077</v>
      </c>
      <c r="B769" s="1">
        <v>44917</v>
      </c>
      <c r="C769" s="1">
        <f t="shared" ref="C769:C772" ca="1" si="71">TODAY()</f>
        <v>45938</v>
      </c>
      <c r="D769" t="s">
        <v>7</v>
      </c>
      <c r="E769">
        <v>39</v>
      </c>
      <c r="F769" t="s">
        <v>6</v>
      </c>
      <c r="G769" s="8">
        <f t="shared" ca="1" si="66"/>
        <v>1021</v>
      </c>
      <c r="H769">
        <f t="shared" si="67"/>
        <v>5</v>
      </c>
      <c r="I769" t="str">
        <f t="shared" si="65"/>
        <v>Thursday</v>
      </c>
      <c r="L769">
        <f t="shared" ca="1" si="68"/>
        <v>0</v>
      </c>
    </row>
    <row r="770" spans="1:12" x14ac:dyDescent="0.25">
      <c r="A770">
        <v>163619032</v>
      </c>
      <c r="B770" s="1">
        <v>44917</v>
      </c>
      <c r="C770" s="1">
        <f t="shared" ca="1" si="71"/>
        <v>45938</v>
      </c>
      <c r="D770" t="s">
        <v>7</v>
      </c>
      <c r="E770">
        <v>39</v>
      </c>
      <c r="F770" t="s">
        <v>6</v>
      </c>
      <c r="G770" s="8">
        <f t="shared" ca="1" si="66"/>
        <v>1021</v>
      </c>
      <c r="H770">
        <f t="shared" si="67"/>
        <v>5</v>
      </c>
      <c r="I770" t="str">
        <f t="shared" ref="I770:I833" si="72">TEXT(B770,"DDDD")</f>
        <v>Thursday</v>
      </c>
      <c r="L770">
        <f t="shared" ca="1" si="68"/>
        <v>0</v>
      </c>
    </row>
    <row r="771" spans="1:12" x14ac:dyDescent="0.25">
      <c r="A771">
        <v>171001864</v>
      </c>
      <c r="B771" s="1">
        <v>44917</v>
      </c>
      <c r="C771" s="1">
        <f t="shared" ca="1" si="71"/>
        <v>45938</v>
      </c>
      <c r="D771" t="s">
        <v>7</v>
      </c>
      <c r="E771">
        <v>39</v>
      </c>
      <c r="F771" t="s">
        <v>6</v>
      </c>
      <c r="G771" s="8">
        <f t="shared" ref="G771:G834" ca="1" si="73">IFERROR(DATEDIF(B771,C771,"D"),"0")</f>
        <v>1021</v>
      </c>
      <c r="H771">
        <f t="shared" ref="H771:H834" si="74">WEEKDAY(B771,1)</f>
        <v>5</v>
      </c>
      <c r="I771" t="str">
        <f t="shared" si="72"/>
        <v>Thursday</v>
      </c>
      <c r="L771">
        <f t="shared" ref="L771:L834" ca="1" si="75">IF( OR($G771=0,$G771 = 1, $G771 = 2), 1, 0 )</f>
        <v>0</v>
      </c>
    </row>
    <row r="772" spans="1:12" x14ac:dyDescent="0.25">
      <c r="A772">
        <v>151890014</v>
      </c>
      <c r="B772" s="1">
        <v>44917</v>
      </c>
      <c r="C772" s="1">
        <f t="shared" ca="1" si="71"/>
        <v>45938</v>
      </c>
      <c r="D772" t="s">
        <v>7</v>
      </c>
      <c r="E772">
        <v>39</v>
      </c>
      <c r="F772" t="s">
        <v>6</v>
      </c>
      <c r="G772" s="8">
        <f t="shared" ca="1" si="73"/>
        <v>1021</v>
      </c>
      <c r="H772">
        <f t="shared" si="74"/>
        <v>5</v>
      </c>
      <c r="I772" t="str">
        <f t="shared" si="72"/>
        <v>Thursday</v>
      </c>
      <c r="L772">
        <f t="shared" ca="1" si="75"/>
        <v>0</v>
      </c>
    </row>
    <row r="773" spans="1:12" x14ac:dyDescent="0.25">
      <c r="A773">
        <v>158575772</v>
      </c>
      <c r="B773" s="1">
        <v>44917</v>
      </c>
      <c r="C773" s="1">
        <v>44918</v>
      </c>
      <c r="D773" t="s">
        <v>7</v>
      </c>
      <c r="E773">
        <v>39</v>
      </c>
      <c r="F773" t="s">
        <v>6</v>
      </c>
      <c r="G773" s="8">
        <f t="shared" si="73"/>
        <v>1</v>
      </c>
      <c r="H773">
        <f t="shared" si="74"/>
        <v>5</v>
      </c>
      <c r="I773" t="str">
        <f t="shared" si="72"/>
        <v>Thursday</v>
      </c>
      <c r="L773">
        <f t="shared" si="75"/>
        <v>1</v>
      </c>
    </row>
    <row r="774" spans="1:12" x14ac:dyDescent="0.25">
      <c r="A774">
        <v>164462665</v>
      </c>
      <c r="B774" s="1">
        <v>44917</v>
      </c>
      <c r="C774" s="1">
        <v>44918</v>
      </c>
      <c r="D774" t="s">
        <v>8</v>
      </c>
      <c r="E774">
        <v>39</v>
      </c>
      <c r="F774" t="s">
        <v>6</v>
      </c>
      <c r="G774" s="8">
        <f t="shared" si="73"/>
        <v>1</v>
      </c>
      <c r="H774">
        <f t="shared" si="74"/>
        <v>5</v>
      </c>
      <c r="I774" t="str">
        <f t="shared" si="72"/>
        <v>Thursday</v>
      </c>
      <c r="L774">
        <f t="shared" si="75"/>
        <v>1</v>
      </c>
    </row>
    <row r="775" spans="1:12" x14ac:dyDescent="0.25">
      <c r="A775">
        <v>121830768</v>
      </c>
      <c r="B775" s="1">
        <v>44917</v>
      </c>
      <c r="C775" s="1">
        <v>44950</v>
      </c>
      <c r="D775" t="s">
        <v>7</v>
      </c>
      <c r="E775">
        <v>39</v>
      </c>
      <c r="F775" t="s">
        <v>6</v>
      </c>
      <c r="G775" s="8">
        <f t="shared" si="73"/>
        <v>33</v>
      </c>
      <c r="H775">
        <f t="shared" si="74"/>
        <v>5</v>
      </c>
      <c r="I775" t="str">
        <f t="shared" si="72"/>
        <v>Thursday</v>
      </c>
      <c r="L775">
        <f t="shared" si="75"/>
        <v>0</v>
      </c>
    </row>
    <row r="776" spans="1:12" x14ac:dyDescent="0.25">
      <c r="A776">
        <v>174605216</v>
      </c>
      <c r="B776" s="1">
        <v>44917</v>
      </c>
      <c r="C776" s="1">
        <v>45058</v>
      </c>
      <c r="D776" t="s">
        <v>7</v>
      </c>
      <c r="E776">
        <v>39</v>
      </c>
      <c r="F776" t="s">
        <v>6</v>
      </c>
      <c r="G776" s="8">
        <f t="shared" si="73"/>
        <v>141</v>
      </c>
      <c r="H776">
        <f t="shared" si="74"/>
        <v>5</v>
      </c>
      <c r="I776" t="str">
        <f t="shared" si="72"/>
        <v>Thursday</v>
      </c>
      <c r="L776">
        <f t="shared" si="75"/>
        <v>0</v>
      </c>
    </row>
    <row r="777" spans="1:12" x14ac:dyDescent="0.25">
      <c r="A777">
        <v>174655316</v>
      </c>
      <c r="B777" s="1">
        <v>44917</v>
      </c>
      <c r="C777" s="1">
        <v>45000</v>
      </c>
      <c r="D777" t="s">
        <v>7</v>
      </c>
      <c r="E777">
        <v>39</v>
      </c>
      <c r="F777" t="s">
        <v>6</v>
      </c>
      <c r="G777" s="8">
        <f t="shared" si="73"/>
        <v>83</v>
      </c>
      <c r="H777">
        <f t="shared" si="74"/>
        <v>5</v>
      </c>
      <c r="I777" t="str">
        <f t="shared" si="72"/>
        <v>Thursday</v>
      </c>
      <c r="L777">
        <f t="shared" si="75"/>
        <v>0</v>
      </c>
    </row>
    <row r="778" spans="1:12" x14ac:dyDescent="0.25">
      <c r="A778">
        <v>174622570</v>
      </c>
      <c r="B778" s="1">
        <v>44917</v>
      </c>
      <c r="C778" s="1">
        <v>44927</v>
      </c>
      <c r="D778" t="s">
        <v>7</v>
      </c>
      <c r="E778">
        <v>39</v>
      </c>
      <c r="F778" t="s">
        <v>6</v>
      </c>
      <c r="G778" s="8">
        <f t="shared" si="73"/>
        <v>10</v>
      </c>
      <c r="H778">
        <f t="shared" si="74"/>
        <v>5</v>
      </c>
      <c r="I778" t="str">
        <f t="shared" si="72"/>
        <v>Thursday</v>
      </c>
      <c r="L778">
        <f t="shared" si="75"/>
        <v>0</v>
      </c>
    </row>
    <row r="779" spans="1:12" x14ac:dyDescent="0.25">
      <c r="A779">
        <v>174720005</v>
      </c>
      <c r="B779" s="1">
        <v>44917</v>
      </c>
      <c r="C779" s="1">
        <v>44918</v>
      </c>
      <c r="D779" t="s">
        <v>7</v>
      </c>
      <c r="E779">
        <v>39</v>
      </c>
      <c r="F779" t="s">
        <v>6</v>
      </c>
      <c r="G779" s="8">
        <f t="shared" si="73"/>
        <v>1</v>
      </c>
      <c r="H779">
        <f t="shared" si="74"/>
        <v>5</v>
      </c>
      <c r="I779" t="str">
        <f t="shared" si="72"/>
        <v>Thursday</v>
      </c>
      <c r="L779">
        <f t="shared" si="75"/>
        <v>1</v>
      </c>
    </row>
    <row r="780" spans="1:12" x14ac:dyDescent="0.25">
      <c r="A780">
        <v>174696512</v>
      </c>
      <c r="B780" s="1">
        <v>44918</v>
      </c>
      <c r="C780" s="1">
        <f t="shared" ref="C780:C781" ca="1" si="76">TODAY()</f>
        <v>45938</v>
      </c>
      <c r="D780" t="s">
        <v>7</v>
      </c>
      <c r="E780">
        <v>39</v>
      </c>
      <c r="F780" t="s">
        <v>6</v>
      </c>
      <c r="G780" s="8">
        <f t="shared" ca="1" si="73"/>
        <v>1020</v>
      </c>
      <c r="H780">
        <f t="shared" si="74"/>
        <v>6</v>
      </c>
      <c r="I780" t="str">
        <f t="shared" si="72"/>
        <v>Friday</v>
      </c>
      <c r="L780">
        <f t="shared" ca="1" si="75"/>
        <v>0</v>
      </c>
    </row>
    <row r="781" spans="1:12" x14ac:dyDescent="0.25">
      <c r="A781">
        <v>175314293</v>
      </c>
      <c r="B781" s="1">
        <v>44918</v>
      </c>
      <c r="C781" s="1">
        <f t="shared" ca="1" si="76"/>
        <v>45938</v>
      </c>
      <c r="D781" t="s">
        <v>7</v>
      </c>
      <c r="E781">
        <v>39</v>
      </c>
      <c r="F781" t="s">
        <v>6</v>
      </c>
      <c r="G781" s="8">
        <f t="shared" ca="1" si="73"/>
        <v>1020</v>
      </c>
      <c r="H781">
        <f t="shared" si="74"/>
        <v>6</v>
      </c>
      <c r="I781" t="str">
        <f t="shared" si="72"/>
        <v>Friday</v>
      </c>
      <c r="L781">
        <f t="shared" ca="1" si="75"/>
        <v>0</v>
      </c>
    </row>
    <row r="782" spans="1:12" x14ac:dyDescent="0.25">
      <c r="A782">
        <v>175451863</v>
      </c>
      <c r="B782" s="1">
        <v>44918</v>
      </c>
      <c r="C782" s="1">
        <v>45005</v>
      </c>
      <c r="D782" t="s">
        <v>7</v>
      </c>
      <c r="E782">
        <v>39</v>
      </c>
      <c r="F782" t="s">
        <v>6</v>
      </c>
      <c r="G782" s="8">
        <f t="shared" si="73"/>
        <v>87</v>
      </c>
      <c r="H782">
        <f t="shared" si="74"/>
        <v>6</v>
      </c>
      <c r="I782" t="str">
        <f t="shared" si="72"/>
        <v>Friday</v>
      </c>
      <c r="L782">
        <f t="shared" si="75"/>
        <v>0</v>
      </c>
    </row>
    <row r="783" spans="1:12" x14ac:dyDescent="0.25">
      <c r="A783">
        <v>174752844</v>
      </c>
      <c r="B783" s="1">
        <v>44918</v>
      </c>
      <c r="C783" s="1">
        <v>44956</v>
      </c>
      <c r="D783" t="s">
        <v>7</v>
      </c>
      <c r="E783">
        <v>39</v>
      </c>
      <c r="F783" t="s">
        <v>6</v>
      </c>
      <c r="G783" s="8">
        <f t="shared" si="73"/>
        <v>38</v>
      </c>
      <c r="H783">
        <f t="shared" si="74"/>
        <v>6</v>
      </c>
      <c r="I783" t="str">
        <f t="shared" si="72"/>
        <v>Friday</v>
      </c>
      <c r="L783">
        <f t="shared" si="75"/>
        <v>0</v>
      </c>
    </row>
    <row r="784" spans="1:12" x14ac:dyDescent="0.25">
      <c r="A784">
        <v>175431141</v>
      </c>
      <c r="B784" s="1">
        <v>44919</v>
      </c>
      <c r="C784" s="1">
        <f ca="1">TODAY()</f>
        <v>45938</v>
      </c>
      <c r="D784" t="s">
        <v>7</v>
      </c>
      <c r="E784">
        <v>39</v>
      </c>
      <c r="F784" t="s">
        <v>6</v>
      </c>
      <c r="G784" s="8">
        <f t="shared" ca="1" si="73"/>
        <v>1019</v>
      </c>
      <c r="H784">
        <f t="shared" si="74"/>
        <v>7</v>
      </c>
      <c r="I784" t="str">
        <f t="shared" si="72"/>
        <v>Saturday</v>
      </c>
      <c r="L784">
        <f t="shared" ca="1" si="75"/>
        <v>0</v>
      </c>
    </row>
    <row r="785" spans="1:12" x14ac:dyDescent="0.25">
      <c r="A785">
        <v>132228678</v>
      </c>
      <c r="B785" s="1">
        <v>44919</v>
      </c>
      <c r="C785" s="1">
        <v>44919</v>
      </c>
      <c r="D785" t="s">
        <v>7</v>
      </c>
      <c r="E785">
        <v>39</v>
      </c>
      <c r="F785" t="s">
        <v>6</v>
      </c>
      <c r="G785" s="8">
        <f t="shared" si="73"/>
        <v>0</v>
      </c>
      <c r="H785">
        <f t="shared" si="74"/>
        <v>7</v>
      </c>
      <c r="I785" t="str">
        <f t="shared" si="72"/>
        <v>Saturday</v>
      </c>
      <c r="L785">
        <f t="shared" si="75"/>
        <v>1</v>
      </c>
    </row>
    <row r="786" spans="1:12" x14ac:dyDescent="0.25">
      <c r="A786">
        <v>161151062</v>
      </c>
      <c r="B786" s="1">
        <v>44919</v>
      </c>
      <c r="C786" s="1">
        <v>45035</v>
      </c>
      <c r="D786" t="s">
        <v>7</v>
      </c>
      <c r="E786">
        <v>39</v>
      </c>
      <c r="F786" t="s">
        <v>6</v>
      </c>
      <c r="G786" s="8">
        <f t="shared" si="73"/>
        <v>116</v>
      </c>
      <c r="H786">
        <f t="shared" si="74"/>
        <v>7</v>
      </c>
      <c r="I786" t="str">
        <f t="shared" si="72"/>
        <v>Saturday</v>
      </c>
      <c r="L786">
        <f t="shared" si="75"/>
        <v>0</v>
      </c>
    </row>
    <row r="787" spans="1:12" x14ac:dyDescent="0.25">
      <c r="A787">
        <v>167653319</v>
      </c>
      <c r="B787" s="1">
        <v>44919</v>
      </c>
      <c r="C787" s="1">
        <v>44998</v>
      </c>
      <c r="D787" t="s">
        <v>7</v>
      </c>
      <c r="E787">
        <v>39</v>
      </c>
      <c r="F787" t="s">
        <v>6</v>
      </c>
      <c r="G787" s="8">
        <f t="shared" si="73"/>
        <v>79</v>
      </c>
      <c r="H787">
        <f t="shared" si="74"/>
        <v>7</v>
      </c>
      <c r="I787" t="str">
        <f t="shared" si="72"/>
        <v>Saturday</v>
      </c>
      <c r="L787">
        <f t="shared" si="75"/>
        <v>0</v>
      </c>
    </row>
    <row r="788" spans="1:12" x14ac:dyDescent="0.25">
      <c r="A788">
        <v>171659515</v>
      </c>
      <c r="B788" s="1">
        <v>44919</v>
      </c>
      <c r="C788" s="1">
        <v>44949</v>
      </c>
      <c r="D788" t="s">
        <v>7</v>
      </c>
      <c r="E788">
        <v>39</v>
      </c>
      <c r="F788" t="s">
        <v>6</v>
      </c>
      <c r="G788" s="8">
        <f t="shared" si="73"/>
        <v>30</v>
      </c>
      <c r="H788">
        <f t="shared" si="74"/>
        <v>7</v>
      </c>
      <c r="I788" t="str">
        <f t="shared" si="72"/>
        <v>Saturday</v>
      </c>
      <c r="L788">
        <f t="shared" si="75"/>
        <v>0</v>
      </c>
    </row>
    <row r="789" spans="1:12" x14ac:dyDescent="0.25">
      <c r="A789">
        <v>175720159</v>
      </c>
      <c r="B789" s="1">
        <v>44919</v>
      </c>
      <c r="C789" s="1">
        <v>44935</v>
      </c>
      <c r="D789" t="s">
        <v>7</v>
      </c>
      <c r="E789">
        <v>39</v>
      </c>
      <c r="F789" t="s">
        <v>6</v>
      </c>
      <c r="G789" s="8">
        <f t="shared" si="73"/>
        <v>16</v>
      </c>
      <c r="H789">
        <f t="shared" si="74"/>
        <v>7</v>
      </c>
      <c r="I789" t="str">
        <f t="shared" si="72"/>
        <v>Saturday</v>
      </c>
      <c r="L789">
        <f t="shared" si="75"/>
        <v>0</v>
      </c>
    </row>
    <row r="790" spans="1:12" x14ac:dyDescent="0.25">
      <c r="A790">
        <v>170593141</v>
      </c>
      <c r="B790" s="1">
        <v>44919</v>
      </c>
      <c r="C790" s="1">
        <v>44934</v>
      </c>
      <c r="D790" t="s">
        <v>7</v>
      </c>
      <c r="E790">
        <v>39</v>
      </c>
      <c r="F790" t="s">
        <v>6</v>
      </c>
      <c r="G790" s="8">
        <f t="shared" si="73"/>
        <v>15</v>
      </c>
      <c r="H790">
        <f t="shared" si="74"/>
        <v>7</v>
      </c>
      <c r="I790" t="str">
        <f t="shared" si="72"/>
        <v>Saturday</v>
      </c>
      <c r="L790">
        <f t="shared" si="75"/>
        <v>0</v>
      </c>
    </row>
    <row r="791" spans="1:12" x14ac:dyDescent="0.25">
      <c r="A791">
        <v>173981170</v>
      </c>
      <c r="B791" s="1">
        <v>44919</v>
      </c>
      <c r="C791" s="1">
        <v>44920</v>
      </c>
      <c r="D791" t="s">
        <v>7</v>
      </c>
      <c r="E791">
        <v>39</v>
      </c>
      <c r="F791" t="s">
        <v>6</v>
      </c>
      <c r="G791" s="8">
        <f t="shared" si="73"/>
        <v>1</v>
      </c>
      <c r="H791">
        <f t="shared" si="74"/>
        <v>7</v>
      </c>
      <c r="I791" t="str">
        <f t="shared" si="72"/>
        <v>Saturday</v>
      </c>
      <c r="L791">
        <f t="shared" si="75"/>
        <v>1</v>
      </c>
    </row>
    <row r="792" spans="1:12" x14ac:dyDescent="0.25">
      <c r="A792">
        <v>175166391</v>
      </c>
      <c r="B792" s="1">
        <v>44920</v>
      </c>
      <c r="C792" s="1">
        <f ca="1">TODAY()</f>
        <v>45938</v>
      </c>
      <c r="D792" t="s">
        <v>7</v>
      </c>
      <c r="E792">
        <v>39</v>
      </c>
      <c r="F792" t="s">
        <v>6</v>
      </c>
      <c r="G792" s="8">
        <f t="shared" ca="1" si="73"/>
        <v>1018</v>
      </c>
      <c r="H792">
        <f t="shared" si="74"/>
        <v>1</v>
      </c>
      <c r="I792" t="str">
        <f t="shared" si="72"/>
        <v>Sunday</v>
      </c>
      <c r="L792">
        <f t="shared" ca="1" si="75"/>
        <v>0</v>
      </c>
    </row>
    <row r="793" spans="1:12" x14ac:dyDescent="0.25">
      <c r="A793">
        <v>161175048</v>
      </c>
      <c r="B793" s="1">
        <v>44920</v>
      </c>
      <c r="C793" s="1">
        <v>44979</v>
      </c>
      <c r="D793" t="s">
        <v>7</v>
      </c>
      <c r="E793">
        <v>39</v>
      </c>
      <c r="F793" t="s">
        <v>6</v>
      </c>
      <c r="G793" s="8">
        <f t="shared" si="73"/>
        <v>59</v>
      </c>
      <c r="H793">
        <f t="shared" si="74"/>
        <v>1</v>
      </c>
      <c r="I793" t="str">
        <f t="shared" si="72"/>
        <v>Sunday</v>
      </c>
      <c r="L793">
        <f t="shared" si="75"/>
        <v>0</v>
      </c>
    </row>
    <row r="794" spans="1:12" x14ac:dyDescent="0.25">
      <c r="A794">
        <v>164254865</v>
      </c>
      <c r="B794" s="1">
        <v>44920</v>
      </c>
      <c r="C794" s="1">
        <v>44950</v>
      </c>
      <c r="D794" t="s">
        <v>7</v>
      </c>
      <c r="E794">
        <v>39</v>
      </c>
      <c r="F794" t="s">
        <v>6</v>
      </c>
      <c r="G794" s="8">
        <f t="shared" si="73"/>
        <v>30</v>
      </c>
      <c r="H794">
        <f t="shared" si="74"/>
        <v>1</v>
      </c>
      <c r="I794" t="str">
        <f t="shared" si="72"/>
        <v>Sunday</v>
      </c>
      <c r="L794">
        <f t="shared" si="75"/>
        <v>0</v>
      </c>
    </row>
    <row r="795" spans="1:12" x14ac:dyDescent="0.25">
      <c r="A795">
        <v>143248615</v>
      </c>
      <c r="B795" s="1">
        <v>44921</v>
      </c>
      <c r="C795" s="1">
        <f ca="1">TODAY()</f>
        <v>45938</v>
      </c>
      <c r="D795" t="s">
        <v>7</v>
      </c>
      <c r="E795">
        <v>39</v>
      </c>
      <c r="F795" t="s">
        <v>6</v>
      </c>
      <c r="G795" s="8">
        <f t="shared" ca="1" si="73"/>
        <v>1017</v>
      </c>
      <c r="H795">
        <f t="shared" si="74"/>
        <v>2</v>
      </c>
      <c r="I795" t="str">
        <f t="shared" si="72"/>
        <v>Monday</v>
      </c>
      <c r="L795">
        <f t="shared" ca="1" si="75"/>
        <v>0</v>
      </c>
    </row>
    <row r="796" spans="1:12" x14ac:dyDescent="0.25">
      <c r="A796">
        <v>176032070</v>
      </c>
      <c r="B796" s="1">
        <v>44921</v>
      </c>
      <c r="C796" s="1">
        <v>44940</v>
      </c>
      <c r="D796" t="s">
        <v>7</v>
      </c>
      <c r="E796">
        <v>39</v>
      </c>
      <c r="F796" t="s">
        <v>6</v>
      </c>
      <c r="G796" s="8">
        <f t="shared" si="73"/>
        <v>19</v>
      </c>
      <c r="H796">
        <f t="shared" si="74"/>
        <v>2</v>
      </c>
      <c r="I796" t="str">
        <f t="shared" si="72"/>
        <v>Monday</v>
      </c>
      <c r="L796">
        <f t="shared" si="75"/>
        <v>0</v>
      </c>
    </row>
    <row r="797" spans="1:12" x14ac:dyDescent="0.25">
      <c r="A797">
        <v>174132333</v>
      </c>
      <c r="B797" s="1">
        <v>44922</v>
      </c>
      <c r="C797" s="1">
        <f ca="1">TODAY()</f>
        <v>45938</v>
      </c>
      <c r="D797" t="s">
        <v>7</v>
      </c>
      <c r="E797">
        <v>39</v>
      </c>
      <c r="F797" t="s">
        <v>6</v>
      </c>
      <c r="G797" s="8">
        <f t="shared" ca="1" si="73"/>
        <v>1016</v>
      </c>
      <c r="H797">
        <f t="shared" si="74"/>
        <v>3</v>
      </c>
      <c r="I797" t="str">
        <f t="shared" si="72"/>
        <v>Tuesday</v>
      </c>
      <c r="L797">
        <f t="shared" ca="1" si="75"/>
        <v>0</v>
      </c>
    </row>
    <row r="798" spans="1:12" x14ac:dyDescent="0.25">
      <c r="A798">
        <v>177051147</v>
      </c>
      <c r="B798" s="1">
        <v>44922</v>
      </c>
      <c r="C798" s="1">
        <v>44923</v>
      </c>
      <c r="D798" t="s">
        <v>7</v>
      </c>
      <c r="E798">
        <v>39</v>
      </c>
      <c r="F798" t="s">
        <v>6</v>
      </c>
      <c r="G798" s="8">
        <f t="shared" si="73"/>
        <v>1</v>
      </c>
      <c r="H798">
        <f t="shared" si="74"/>
        <v>3</v>
      </c>
      <c r="I798" t="str">
        <f t="shared" si="72"/>
        <v>Tuesday</v>
      </c>
      <c r="L798">
        <f t="shared" si="75"/>
        <v>1</v>
      </c>
    </row>
    <row r="799" spans="1:12" x14ac:dyDescent="0.25">
      <c r="A799">
        <v>176571319</v>
      </c>
      <c r="B799" s="1">
        <v>44922</v>
      </c>
      <c r="C799" s="1">
        <v>45017</v>
      </c>
      <c r="D799" t="s">
        <v>7</v>
      </c>
      <c r="E799">
        <v>39</v>
      </c>
      <c r="F799" t="s">
        <v>6</v>
      </c>
      <c r="G799" s="8">
        <f t="shared" si="73"/>
        <v>95</v>
      </c>
      <c r="H799">
        <f t="shared" si="74"/>
        <v>3</v>
      </c>
      <c r="I799" t="str">
        <f t="shared" si="72"/>
        <v>Tuesday</v>
      </c>
      <c r="L799">
        <f t="shared" si="75"/>
        <v>0</v>
      </c>
    </row>
    <row r="800" spans="1:12" x14ac:dyDescent="0.25">
      <c r="A800">
        <v>166932902</v>
      </c>
      <c r="B800" s="1">
        <v>44922</v>
      </c>
      <c r="C800" s="1">
        <v>44991</v>
      </c>
      <c r="D800" t="s">
        <v>7</v>
      </c>
      <c r="E800">
        <v>39</v>
      </c>
      <c r="F800" t="s">
        <v>6</v>
      </c>
      <c r="G800" s="8">
        <f t="shared" si="73"/>
        <v>69</v>
      </c>
      <c r="H800">
        <f t="shared" si="74"/>
        <v>3</v>
      </c>
      <c r="I800" t="str">
        <f t="shared" si="72"/>
        <v>Tuesday</v>
      </c>
      <c r="L800">
        <f t="shared" si="75"/>
        <v>0</v>
      </c>
    </row>
    <row r="801" spans="1:12" x14ac:dyDescent="0.25">
      <c r="A801">
        <v>175851244</v>
      </c>
      <c r="B801" s="1">
        <v>44922</v>
      </c>
      <c r="C801" s="1">
        <v>44960</v>
      </c>
      <c r="D801" t="s">
        <v>7</v>
      </c>
      <c r="E801">
        <v>39</v>
      </c>
      <c r="F801" t="s">
        <v>6</v>
      </c>
      <c r="G801" s="8">
        <f t="shared" si="73"/>
        <v>38</v>
      </c>
      <c r="H801">
        <f t="shared" si="74"/>
        <v>3</v>
      </c>
      <c r="I801" t="str">
        <f t="shared" si="72"/>
        <v>Tuesday</v>
      </c>
      <c r="L801">
        <f t="shared" si="75"/>
        <v>0</v>
      </c>
    </row>
    <row r="802" spans="1:12" x14ac:dyDescent="0.25">
      <c r="A802">
        <v>155613371</v>
      </c>
      <c r="B802" s="1">
        <v>44922</v>
      </c>
      <c r="C802" s="1">
        <v>44960</v>
      </c>
      <c r="D802" t="s">
        <v>7</v>
      </c>
      <c r="E802">
        <v>39</v>
      </c>
      <c r="F802" t="s">
        <v>6</v>
      </c>
      <c r="G802" s="8">
        <f t="shared" si="73"/>
        <v>38</v>
      </c>
      <c r="H802">
        <f t="shared" si="74"/>
        <v>3</v>
      </c>
      <c r="I802" t="str">
        <f t="shared" si="72"/>
        <v>Tuesday</v>
      </c>
      <c r="L802">
        <f t="shared" si="75"/>
        <v>0</v>
      </c>
    </row>
    <row r="803" spans="1:12" x14ac:dyDescent="0.25">
      <c r="A803">
        <v>167678290</v>
      </c>
      <c r="B803" s="1">
        <v>44922</v>
      </c>
      <c r="C803" s="1">
        <v>44953</v>
      </c>
      <c r="D803" t="s">
        <v>7</v>
      </c>
      <c r="E803">
        <v>39</v>
      </c>
      <c r="F803" t="s">
        <v>6</v>
      </c>
      <c r="G803" s="8">
        <f t="shared" si="73"/>
        <v>31</v>
      </c>
      <c r="H803">
        <f t="shared" si="74"/>
        <v>3</v>
      </c>
      <c r="I803" t="str">
        <f t="shared" si="72"/>
        <v>Tuesday</v>
      </c>
      <c r="L803">
        <f t="shared" si="75"/>
        <v>0</v>
      </c>
    </row>
    <row r="804" spans="1:12" x14ac:dyDescent="0.25">
      <c r="A804">
        <v>176995917</v>
      </c>
      <c r="B804" s="1">
        <v>44922</v>
      </c>
      <c r="C804" s="1">
        <v>45106</v>
      </c>
      <c r="D804" t="s">
        <v>7</v>
      </c>
      <c r="E804">
        <v>39</v>
      </c>
      <c r="F804" t="s">
        <v>6</v>
      </c>
      <c r="G804" s="8">
        <f t="shared" si="73"/>
        <v>184</v>
      </c>
      <c r="H804">
        <f t="shared" si="74"/>
        <v>3</v>
      </c>
      <c r="I804" t="str">
        <f t="shared" si="72"/>
        <v>Tuesday</v>
      </c>
      <c r="L804">
        <f t="shared" si="75"/>
        <v>0</v>
      </c>
    </row>
    <row r="805" spans="1:12" x14ac:dyDescent="0.25">
      <c r="A805">
        <v>161187523</v>
      </c>
      <c r="B805" s="1">
        <v>44922</v>
      </c>
      <c r="C805" s="1">
        <v>45126</v>
      </c>
      <c r="D805" t="s">
        <v>7</v>
      </c>
      <c r="E805">
        <v>39</v>
      </c>
      <c r="F805" t="s">
        <v>6</v>
      </c>
      <c r="G805" s="8">
        <f t="shared" si="73"/>
        <v>204</v>
      </c>
      <c r="H805">
        <f t="shared" si="74"/>
        <v>3</v>
      </c>
      <c r="I805" t="str">
        <f t="shared" si="72"/>
        <v>Tuesday</v>
      </c>
      <c r="L805">
        <f t="shared" si="75"/>
        <v>0</v>
      </c>
    </row>
    <row r="806" spans="1:12" x14ac:dyDescent="0.25">
      <c r="A806">
        <v>175884318</v>
      </c>
      <c r="B806" s="1">
        <v>44923</v>
      </c>
      <c r="C806" s="1">
        <v>44940</v>
      </c>
      <c r="D806" t="s">
        <v>7</v>
      </c>
      <c r="E806">
        <v>39</v>
      </c>
      <c r="F806" t="s">
        <v>6</v>
      </c>
      <c r="G806" s="8">
        <f t="shared" si="73"/>
        <v>17</v>
      </c>
      <c r="H806">
        <f t="shared" si="74"/>
        <v>4</v>
      </c>
      <c r="I806" t="str">
        <f t="shared" si="72"/>
        <v>Wednesday</v>
      </c>
      <c r="L806">
        <f t="shared" si="75"/>
        <v>0</v>
      </c>
    </row>
    <row r="807" spans="1:12" x14ac:dyDescent="0.25">
      <c r="A807">
        <v>173911972</v>
      </c>
      <c r="B807" s="1">
        <v>44923</v>
      </c>
      <c r="C807" s="1">
        <v>45040</v>
      </c>
      <c r="D807" t="s">
        <v>7</v>
      </c>
      <c r="E807">
        <v>39</v>
      </c>
      <c r="F807" t="s">
        <v>6</v>
      </c>
      <c r="G807" s="8">
        <f t="shared" si="73"/>
        <v>117</v>
      </c>
      <c r="H807">
        <f t="shared" si="74"/>
        <v>4</v>
      </c>
      <c r="I807" t="str">
        <f t="shared" si="72"/>
        <v>Wednesday</v>
      </c>
      <c r="L807">
        <f t="shared" si="75"/>
        <v>0</v>
      </c>
    </row>
    <row r="808" spans="1:12" x14ac:dyDescent="0.25">
      <c r="A808">
        <v>177696301</v>
      </c>
      <c r="B808" s="1">
        <v>44923</v>
      </c>
      <c r="C808" s="1">
        <v>45073</v>
      </c>
      <c r="D808" t="s">
        <v>7</v>
      </c>
      <c r="E808">
        <v>39</v>
      </c>
      <c r="F808" t="s">
        <v>6</v>
      </c>
      <c r="G808" s="8">
        <f t="shared" si="73"/>
        <v>150</v>
      </c>
      <c r="H808">
        <f t="shared" si="74"/>
        <v>4</v>
      </c>
      <c r="I808" t="str">
        <f t="shared" si="72"/>
        <v>Wednesday</v>
      </c>
      <c r="L808">
        <f t="shared" si="75"/>
        <v>0</v>
      </c>
    </row>
    <row r="809" spans="1:12" x14ac:dyDescent="0.25">
      <c r="A809">
        <v>165744582</v>
      </c>
      <c r="B809" s="1">
        <v>44923</v>
      </c>
      <c r="C809" s="1">
        <v>44969</v>
      </c>
      <c r="D809" t="s">
        <v>7</v>
      </c>
      <c r="E809">
        <v>39</v>
      </c>
      <c r="F809" t="s">
        <v>6</v>
      </c>
      <c r="G809" s="8">
        <f t="shared" si="73"/>
        <v>46</v>
      </c>
      <c r="H809">
        <f t="shared" si="74"/>
        <v>4</v>
      </c>
      <c r="I809" t="str">
        <f t="shared" si="72"/>
        <v>Wednesday</v>
      </c>
      <c r="L809">
        <f t="shared" si="75"/>
        <v>0</v>
      </c>
    </row>
    <row r="810" spans="1:12" x14ac:dyDescent="0.25">
      <c r="A810">
        <v>177323966</v>
      </c>
      <c r="B810" s="1">
        <v>44923</v>
      </c>
      <c r="C810" s="1">
        <v>44923</v>
      </c>
      <c r="D810" t="s">
        <v>7</v>
      </c>
      <c r="E810">
        <v>39</v>
      </c>
      <c r="F810" t="s">
        <v>6</v>
      </c>
      <c r="G810" s="8">
        <f t="shared" si="73"/>
        <v>0</v>
      </c>
      <c r="H810">
        <f t="shared" si="74"/>
        <v>4</v>
      </c>
      <c r="I810" t="str">
        <f t="shared" si="72"/>
        <v>Wednesday</v>
      </c>
      <c r="L810">
        <f t="shared" si="75"/>
        <v>1</v>
      </c>
    </row>
    <row r="811" spans="1:12" x14ac:dyDescent="0.25">
      <c r="A811">
        <v>178355844</v>
      </c>
      <c r="B811" s="1">
        <v>44924</v>
      </c>
      <c r="C811" s="1">
        <f t="shared" ref="C811:C813" ca="1" si="77">TODAY()</f>
        <v>45938</v>
      </c>
      <c r="D811" t="s">
        <v>7</v>
      </c>
      <c r="E811">
        <v>39</v>
      </c>
      <c r="F811" t="s">
        <v>6</v>
      </c>
      <c r="G811" s="8">
        <f t="shared" ca="1" si="73"/>
        <v>1014</v>
      </c>
      <c r="H811">
        <f t="shared" si="74"/>
        <v>5</v>
      </c>
      <c r="I811" t="str">
        <f t="shared" si="72"/>
        <v>Thursday</v>
      </c>
      <c r="L811">
        <f t="shared" ca="1" si="75"/>
        <v>0</v>
      </c>
    </row>
    <row r="812" spans="1:12" x14ac:dyDescent="0.25">
      <c r="A812">
        <v>176989743</v>
      </c>
      <c r="B812" s="1">
        <v>44924</v>
      </c>
      <c r="C812" s="1">
        <f t="shared" ca="1" si="77"/>
        <v>45938</v>
      </c>
      <c r="D812" t="s">
        <v>7</v>
      </c>
      <c r="E812">
        <v>39</v>
      </c>
      <c r="F812" t="s">
        <v>6</v>
      </c>
      <c r="G812" s="8">
        <f t="shared" ca="1" si="73"/>
        <v>1014</v>
      </c>
      <c r="H812">
        <f t="shared" si="74"/>
        <v>5</v>
      </c>
      <c r="I812" t="str">
        <f t="shared" si="72"/>
        <v>Thursday</v>
      </c>
      <c r="L812">
        <f t="shared" ca="1" si="75"/>
        <v>0</v>
      </c>
    </row>
    <row r="813" spans="1:12" x14ac:dyDescent="0.25">
      <c r="A813">
        <v>177971827</v>
      </c>
      <c r="B813" s="1">
        <v>44924</v>
      </c>
      <c r="C813" s="1">
        <f t="shared" ca="1" si="77"/>
        <v>45938</v>
      </c>
      <c r="D813" t="s">
        <v>7</v>
      </c>
      <c r="E813">
        <v>39</v>
      </c>
      <c r="F813" t="s">
        <v>6</v>
      </c>
      <c r="G813" s="8">
        <f t="shared" ca="1" si="73"/>
        <v>1014</v>
      </c>
      <c r="H813">
        <f t="shared" si="74"/>
        <v>5</v>
      </c>
      <c r="I813" t="str">
        <f t="shared" si="72"/>
        <v>Thursday</v>
      </c>
      <c r="L813">
        <f t="shared" ca="1" si="75"/>
        <v>0</v>
      </c>
    </row>
    <row r="814" spans="1:12" x14ac:dyDescent="0.25">
      <c r="A814">
        <v>131147038</v>
      </c>
      <c r="B814" s="1">
        <v>44924</v>
      </c>
      <c r="C814" s="1">
        <v>44970</v>
      </c>
      <c r="D814" t="s">
        <v>7</v>
      </c>
      <c r="E814">
        <v>39</v>
      </c>
      <c r="F814" t="s">
        <v>6</v>
      </c>
      <c r="G814" s="8">
        <f t="shared" si="73"/>
        <v>46</v>
      </c>
      <c r="H814">
        <f t="shared" si="74"/>
        <v>5</v>
      </c>
      <c r="I814" t="str">
        <f t="shared" si="72"/>
        <v>Thursday</v>
      </c>
      <c r="L814">
        <f t="shared" si="75"/>
        <v>0</v>
      </c>
    </row>
    <row r="815" spans="1:12" x14ac:dyDescent="0.25">
      <c r="A815">
        <v>152142457</v>
      </c>
      <c r="B815" s="1">
        <v>44924</v>
      </c>
      <c r="C815" s="1">
        <v>44969</v>
      </c>
      <c r="D815" t="s">
        <v>7</v>
      </c>
      <c r="E815">
        <v>39</v>
      </c>
      <c r="F815" t="s">
        <v>6</v>
      </c>
      <c r="G815" s="8">
        <f t="shared" si="73"/>
        <v>45</v>
      </c>
      <c r="H815">
        <f t="shared" si="74"/>
        <v>5</v>
      </c>
      <c r="I815" t="str">
        <f t="shared" si="72"/>
        <v>Thursday</v>
      </c>
      <c r="L815">
        <f t="shared" si="75"/>
        <v>0</v>
      </c>
    </row>
    <row r="816" spans="1:12" x14ac:dyDescent="0.25">
      <c r="A816">
        <v>174293226</v>
      </c>
      <c r="B816" s="1">
        <v>44924</v>
      </c>
      <c r="C816" s="1">
        <v>45083</v>
      </c>
      <c r="D816" t="s">
        <v>7</v>
      </c>
      <c r="E816">
        <v>39</v>
      </c>
      <c r="F816" t="s">
        <v>6</v>
      </c>
      <c r="G816" s="8">
        <f t="shared" si="73"/>
        <v>159</v>
      </c>
      <c r="H816">
        <f t="shared" si="74"/>
        <v>5</v>
      </c>
      <c r="I816" t="str">
        <f t="shared" si="72"/>
        <v>Thursday</v>
      </c>
      <c r="L816">
        <f t="shared" si="75"/>
        <v>0</v>
      </c>
    </row>
    <row r="817" spans="1:12" x14ac:dyDescent="0.25">
      <c r="A817">
        <v>177051147</v>
      </c>
      <c r="B817" s="1">
        <v>44924</v>
      </c>
      <c r="C817" s="1">
        <v>45012</v>
      </c>
      <c r="D817" t="s">
        <v>7</v>
      </c>
      <c r="E817">
        <v>39</v>
      </c>
      <c r="F817" t="s">
        <v>6</v>
      </c>
      <c r="G817" s="8">
        <f t="shared" si="73"/>
        <v>88</v>
      </c>
      <c r="H817">
        <f t="shared" si="74"/>
        <v>5</v>
      </c>
      <c r="I817" t="str">
        <f t="shared" si="72"/>
        <v>Thursday</v>
      </c>
      <c r="L817">
        <f t="shared" si="75"/>
        <v>0</v>
      </c>
    </row>
    <row r="818" spans="1:12" x14ac:dyDescent="0.25">
      <c r="A818">
        <v>177963240</v>
      </c>
      <c r="B818" s="1">
        <v>44924</v>
      </c>
      <c r="C818" s="1">
        <v>44953</v>
      </c>
      <c r="D818" t="s">
        <v>7</v>
      </c>
      <c r="E818">
        <v>39</v>
      </c>
      <c r="F818" t="s">
        <v>6</v>
      </c>
      <c r="G818" s="8">
        <f t="shared" si="73"/>
        <v>29</v>
      </c>
      <c r="H818">
        <f t="shared" si="74"/>
        <v>5</v>
      </c>
      <c r="I818" t="str">
        <f t="shared" si="72"/>
        <v>Thursday</v>
      </c>
      <c r="L818">
        <f t="shared" si="75"/>
        <v>0</v>
      </c>
    </row>
    <row r="819" spans="1:12" x14ac:dyDescent="0.25">
      <c r="A819">
        <v>176639972</v>
      </c>
      <c r="B819" s="1">
        <v>44924</v>
      </c>
      <c r="C819" s="1">
        <v>44954</v>
      </c>
      <c r="D819" t="s">
        <v>7</v>
      </c>
      <c r="E819">
        <v>39</v>
      </c>
      <c r="F819" t="s">
        <v>6</v>
      </c>
      <c r="G819" s="8">
        <f t="shared" si="73"/>
        <v>30</v>
      </c>
      <c r="H819">
        <f t="shared" si="74"/>
        <v>5</v>
      </c>
      <c r="I819" t="str">
        <f t="shared" si="72"/>
        <v>Thursday</v>
      </c>
      <c r="L819">
        <f t="shared" si="75"/>
        <v>0</v>
      </c>
    </row>
    <row r="820" spans="1:12" x14ac:dyDescent="0.25">
      <c r="A820">
        <v>175818000</v>
      </c>
      <c r="B820" s="1">
        <v>44925</v>
      </c>
      <c r="C820" s="1">
        <v>45086</v>
      </c>
      <c r="D820" t="s">
        <v>7</v>
      </c>
      <c r="E820">
        <v>39</v>
      </c>
      <c r="F820" t="s">
        <v>6</v>
      </c>
      <c r="G820" s="8">
        <f t="shared" si="73"/>
        <v>161</v>
      </c>
      <c r="H820">
        <f t="shared" si="74"/>
        <v>6</v>
      </c>
      <c r="I820" t="str">
        <f t="shared" si="72"/>
        <v>Friday</v>
      </c>
      <c r="L820">
        <f t="shared" si="75"/>
        <v>0</v>
      </c>
    </row>
    <row r="821" spans="1:12" x14ac:dyDescent="0.25">
      <c r="A821">
        <v>117856836</v>
      </c>
      <c r="B821" s="1">
        <v>44925</v>
      </c>
      <c r="C821" s="1">
        <v>44959</v>
      </c>
      <c r="D821" t="s">
        <v>7</v>
      </c>
      <c r="E821">
        <v>39</v>
      </c>
      <c r="F821" t="s">
        <v>6</v>
      </c>
      <c r="G821" s="8">
        <f t="shared" si="73"/>
        <v>34</v>
      </c>
      <c r="H821">
        <f t="shared" si="74"/>
        <v>6</v>
      </c>
      <c r="I821" t="str">
        <f t="shared" si="72"/>
        <v>Friday</v>
      </c>
      <c r="L821">
        <f t="shared" si="75"/>
        <v>0</v>
      </c>
    </row>
    <row r="822" spans="1:12" x14ac:dyDescent="0.25">
      <c r="A822">
        <v>177266058</v>
      </c>
      <c r="B822" s="1">
        <v>44925</v>
      </c>
      <c r="C822" s="1">
        <v>45022</v>
      </c>
      <c r="D822" t="s">
        <v>7</v>
      </c>
      <c r="E822">
        <v>39</v>
      </c>
      <c r="F822" t="s">
        <v>6</v>
      </c>
      <c r="G822" s="8">
        <f t="shared" si="73"/>
        <v>97</v>
      </c>
      <c r="H822">
        <f t="shared" si="74"/>
        <v>6</v>
      </c>
      <c r="I822" t="str">
        <f t="shared" si="72"/>
        <v>Friday</v>
      </c>
      <c r="L822">
        <f t="shared" si="75"/>
        <v>0</v>
      </c>
    </row>
    <row r="823" spans="1:12" x14ac:dyDescent="0.25">
      <c r="A823">
        <v>174203866</v>
      </c>
      <c r="B823" s="1">
        <v>44925</v>
      </c>
      <c r="C823" s="1">
        <v>44985</v>
      </c>
      <c r="D823" t="s">
        <v>7</v>
      </c>
      <c r="E823">
        <v>39</v>
      </c>
      <c r="F823" t="s">
        <v>6</v>
      </c>
      <c r="G823" s="8">
        <f t="shared" si="73"/>
        <v>60</v>
      </c>
      <c r="H823">
        <f t="shared" si="74"/>
        <v>6</v>
      </c>
      <c r="I823" t="str">
        <f t="shared" si="72"/>
        <v>Friday</v>
      </c>
      <c r="L823">
        <f t="shared" si="75"/>
        <v>0</v>
      </c>
    </row>
    <row r="824" spans="1:12" x14ac:dyDescent="0.25">
      <c r="A824">
        <v>174991614</v>
      </c>
      <c r="B824" s="1">
        <v>44925</v>
      </c>
      <c r="C824" s="1">
        <v>44956</v>
      </c>
      <c r="D824" t="s">
        <v>7</v>
      </c>
      <c r="E824">
        <v>39</v>
      </c>
      <c r="F824" t="s">
        <v>6</v>
      </c>
      <c r="G824" s="8">
        <f t="shared" si="73"/>
        <v>31</v>
      </c>
      <c r="H824">
        <f t="shared" si="74"/>
        <v>6</v>
      </c>
      <c r="I824" t="str">
        <f t="shared" si="72"/>
        <v>Friday</v>
      </c>
      <c r="L824">
        <f t="shared" si="75"/>
        <v>0</v>
      </c>
    </row>
    <row r="825" spans="1:12" x14ac:dyDescent="0.25">
      <c r="A825">
        <v>175354348</v>
      </c>
      <c r="B825" s="1">
        <v>44925</v>
      </c>
      <c r="C825" s="1">
        <v>44947</v>
      </c>
      <c r="D825" t="s">
        <v>7</v>
      </c>
      <c r="E825">
        <v>39</v>
      </c>
      <c r="F825" t="s">
        <v>6</v>
      </c>
      <c r="G825" s="8">
        <f t="shared" si="73"/>
        <v>22</v>
      </c>
      <c r="H825">
        <f t="shared" si="74"/>
        <v>6</v>
      </c>
      <c r="I825" t="str">
        <f t="shared" si="72"/>
        <v>Friday</v>
      </c>
      <c r="L825">
        <f t="shared" si="75"/>
        <v>0</v>
      </c>
    </row>
    <row r="826" spans="1:12" x14ac:dyDescent="0.25">
      <c r="A826">
        <v>176573512</v>
      </c>
      <c r="B826" s="1">
        <v>44925</v>
      </c>
      <c r="C826" s="1">
        <v>45110</v>
      </c>
      <c r="D826" t="s">
        <v>7</v>
      </c>
      <c r="E826">
        <v>39</v>
      </c>
      <c r="F826" t="s">
        <v>6</v>
      </c>
      <c r="G826" s="8">
        <f t="shared" si="73"/>
        <v>185</v>
      </c>
      <c r="H826">
        <f t="shared" si="74"/>
        <v>6</v>
      </c>
      <c r="I826" t="str">
        <f t="shared" si="72"/>
        <v>Friday</v>
      </c>
      <c r="L826">
        <f t="shared" si="75"/>
        <v>0</v>
      </c>
    </row>
    <row r="827" spans="1:12" x14ac:dyDescent="0.25">
      <c r="A827">
        <v>178379352</v>
      </c>
      <c r="B827" s="1">
        <v>44926</v>
      </c>
      <c r="C827" s="1">
        <v>44928</v>
      </c>
      <c r="D827" t="s">
        <v>7</v>
      </c>
      <c r="E827">
        <v>39</v>
      </c>
      <c r="F827" t="s">
        <v>6</v>
      </c>
      <c r="G827" s="8">
        <f t="shared" si="73"/>
        <v>2</v>
      </c>
      <c r="H827">
        <f t="shared" si="74"/>
        <v>7</v>
      </c>
      <c r="I827" t="str">
        <f t="shared" si="72"/>
        <v>Saturday</v>
      </c>
      <c r="L827">
        <f t="shared" si="75"/>
        <v>1</v>
      </c>
    </row>
    <row r="828" spans="1:12" x14ac:dyDescent="0.25">
      <c r="A828">
        <v>152980676</v>
      </c>
      <c r="B828" s="1">
        <v>44926</v>
      </c>
      <c r="C828" s="1">
        <v>44947</v>
      </c>
      <c r="D828" t="s">
        <v>7</v>
      </c>
      <c r="E828">
        <v>39</v>
      </c>
      <c r="F828" t="s">
        <v>6</v>
      </c>
      <c r="G828" s="8">
        <f t="shared" si="73"/>
        <v>21</v>
      </c>
      <c r="H828">
        <f t="shared" si="74"/>
        <v>7</v>
      </c>
      <c r="I828" t="str">
        <f t="shared" si="72"/>
        <v>Saturday</v>
      </c>
      <c r="L828">
        <f t="shared" si="75"/>
        <v>0</v>
      </c>
    </row>
    <row r="829" spans="1:12" x14ac:dyDescent="0.25">
      <c r="A829">
        <v>179551652</v>
      </c>
      <c r="B829" s="1">
        <v>44926</v>
      </c>
      <c r="C829" s="1">
        <v>45053</v>
      </c>
      <c r="D829" t="s">
        <v>7</v>
      </c>
      <c r="E829">
        <v>39</v>
      </c>
      <c r="F829" t="s">
        <v>6</v>
      </c>
      <c r="G829" s="8">
        <f t="shared" si="73"/>
        <v>127</v>
      </c>
      <c r="H829">
        <f t="shared" si="74"/>
        <v>7</v>
      </c>
      <c r="I829" t="str">
        <f t="shared" si="72"/>
        <v>Saturday</v>
      </c>
      <c r="L829">
        <f t="shared" si="75"/>
        <v>0</v>
      </c>
    </row>
    <row r="830" spans="1:12" x14ac:dyDescent="0.25">
      <c r="A830">
        <v>175899028</v>
      </c>
      <c r="B830" s="1">
        <v>44926</v>
      </c>
      <c r="C830" s="1">
        <v>45009</v>
      </c>
      <c r="D830" t="s">
        <v>7</v>
      </c>
      <c r="E830">
        <v>39</v>
      </c>
      <c r="F830" t="s">
        <v>6</v>
      </c>
      <c r="G830" s="8">
        <f t="shared" si="73"/>
        <v>83</v>
      </c>
      <c r="H830">
        <f t="shared" si="74"/>
        <v>7</v>
      </c>
      <c r="I830" t="str">
        <f t="shared" si="72"/>
        <v>Saturday</v>
      </c>
      <c r="L830">
        <f t="shared" si="75"/>
        <v>0</v>
      </c>
    </row>
    <row r="831" spans="1:12" x14ac:dyDescent="0.25">
      <c r="A831">
        <v>148427368</v>
      </c>
      <c r="B831" s="1">
        <v>44926</v>
      </c>
      <c r="C831" s="1">
        <v>44964</v>
      </c>
      <c r="D831" t="s">
        <v>7</v>
      </c>
      <c r="E831">
        <v>39</v>
      </c>
      <c r="F831" t="s">
        <v>6</v>
      </c>
      <c r="G831" s="8">
        <f t="shared" si="73"/>
        <v>38</v>
      </c>
      <c r="H831">
        <f t="shared" si="74"/>
        <v>7</v>
      </c>
      <c r="I831" t="str">
        <f t="shared" si="72"/>
        <v>Saturday</v>
      </c>
      <c r="L831">
        <f t="shared" si="75"/>
        <v>0</v>
      </c>
    </row>
    <row r="832" spans="1:12" x14ac:dyDescent="0.25">
      <c r="A832">
        <v>149335749</v>
      </c>
      <c r="B832" s="1">
        <v>44926</v>
      </c>
      <c r="C832" s="1">
        <v>44956</v>
      </c>
      <c r="D832" t="s">
        <v>7</v>
      </c>
      <c r="E832">
        <v>39</v>
      </c>
      <c r="F832" t="s">
        <v>6</v>
      </c>
      <c r="G832" s="8">
        <f t="shared" si="73"/>
        <v>30</v>
      </c>
      <c r="H832">
        <f t="shared" si="74"/>
        <v>7</v>
      </c>
      <c r="I832" t="str">
        <f t="shared" si="72"/>
        <v>Saturday</v>
      </c>
      <c r="L832">
        <f t="shared" si="75"/>
        <v>0</v>
      </c>
    </row>
    <row r="833" spans="1:12" x14ac:dyDescent="0.25">
      <c r="A833">
        <v>179395204</v>
      </c>
      <c r="B833" s="1">
        <v>44926</v>
      </c>
      <c r="C833" s="1">
        <v>44942</v>
      </c>
      <c r="D833" t="s">
        <v>7</v>
      </c>
      <c r="E833">
        <v>39</v>
      </c>
      <c r="F833" t="s">
        <v>6</v>
      </c>
      <c r="G833" s="8">
        <f t="shared" si="73"/>
        <v>16</v>
      </c>
      <c r="H833">
        <f t="shared" si="74"/>
        <v>7</v>
      </c>
      <c r="I833" t="str">
        <f t="shared" si="72"/>
        <v>Saturday</v>
      </c>
      <c r="L833">
        <f t="shared" si="75"/>
        <v>0</v>
      </c>
    </row>
    <row r="834" spans="1:12" x14ac:dyDescent="0.25">
      <c r="A834">
        <v>150870576</v>
      </c>
      <c r="B834" s="1">
        <v>44927</v>
      </c>
      <c r="C834" s="1">
        <v>45092</v>
      </c>
      <c r="D834" t="s">
        <v>7</v>
      </c>
      <c r="E834">
        <v>39</v>
      </c>
      <c r="F834" t="s">
        <v>6</v>
      </c>
      <c r="G834" s="8">
        <f t="shared" si="73"/>
        <v>165</v>
      </c>
      <c r="H834">
        <f t="shared" si="74"/>
        <v>1</v>
      </c>
      <c r="I834" t="str">
        <f t="shared" ref="I834:I897" si="78">TEXT(B834,"DDDD")</f>
        <v>Sunday</v>
      </c>
      <c r="L834">
        <f t="shared" si="75"/>
        <v>0</v>
      </c>
    </row>
    <row r="835" spans="1:12" x14ac:dyDescent="0.25">
      <c r="A835">
        <v>176200716</v>
      </c>
      <c r="B835" s="1">
        <v>44927</v>
      </c>
      <c r="C835" s="1">
        <v>45040</v>
      </c>
      <c r="D835" t="s">
        <v>7</v>
      </c>
      <c r="E835">
        <v>39</v>
      </c>
      <c r="F835" t="s">
        <v>6</v>
      </c>
      <c r="G835" s="8">
        <f t="shared" ref="G835:G898" si="79">IFERROR(DATEDIF(B835,C835,"D"),"0")</f>
        <v>113</v>
      </c>
      <c r="H835">
        <f t="shared" ref="H835:H898" si="80">WEEKDAY(B835,1)</f>
        <v>1</v>
      </c>
      <c r="I835" t="str">
        <f t="shared" si="78"/>
        <v>Sunday</v>
      </c>
      <c r="L835">
        <f t="shared" ref="L835:L898" si="81">IF( OR($G835=0,$G835 = 1, $G835 = 2), 1, 0 )</f>
        <v>0</v>
      </c>
    </row>
    <row r="836" spans="1:12" x14ac:dyDescent="0.25">
      <c r="A836">
        <v>178097351</v>
      </c>
      <c r="B836" s="1">
        <v>44927</v>
      </c>
      <c r="C836" s="1">
        <v>44965</v>
      </c>
      <c r="D836" t="s">
        <v>7</v>
      </c>
      <c r="E836">
        <v>39</v>
      </c>
      <c r="F836" t="s">
        <v>6</v>
      </c>
      <c r="G836" s="8">
        <f t="shared" si="79"/>
        <v>38</v>
      </c>
      <c r="H836">
        <f t="shared" si="80"/>
        <v>1</v>
      </c>
      <c r="I836" t="str">
        <f t="shared" si="78"/>
        <v>Sunday</v>
      </c>
      <c r="L836">
        <f t="shared" si="81"/>
        <v>0</v>
      </c>
    </row>
    <row r="837" spans="1:12" x14ac:dyDescent="0.25">
      <c r="A837">
        <v>177238262</v>
      </c>
      <c r="B837" s="1">
        <v>44928</v>
      </c>
      <c r="C837" s="1">
        <f t="shared" ref="C837:C838" ca="1" si="82">TODAY()</f>
        <v>45938</v>
      </c>
      <c r="D837" t="s">
        <v>7</v>
      </c>
      <c r="E837">
        <v>39</v>
      </c>
      <c r="F837" t="s">
        <v>6</v>
      </c>
      <c r="G837" s="8">
        <f t="shared" ca="1" si="79"/>
        <v>1010</v>
      </c>
      <c r="H837">
        <f t="shared" si="80"/>
        <v>2</v>
      </c>
      <c r="I837" t="str">
        <f t="shared" si="78"/>
        <v>Monday</v>
      </c>
      <c r="L837">
        <f t="shared" ca="1" si="81"/>
        <v>0</v>
      </c>
    </row>
    <row r="838" spans="1:12" x14ac:dyDescent="0.25">
      <c r="A838">
        <v>173131478</v>
      </c>
      <c r="B838" s="1">
        <v>44928</v>
      </c>
      <c r="C838" s="1">
        <f t="shared" ca="1" si="82"/>
        <v>45938</v>
      </c>
      <c r="D838" t="s">
        <v>7</v>
      </c>
      <c r="E838">
        <v>39</v>
      </c>
      <c r="F838" t="s">
        <v>6</v>
      </c>
      <c r="G838" s="8">
        <f t="shared" ca="1" si="79"/>
        <v>1010</v>
      </c>
      <c r="H838">
        <f t="shared" si="80"/>
        <v>2</v>
      </c>
      <c r="I838" t="str">
        <f t="shared" si="78"/>
        <v>Monday</v>
      </c>
      <c r="L838">
        <f t="shared" ca="1" si="81"/>
        <v>0</v>
      </c>
    </row>
    <row r="839" spans="1:12" x14ac:dyDescent="0.25">
      <c r="A839">
        <v>180123121</v>
      </c>
      <c r="B839" s="1">
        <v>44928</v>
      </c>
      <c r="C839" s="1">
        <v>44928</v>
      </c>
      <c r="D839" t="s">
        <v>8</v>
      </c>
      <c r="E839">
        <v>39</v>
      </c>
      <c r="F839" t="s">
        <v>6</v>
      </c>
      <c r="G839" s="8">
        <f t="shared" si="79"/>
        <v>0</v>
      </c>
      <c r="H839">
        <f t="shared" si="80"/>
        <v>2</v>
      </c>
      <c r="I839" t="str">
        <f t="shared" si="78"/>
        <v>Monday</v>
      </c>
      <c r="L839">
        <f t="shared" si="81"/>
        <v>1</v>
      </c>
    </row>
    <row r="840" spans="1:12" x14ac:dyDescent="0.25">
      <c r="A840">
        <v>139136640</v>
      </c>
      <c r="B840" s="1">
        <v>44928</v>
      </c>
      <c r="C840" s="1">
        <v>44994</v>
      </c>
      <c r="D840" t="s">
        <v>7</v>
      </c>
      <c r="E840">
        <v>39</v>
      </c>
      <c r="F840" t="s">
        <v>6</v>
      </c>
      <c r="G840" s="8">
        <f t="shared" si="79"/>
        <v>66</v>
      </c>
      <c r="H840">
        <f t="shared" si="80"/>
        <v>2</v>
      </c>
      <c r="I840" t="str">
        <f t="shared" si="78"/>
        <v>Monday</v>
      </c>
      <c r="L840">
        <f t="shared" si="81"/>
        <v>0</v>
      </c>
    </row>
    <row r="841" spans="1:12" x14ac:dyDescent="0.25">
      <c r="A841">
        <v>172951272</v>
      </c>
      <c r="B841" s="1">
        <v>44928</v>
      </c>
      <c r="C841" s="1">
        <v>45052</v>
      </c>
      <c r="D841" t="s">
        <v>7</v>
      </c>
      <c r="E841">
        <v>39</v>
      </c>
      <c r="F841" t="s">
        <v>6</v>
      </c>
      <c r="G841" s="8">
        <f t="shared" si="79"/>
        <v>124</v>
      </c>
      <c r="H841">
        <f t="shared" si="80"/>
        <v>2</v>
      </c>
      <c r="I841" t="str">
        <f t="shared" si="78"/>
        <v>Monday</v>
      </c>
      <c r="L841">
        <f t="shared" si="81"/>
        <v>0</v>
      </c>
    </row>
    <row r="842" spans="1:12" x14ac:dyDescent="0.25">
      <c r="A842">
        <v>175473611</v>
      </c>
      <c r="B842" s="1">
        <v>44928</v>
      </c>
      <c r="C842" s="1">
        <v>45039</v>
      </c>
      <c r="D842" t="s">
        <v>7</v>
      </c>
      <c r="E842">
        <v>39</v>
      </c>
      <c r="F842" t="s">
        <v>6</v>
      </c>
      <c r="G842" s="8">
        <f t="shared" si="79"/>
        <v>111</v>
      </c>
      <c r="H842">
        <f t="shared" si="80"/>
        <v>2</v>
      </c>
      <c r="I842" t="str">
        <f t="shared" si="78"/>
        <v>Monday</v>
      </c>
      <c r="L842">
        <f t="shared" si="81"/>
        <v>0</v>
      </c>
    </row>
    <row r="843" spans="1:12" x14ac:dyDescent="0.25">
      <c r="A843">
        <v>170776130</v>
      </c>
      <c r="B843" s="1">
        <v>44928</v>
      </c>
      <c r="C843" s="1">
        <v>45034</v>
      </c>
      <c r="D843" t="s">
        <v>7</v>
      </c>
      <c r="E843">
        <v>39</v>
      </c>
      <c r="F843" t="s">
        <v>6</v>
      </c>
      <c r="G843" s="8">
        <f t="shared" si="79"/>
        <v>106</v>
      </c>
      <c r="H843">
        <f t="shared" si="80"/>
        <v>2</v>
      </c>
      <c r="I843" t="str">
        <f t="shared" si="78"/>
        <v>Monday</v>
      </c>
      <c r="L843">
        <f t="shared" si="81"/>
        <v>0</v>
      </c>
    </row>
    <row r="844" spans="1:12" x14ac:dyDescent="0.25">
      <c r="A844">
        <v>180558466</v>
      </c>
      <c r="B844" s="1">
        <v>44928</v>
      </c>
      <c r="C844" s="1">
        <v>45009</v>
      </c>
      <c r="D844" t="s">
        <v>7</v>
      </c>
      <c r="E844">
        <v>39</v>
      </c>
      <c r="F844" t="s">
        <v>6</v>
      </c>
      <c r="G844" s="8">
        <f t="shared" si="79"/>
        <v>81</v>
      </c>
      <c r="H844">
        <f t="shared" si="80"/>
        <v>2</v>
      </c>
      <c r="I844" t="str">
        <f t="shared" si="78"/>
        <v>Monday</v>
      </c>
      <c r="L844">
        <f t="shared" si="81"/>
        <v>0</v>
      </c>
    </row>
    <row r="845" spans="1:12" x14ac:dyDescent="0.25">
      <c r="A845">
        <v>171398636</v>
      </c>
      <c r="B845" s="1">
        <v>44928</v>
      </c>
      <c r="C845" s="1">
        <v>44995</v>
      </c>
      <c r="D845" t="s">
        <v>7</v>
      </c>
      <c r="E845">
        <v>39</v>
      </c>
      <c r="F845" t="s">
        <v>6</v>
      </c>
      <c r="G845" s="8">
        <f t="shared" si="79"/>
        <v>67</v>
      </c>
      <c r="H845">
        <f t="shared" si="80"/>
        <v>2</v>
      </c>
      <c r="I845" t="str">
        <f t="shared" si="78"/>
        <v>Monday</v>
      </c>
      <c r="L845">
        <f t="shared" si="81"/>
        <v>0</v>
      </c>
    </row>
    <row r="846" spans="1:12" x14ac:dyDescent="0.25">
      <c r="A846">
        <v>180424776</v>
      </c>
      <c r="B846" s="1">
        <v>44928</v>
      </c>
      <c r="C846" s="1">
        <v>45004</v>
      </c>
      <c r="D846" t="s">
        <v>7</v>
      </c>
      <c r="E846">
        <v>39</v>
      </c>
      <c r="F846" t="s">
        <v>6</v>
      </c>
      <c r="G846" s="8">
        <f t="shared" si="79"/>
        <v>76</v>
      </c>
      <c r="H846">
        <f t="shared" si="80"/>
        <v>2</v>
      </c>
      <c r="I846" t="str">
        <f t="shared" si="78"/>
        <v>Monday</v>
      </c>
      <c r="L846">
        <f t="shared" si="81"/>
        <v>0</v>
      </c>
    </row>
    <row r="847" spans="1:12" x14ac:dyDescent="0.25">
      <c r="A847">
        <v>180198528</v>
      </c>
      <c r="B847" s="1">
        <v>44928</v>
      </c>
      <c r="C847" s="1">
        <v>44966</v>
      </c>
      <c r="D847" t="s">
        <v>7</v>
      </c>
      <c r="E847">
        <v>39</v>
      </c>
      <c r="F847" t="s">
        <v>6</v>
      </c>
      <c r="G847" s="8">
        <f t="shared" si="79"/>
        <v>38</v>
      </c>
      <c r="H847">
        <f t="shared" si="80"/>
        <v>2</v>
      </c>
      <c r="I847" t="str">
        <f t="shared" si="78"/>
        <v>Monday</v>
      </c>
      <c r="L847">
        <f t="shared" si="81"/>
        <v>0</v>
      </c>
    </row>
    <row r="848" spans="1:12" x14ac:dyDescent="0.25">
      <c r="A848">
        <v>124634385</v>
      </c>
      <c r="B848" s="1">
        <v>44929</v>
      </c>
      <c r="C848" s="1">
        <f t="shared" ref="C848:C849" ca="1" si="83">TODAY()</f>
        <v>45938</v>
      </c>
      <c r="D848" t="s">
        <v>7</v>
      </c>
      <c r="E848">
        <v>39</v>
      </c>
      <c r="F848" t="s">
        <v>6</v>
      </c>
      <c r="G848" s="8">
        <f t="shared" ca="1" si="79"/>
        <v>1009</v>
      </c>
      <c r="H848">
        <f t="shared" si="80"/>
        <v>3</v>
      </c>
      <c r="I848" t="str">
        <f t="shared" si="78"/>
        <v>Tuesday</v>
      </c>
      <c r="L848">
        <f t="shared" ca="1" si="81"/>
        <v>0</v>
      </c>
    </row>
    <row r="849" spans="1:12" x14ac:dyDescent="0.25">
      <c r="A849">
        <v>180740092</v>
      </c>
      <c r="B849" s="1">
        <v>44929</v>
      </c>
      <c r="C849" s="1">
        <f t="shared" ca="1" si="83"/>
        <v>45938</v>
      </c>
      <c r="D849" t="s">
        <v>7</v>
      </c>
      <c r="E849">
        <v>39</v>
      </c>
      <c r="F849" t="s">
        <v>6</v>
      </c>
      <c r="G849" s="8">
        <f t="shared" ca="1" si="79"/>
        <v>1009</v>
      </c>
      <c r="H849">
        <f t="shared" si="80"/>
        <v>3</v>
      </c>
      <c r="I849" t="str">
        <f t="shared" si="78"/>
        <v>Tuesday</v>
      </c>
      <c r="L849">
        <f t="shared" ca="1" si="81"/>
        <v>0</v>
      </c>
    </row>
    <row r="850" spans="1:12" x14ac:dyDescent="0.25">
      <c r="A850">
        <v>144385898</v>
      </c>
      <c r="B850" s="1">
        <v>44929</v>
      </c>
      <c r="C850" s="1">
        <v>45110</v>
      </c>
      <c r="D850" t="s">
        <v>7</v>
      </c>
      <c r="E850">
        <v>39</v>
      </c>
      <c r="F850" t="s">
        <v>6</v>
      </c>
      <c r="G850" s="8">
        <f t="shared" si="79"/>
        <v>181</v>
      </c>
      <c r="H850">
        <f t="shared" si="80"/>
        <v>3</v>
      </c>
      <c r="I850" t="str">
        <f t="shared" si="78"/>
        <v>Tuesday</v>
      </c>
      <c r="L850">
        <f t="shared" si="81"/>
        <v>0</v>
      </c>
    </row>
    <row r="851" spans="1:12" x14ac:dyDescent="0.25">
      <c r="A851">
        <v>175138132</v>
      </c>
      <c r="B851" s="1">
        <v>44929</v>
      </c>
      <c r="C851" s="1">
        <v>45039</v>
      </c>
      <c r="D851" t="s">
        <v>7</v>
      </c>
      <c r="E851">
        <v>39</v>
      </c>
      <c r="F851" t="s">
        <v>6</v>
      </c>
      <c r="G851" s="8">
        <f t="shared" si="79"/>
        <v>110</v>
      </c>
      <c r="H851">
        <f t="shared" si="80"/>
        <v>3</v>
      </c>
      <c r="I851" t="str">
        <f t="shared" si="78"/>
        <v>Tuesday</v>
      </c>
      <c r="L851">
        <f t="shared" si="81"/>
        <v>0</v>
      </c>
    </row>
    <row r="852" spans="1:12" x14ac:dyDescent="0.25">
      <c r="A852">
        <v>180968287</v>
      </c>
      <c r="B852" s="1">
        <v>44929</v>
      </c>
      <c r="C852" s="1">
        <v>45012</v>
      </c>
      <c r="D852" t="s">
        <v>7</v>
      </c>
      <c r="E852">
        <v>39</v>
      </c>
      <c r="F852" t="s">
        <v>6</v>
      </c>
      <c r="G852" s="8">
        <f t="shared" si="79"/>
        <v>83</v>
      </c>
      <c r="H852">
        <f t="shared" si="80"/>
        <v>3</v>
      </c>
      <c r="I852" t="str">
        <f t="shared" si="78"/>
        <v>Tuesday</v>
      </c>
      <c r="L852">
        <f t="shared" si="81"/>
        <v>0</v>
      </c>
    </row>
    <row r="853" spans="1:12" x14ac:dyDescent="0.25">
      <c r="A853">
        <v>180959934</v>
      </c>
      <c r="B853" s="1">
        <v>44929</v>
      </c>
      <c r="C853" s="1">
        <v>44993</v>
      </c>
      <c r="D853" t="s">
        <v>7</v>
      </c>
      <c r="E853">
        <v>39</v>
      </c>
      <c r="F853" t="s">
        <v>6</v>
      </c>
      <c r="G853" s="8">
        <f t="shared" si="79"/>
        <v>64</v>
      </c>
      <c r="H853">
        <f t="shared" si="80"/>
        <v>3</v>
      </c>
      <c r="I853" t="str">
        <f t="shared" si="78"/>
        <v>Tuesday</v>
      </c>
      <c r="L853">
        <f t="shared" si="81"/>
        <v>0</v>
      </c>
    </row>
    <row r="854" spans="1:12" x14ac:dyDescent="0.25">
      <c r="A854">
        <v>176445635</v>
      </c>
      <c r="B854" s="1">
        <v>44929</v>
      </c>
      <c r="C854" s="1">
        <v>44975</v>
      </c>
      <c r="D854" t="s">
        <v>7</v>
      </c>
      <c r="E854">
        <v>39</v>
      </c>
      <c r="F854" t="s">
        <v>6</v>
      </c>
      <c r="G854" s="8">
        <f t="shared" si="79"/>
        <v>46</v>
      </c>
      <c r="H854">
        <f t="shared" si="80"/>
        <v>3</v>
      </c>
      <c r="I854" t="str">
        <f t="shared" si="78"/>
        <v>Tuesday</v>
      </c>
      <c r="L854">
        <f t="shared" si="81"/>
        <v>0</v>
      </c>
    </row>
    <row r="855" spans="1:12" x14ac:dyDescent="0.25">
      <c r="A855">
        <v>180798046</v>
      </c>
      <c r="B855" s="1">
        <v>44929</v>
      </c>
      <c r="C855" s="1">
        <v>44957</v>
      </c>
      <c r="D855" t="s">
        <v>7</v>
      </c>
      <c r="E855">
        <v>39</v>
      </c>
      <c r="F855" t="s">
        <v>6</v>
      </c>
      <c r="G855" s="8">
        <f t="shared" si="79"/>
        <v>28</v>
      </c>
      <c r="H855">
        <f t="shared" si="80"/>
        <v>3</v>
      </c>
      <c r="I855" t="str">
        <f t="shared" si="78"/>
        <v>Tuesday</v>
      </c>
      <c r="L855">
        <f t="shared" si="81"/>
        <v>0</v>
      </c>
    </row>
    <row r="856" spans="1:12" x14ac:dyDescent="0.25">
      <c r="A856">
        <v>180718702</v>
      </c>
      <c r="B856" s="1">
        <v>44929</v>
      </c>
      <c r="C856" s="1">
        <v>44951</v>
      </c>
      <c r="D856" t="s">
        <v>7</v>
      </c>
      <c r="E856">
        <v>39</v>
      </c>
      <c r="F856" t="s">
        <v>6</v>
      </c>
      <c r="G856" s="8">
        <f t="shared" si="79"/>
        <v>22</v>
      </c>
      <c r="H856">
        <f t="shared" si="80"/>
        <v>3</v>
      </c>
      <c r="I856" t="str">
        <f t="shared" si="78"/>
        <v>Tuesday</v>
      </c>
      <c r="L856">
        <f t="shared" si="81"/>
        <v>0</v>
      </c>
    </row>
    <row r="857" spans="1:12" x14ac:dyDescent="0.25">
      <c r="A857">
        <v>181052392</v>
      </c>
      <c r="B857" s="1">
        <v>44929</v>
      </c>
      <c r="C857" s="1">
        <v>45161</v>
      </c>
      <c r="D857" t="s">
        <v>7</v>
      </c>
      <c r="E857">
        <v>39</v>
      </c>
      <c r="F857" t="s">
        <v>6</v>
      </c>
      <c r="G857" s="8">
        <f t="shared" si="79"/>
        <v>232</v>
      </c>
      <c r="H857">
        <f t="shared" si="80"/>
        <v>3</v>
      </c>
      <c r="I857" t="str">
        <f t="shared" si="78"/>
        <v>Tuesday</v>
      </c>
      <c r="L857">
        <f t="shared" si="81"/>
        <v>0</v>
      </c>
    </row>
    <row r="858" spans="1:12" x14ac:dyDescent="0.25">
      <c r="A858">
        <v>181717508</v>
      </c>
      <c r="B858" s="1">
        <v>44930</v>
      </c>
      <c r="C858" s="1">
        <f ca="1">TODAY()</f>
        <v>45938</v>
      </c>
      <c r="D858" t="s">
        <v>7</v>
      </c>
      <c r="E858">
        <v>39</v>
      </c>
      <c r="F858" t="s">
        <v>6</v>
      </c>
      <c r="G858" s="8">
        <f t="shared" ca="1" si="79"/>
        <v>1008</v>
      </c>
      <c r="H858">
        <f t="shared" si="80"/>
        <v>4</v>
      </c>
      <c r="I858" t="str">
        <f t="shared" si="78"/>
        <v>Wednesday</v>
      </c>
      <c r="L858">
        <f t="shared" ca="1" si="81"/>
        <v>0</v>
      </c>
    </row>
    <row r="859" spans="1:12" x14ac:dyDescent="0.25">
      <c r="A859">
        <v>163103592</v>
      </c>
      <c r="B859" s="1">
        <v>44930</v>
      </c>
      <c r="C859" s="1">
        <v>44931</v>
      </c>
      <c r="D859" t="s">
        <v>8</v>
      </c>
      <c r="E859">
        <v>39</v>
      </c>
      <c r="F859" t="s">
        <v>6</v>
      </c>
      <c r="G859" s="8">
        <f t="shared" si="79"/>
        <v>1</v>
      </c>
      <c r="H859">
        <f t="shared" si="80"/>
        <v>4</v>
      </c>
      <c r="I859" t="str">
        <f t="shared" si="78"/>
        <v>Wednesday</v>
      </c>
      <c r="L859">
        <f t="shared" si="81"/>
        <v>1</v>
      </c>
    </row>
    <row r="860" spans="1:12" x14ac:dyDescent="0.25">
      <c r="A860">
        <v>146860806</v>
      </c>
      <c r="B860" s="1">
        <v>44930</v>
      </c>
      <c r="C860" s="1">
        <v>44989</v>
      </c>
      <c r="D860" t="s">
        <v>7</v>
      </c>
      <c r="E860">
        <v>39</v>
      </c>
      <c r="F860" t="s">
        <v>6</v>
      </c>
      <c r="G860" s="8">
        <f t="shared" si="79"/>
        <v>59</v>
      </c>
      <c r="H860">
        <f t="shared" si="80"/>
        <v>4</v>
      </c>
      <c r="I860" t="str">
        <f t="shared" si="78"/>
        <v>Wednesday</v>
      </c>
      <c r="L860">
        <f t="shared" si="81"/>
        <v>0</v>
      </c>
    </row>
    <row r="861" spans="1:12" x14ac:dyDescent="0.25">
      <c r="A861">
        <v>160532210</v>
      </c>
      <c r="B861" s="1">
        <v>44930</v>
      </c>
      <c r="C861" s="1">
        <v>44969</v>
      </c>
      <c r="D861" t="s">
        <v>7</v>
      </c>
      <c r="E861">
        <v>39</v>
      </c>
      <c r="F861" t="s">
        <v>6</v>
      </c>
      <c r="G861" s="8">
        <f t="shared" si="79"/>
        <v>39</v>
      </c>
      <c r="H861">
        <f t="shared" si="80"/>
        <v>4</v>
      </c>
      <c r="I861" t="str">
        <f t="shared" si="78"/>
        <v>Wednesday</v>
      </c>
      <c r="L861">
        <f t="shared" si="81"/>
        <v>0</v>
      </c>
    </row>
    <row r="862" spans="1:12" x14ac:dyDescent="0.25">
      <c r="A862">
        <v>181003342</v>
      </c>
      <c r="B862" s="1">
        <v>44930</v>
      </c>
      <c r="C862" s="1">
        <v>44985</v>
      </c>
      <c r="D862" t="s">
        <v>7</v>
      </c>
      <c r="E862">
        <v>39</v>
      </c>
      <c r="F862" t="s">
        <v>6</v>
      </c>
      <c r="G862" s="8">
        <f t="shared" si="79"/>
        <v>55</v>
      </c>
      <c r="H862">
        <f t="shared" si="80"/>
        <v>4</v>
      </c>
      <c r="I862" t="str">
        <f t="shared" si="78"/>
        <v>Wednesday</v>
      </c>
      <c r="L862">
        <f t="shared" si="81"/>
        <v>0</v>
      </c>
    </row>
    <row r="863" spans="1:12" x14ac:dyDescent="0.25">
      <c r="A863">
        <v>178661698</v>
      </c>
      <c r="B863" s="1">
        <v>44930</v>
      </c>
      <c r="C863" s="1">
        <v>45118</v>
      </c>
      <c r="D863" t="s">
        <v>7</v>
      </c>
      <c r="E863">
        <v>39</v>
      </c>
      <c r="F863" t="s">
        <v>6</v>
      </c>
      <c r="G863" s="8">
        <f t="shared" si="79"/>
        <v>188</v>
      </c>
      <c r="H863">
        <f t="shared" si="80"/>
        <v>4</v>
      </c>
      <c r="I863" t="str">
        <f t="shared" si="78"/>
        <v>Wednesday</v>
      </c>
      <c r="L863">
        <f t="shared" si="81"/>
        <v>0</v>
      </c>
    </row>
    <row r="864" spans="1:12" x14ac:dyDescent="0.25">
      <c r="A864">
        <v>178928897</v>
      </c>
      <c r="B864" s="1">
        <v>44931</v>
      </c>
      <c r="C864" s="1">
        <f t="shared" ref="C864:C865" ca="1" si="84">TODAY()</f>
        <v>45938</v>
      </c>
      <c r="D864" t="s">
        <v>7</v>
      </c>
      <c r="E864">
        <v>39</v>
      </c>
      <c r="F864" t="s">
        <v>6</v>
      </c>
      <c r="G864" s="8">
        <f t="shared" ca="1" si="79"/>
        <v>1007</v>
      </c>
      <c r="H864">
        <f t="shared" si="80"/>
        <v>5</v>
      </c>
      <c r="I864" t="str">
        <f t="shared" si="78"/>
        <v>Thursday</v>
      </c>
      <c r="L864">
        <f t="shared" ca="1" si="81"/>
        <v>0</v>
      </c>
    </row>
    <row r="865" spans="1:12" x14ac:dyDescent="0.25">
      <c r="A865">
        <v>181840814</v>
      </c>
      <c r="B865" s="1">
        <v>44931</v>
      </c>
      <c r="C865" s="1">
        <f t="shared" ca="1" si="84"/>
        <v>45938</v>
      </c>
      <c r="D865" t="s">
        <v>7</v>
      </c>
      <c r="E865">
        <v>39</v>
      </c>
      <c r="F865" t="s">
        <v>6</v>
      </c>
      <c r="G865" s="8">
        <f t="shared" ca="1" si="79"/>
        <v>1007</v>
      </c>
      <c r="H865">
        <f t="shared" si="80"/>
        <v>5</v>
      </c>
      <c r="I865" t="str">
        <f t="shared" si="78"/>
        <v>Thursday</v>
      </c>
      <c r="L865">
        <f t="shared" ca="1" si="81"/>
        <v>0</v>
      </c>
    </row>
    <row r="866" spans="1:12" x14ac:dyDescent="0.25">
      <c r="A866">
        <v>166930287</v>
      </c>
      <c r="B866" s="1">
        <v>44931</v>
      </c>
      <c r="C866" s="1">
        <v>44932</v>
      </c>
      <c r="D866" t="s">
        <v>8</v>
      </c>
      <c r="E866">
        <v>39</v>
      </c>
      <c r="F866" t="s">
        <v>6</v>
      </c>
      <c r="G866" s="8">
        <f t="shared" si="79"/>
        <v>1</v>
      </c>
      <c r="H866">
        <f t="shared" si="80"/>
        <v>5</v>
      </c>
      <c r="I866" t="str">
        <f t="shared" si="78"/>
        <v>Thursday</v>
      </c>
      <c r="L866">
        <f t="shared" si="81"/>
        <v>1</v>
      </c>
    </row>
    <row r="867" spans="1:12" x14ac:dyDescent="0.25">
      <c r="A867">
        <v>155956314</v>
      </c>
      <c r="B867" s="1">
        <v>44931</v>
      </c>
      <c r="C867" s="1">
        <v>44931</v>
      </c>
      <c r="D867" t="s">
        <v>8</v>
      </c>
      <c r="E867">
        <v>39</v>
      </c>
      <c r="F867" t="s">
        <v>6</v>
      </c>
      <c r="G867" s="8">
        <f t="shared" si="79"/>
        <v>0</v>
      </c>
      <c r="H867">
        <f t="shared" si="80"/>
        <v>5</v>
      </c>
      <c r="I867" t="str">
        <f t="shared" si="78"/>
        <v>Thursday</v>
      </c>
      <c r="L867">
        <f t="shared" si="81"/>
        <v>1</v>
      </c>
    </row>
    <row r="868" spans="1:12" x14ac:dyDescent="0.25">
      <c r="A868">
        <v>182408564</v>
      </c>
      <c r="B868" s="1">
        <v>44931</v>
      </c>
      <c r="C868" s="1">
        <v>45050</v>
      </c>
      <c r="D868" t="s">
        <v>7</v>
      </c>
      <c r="E868">
        <v>39</v>
      </c>
      <c r="F868" t="s">
        <v>6</v>
      </c>
      <c r="G868" s="8">
        <f t="shared" si="79"/>
        <v>119</v>
      </c>
      <c r="H868">
        <f t="shared" si="80"/>
        <v>5</v>
      </c>
      <c r="I868" t="str">
        <f t="shared" si="78"/>
        <v>Thursday</v>
      </c>
      <c r="L868">
        <f t="shared" si="81"/>
        <v>0</v>
      </c>
    </row>
    <row r="869" spans="1:12" x14ac:dyDescent="0.25">
      <c r="A869">
        <v>182295766</v>
      </c>
      <c r="B869" s="1">
        <v>44931</v>
      </c>
      <c r="C869" s="1">
        <v>44997</v>
      </c>
      <c r="D869" t="s">
        <v>7</v>
      </c>
      <c r="E869">
        <v>39</v>
      </c>
      <c r="F869" t="s">
        <v>6</v>
      </c>
      <c r="G869" s="8">
        <f t="shared" si="79"/>
        <v>66</v>
      </c>
      <c r="H869">
        <f t="shared" si="80"/>
        <v>5</v>
      </c>
      <c r="I869" t="str">
        <f t="shared" si="78"/>
        <v>Thursday</v>
      </c>
      <c r="L869">
        <f t="shared" si="81"/>
        <v>0</v>
      </c>
    </row>
    <row r="870" spans="1:12" x14ac:dyDescent="0.25">
      <c r="A870">
        <v>155881023</v>
      </c>
      <c r="B870" s="1">
        <v>44931</v>
      </c>
      <c r="C870" s="1">
        <v>44987</v>
      </c>
      <c r="D870" t="s">
        <v>7</v>
      </c>
      <c r="E870">
        <v>39</v>
      </c>
      <c r="F870" t="s">
        <v>6</v>
      </c>
      <c r="G870" s="8">
        <f t="shared" si="79"/>
        <v>56</v>
      </c>
      <c r="H870">
        <f t="shared" si="80"/>
        <v>5</v>
      </c>
      <c r="I870" t="str">
        <f t="shared" si="78"/>
        <v>Thursday</v>
      </c>
      <c r="L870">
        <f t="shared" si="81"/>
        <v>0</v>
      </c>
    </row>
    <row r="871" spans="1:12" x14ac:dyDescent="0.25">
      <c r="A871">
        <v>152750569</v>
      </c>
      <c r="B871" s="1">
        <v>44931</v>
      </c>
      <c r="C871" s="1">
        <v>44969</v>
      </c>
      <c r="D871" t="s">
        <v>7</v>
      </c>
      <c r="E871">
        <v>39</v>
      </c>
      <c r="F871" t="s">
        <v>6</v>
      </c>
      <c r="G871" s="8">
        <f t="shared" si="79"/>
        <v>38</v>
      </c>
      <c r="H871">
        <f t="shared" si="80"/>
        <v>5</v>
      </c>
      <c r="I871" t="str">
        <f t="shared" si="78"/>
        <v>Thursday</v>
      </c>
      <c r="L871">
        <f t="shared" si="81"/>
        <v>0</v>
      </c>
    </row>
    <row r="872" spans="1:12" x14ac:dyDescent="0.25">
      <c r="A872">
        <v>178345451</v>
      </c>
      <c r="B872" s="1">
        <v>44931</v>
      </c>
      <c r="C872" s="1">
        <v>44969</v>
      </c>
      <c r="D872" t="s">
        <v>7</v>
      </c>
      <c r="E872">
        <v>39</v>
      </c>
      <c r="F872" t="s">
        <v>6</v>
      </c>
      <c r="G872" s="8">
        <f t="shared" si="79"/>
        <v>38</v>
      </c>
      <c r="H872">
        <f t="shared" si="80"/>
        <v>5</v>
      </c>
      <c r="I872" t="str">
        <f t="shared" si="78"/>
        <v>Thursday</v>
      </c>
      <c r="L872">
        <f t="shared" si="81"/>
        <v>0</v>
      </c>
    </row>
    <row r="873" spans="1:12" x14ac:dyDescent="0.25">
      <c r="A873">
        <v>179758181</v>
      </c>
      <c r="B873" s="1">
        <v>44932</v>
      </c>
      <c r="C873" s="1">
        <f t="shared" ref="C873:C874" ca="1" si="85">TODAY()</f>
        <v>45938</v>
      </c>
      <c r="D873" t="s">
        <v>7</v>
      </c>
      <c r="E873">
        <v>39</v>
      </c>
      <c r="F873" t="s">
        <v>6</v>
      </c>
      <c r="G873" s="8">
        <f t="shared" ca="1" si="79"/>
        <v>1006</v>
      </c>
      <c r="H873">
        <f t="shared" si="80"/>
        <v>6</v>
      </c>
      <c r="I873" t="str">
        <f t="shared" si="78"/>
        <v>Friday</v>
      </c>
      <c r="L873">
        <f t="shared" ca="1" si="81"/>
        <v>0</v>
      </c>
    </row>
    <row r="874" spans="1:12" x14ac:dyDescent="0.25">
      <c r="A874">
        <v>167266048</v>
      </c>
      <c r="B874" s="1">
        <v>44932</v>
      </c>
      <c r="C874" s="1">
        <f t="shared" ca="1" si="85"/>
        <v>45938</v>
      </c>
      <c r="D874" t="s">
        <v>7</v>
      </c>
      <c r="E874">
        <v>39</v>
      </c>
      <c r="F874" t="s">
        <v>6</v>
      </c>
      <c r="G874" s="8">
        <f t="shared" ca="1" si="79"/>
        <v>1006</v>
      </c>
      <c r="H874">
        <f t="shared" si="80"/>
        <v>6</v>
      </c>
      <c r="I874" t="str">
        <f t="shared" si="78"/>
        <v>Friday</v>
      </c>
      <c r="L874">
        <f t="shared" ca="1" si="81"/>
        <v>0</v>
      </c>
    </row>
    <row r="875" spans="1:12" x14ac:dyDescent="0.25">
      <c r="A875">
        <v>182719870</v>
      </c>
      <c r="B875" s="1">
        <v>44932</v>
      </c>
      <c r="C875" s="1">
        <v>45050</v>
      </c>
      <c r="D875" t="s">
        <v>7</v>
      </c>
      <c r="E875">
        <v>39</v>
      </c>
      <c r="F875" t="s">
        <v>6</v>
      </c>
      <c r="G875" s="8">
        <f t="shared" si="79"/>
        <v>118</v>
      </c>
      <c r="H875">
        <f t="shared" si="80"/>
        <v>6</v>
      </c>
      <c r="I875" t="str">
        <f t="shared" si="78"/>
        <v>Friday</v>
      </c>
      <c r="L875">
        <f t="shared" si="81"/>
        <v>0</v>
      </c>
    </row>
    <row r="876" spans="1:12" x14ac:dyDescent="0.25">
      <c r="A876">
        <v>182408430</v>
      </c>
      <c r="B876" s="1">
        <v>44932</v>
      </c>
      <c r="C876" s="1">
        <v>45056</v>
      </c>
      <c r="D876" t="s">
        <v>7</v>
      </c>
      <c r="E876">
        <v>39</v>
      </c>
      <c r="F876" t="s">
        <v>6</v>
      </c>
      <c r="G876" s="8">
        <f t="shared" si="79"/>
        <v>124</v>
      </c>
      <c r="H876">
        <f t="shared" si="80"/>
        <v>6</v>
      </c>
      <c r="I876" t="str">
        <f t="shared" si="78"/>
        <v>Friday</v>
      </c>
      <c r="L876">
        <f t="shared" si="81"/>
        <v>0</v>
      </c>
    </row>
    <row r="877" spans="1:12" x14ac:dyDescent="0.25">
      <c r="A877">
        <v>181072524</v>
      </c>
      <c r="B877" s="1">
        <v>44932</v>
      </c>
      <c r="C877" s="1">
        <v>45107</v>
      </c>
      <c r="D877" t="s">
        <v>7</v>
      </c>
      <c r="E877">
        <v>39</v>
      </c>
      <c r="F877" t="s">
        <v>6</v>
      </c>
      <c r="G877" s="8">
        <f t="shared" si="79"/>
        <v>175</v>
      </c>
      <c r="H877">
        <f t="shared" si="80"/>
        <v>6</v>
      </c>
      <c r="I877" t="str">
        <f t="shared" si="78"/>
        <v>Friday</v>
      </c>
      <c r="L877">
        <f t="shared" si="81"/>
        <v>0</v>
      </c>
    </row>
    <row r="878" spans="1:12" x14ac:dyDescent="0.25">
      <c r="A878">
        <v>182747824</v>
      </c>
      <c r="B878" s="1">
        <v>44932</v>
      </c>
      <c r="C878" s="1">
        <v>45029</v>
      </c>
      <c r="D878" t="s">
        <v>7</v>
      </c>
      <c r="E878">
        <v>39</v>
      </c>
      <c r="F878" t="s">
        <v>6</v>
      </c>
      <c r="G878" s="8">
        <f t="shared" si="79"/>
        <v>97</v>
      </c>
      <c r="H878">
        <f t="shared" si="80"/>
        <v>6</v>
      </c>
      <c r="I878" t="str">
        <f t="shared" si="78"/>
        <v>Friday</v>
      </c>
      <c r="L878">
        <f t="shared" si="81"/>
        <v>0</v>
      </c>
    </row>
    <row r="879" spans="1:12" x14ac:dyDescent="0.25">
      <c r="A879">
        <v>182700534</v>
      </c>
      <c r="B879" s="1">
        <v>44932</v>
      </c>
      <c r="C879" s="1">
        <v>45011</v>
      </c>
      <c r="D879" t="s">
        <v>7</v>
      </c>
      <c r="E879">
        <v>39</v>
      </c>
      <c r="F879" t="s">
        <v>6</v>
      </c>
      <c r="G879" s="8">
        <f t="shared" si="79"/>
        <v>79</v>
      </c>
      <c r="H879">
        <f t="shared" si="80"/>
        <v>6</v>
      </c>
      <c r="I879" t="str">
        <f t="shared" si="78"/>
        <v>Friday</v>
      </c>
      <c r="L879">
        <f t="shared" si="81"/>
        <v>0</v>
      </c>
    </row>
    <row r="880" spans="1:12" x14ac:dyDescent="0.25">
      <c r="A880">
        <v>182727349</v>
      </c>
      <c r="B880" s="1">
        <v>44932</v>
      </c>
      <c r="C880" s="1">
        <v>44963</v>
      </c>
      <c r="D880" t="s">
        <v>7</v>
      </c>
      <c r="E880">
        <v>39</v>
      </c>
      <c r="F880" t="s">
        <v>6</v>
      </c>
      <c r="G880" s="8">
        <f t="shared" si="79"/>
        <v>31</v>
      </c>
      <c r="H880">
        <f t="shared" si="80"/>
        <v>6</v>
      </c>
      <c r="I880" t="str">
        <f t="shared" si="78"/>
        <v>Friday</v>
      </c>
      <c r="L880">
        <f t="shared" si="81"/>
        <v>0</v>
      </c>
    </row>
    <row r="881" spans="1:12" x14ac:dyDescent="0.25">
      <c r="A881">
        <v>182636324</v>
      </c>
      <c r="B881" s="1">
        <v>44932</v>
      </c>
      <c r="C881" s="1">
        <v>44960</v>
      </c>
      <c r="D881" t="s">
        <v>7</v>
      </c>
      <c r="E881">
        <v>39</v>
      </c>
      <c r="F881" t="s">
        <v>6</v>
      </c>
      <c r="G881" s="8">
        <f t="shared" si="79"/>
        <v>28</v>
      </c>
      <c r="H881">
        <f t="shared" si="80"/>
        <v>6</v>
      </c>
      <c r="I881" t="str">
        <f t="shared" si="78"/>
        <v>Friday</v>
      </c>
      <c r="L881">
        <f t="shared" si="81"/>
        <v>0</v>
      </c>
    </row>
    <row r="882" spans="1:12" x14ac:dyDescent="0.25">
      <c r="A882">
        <v>170485769</v>
      </c>
      <c r="B882" s="1">
        <v>44932</v>
      </c>
      <c r="C882" s="1">
        <v>44932</v>
      </c>
      <c r="D882" t="s">
        <v>7</v>
      </c>
      <c r="E882">
        <v>39</v>
      </c>
      <c r="F882" t="s">
        <v>6</v>
      </c>
      <c r="G882" s="8">
        <f t="shared" si="79"/>
        <v>0</v>
      </c>
      <c r="H882">
        <f t="shared" si="80"/>
        <v>6</v>
      </c>
      <c r="I882" t="str">
        <f t="shared" si="78"/>
        <v>Friday</v>
      </c>
      <c r="L882">
        <f t="shared" si="81"/>
        <v>1</v>
      </c>
    </row>
    <row r="883" spans="1:12" x14ac:dyDescent="0.25">
      <c r="A883">
        <v>182627508</v>
      </c>
      <c r="B883" s="1">
        <v>44932</v>
      </c>
      <c r="C883" s="1">
        <v>44932</v>
      </c>
      <c r="D883" t="s">
        <v>7</v>
      </c>
      <c r="E883">
        <v>39</v>
      </c>
      <c r="F883" t="s">
        <v>6</v>
      </c>
      <c r="G883" s="8">
        <f t="shared" si="79"/>
        <v>0</v>
      </c>
      <c r="H883">
        <f t="shared" si="80"/>
        <v>6</v>
      </c>
      <c r="I883" t="str">
        <f t="shared" si="78"/>
        <v>Friday</v>
      </c>
      <c r="L883">
        <f t="shared" si="81"/>
        <v>1</v>
      </c>
    </row>
    <row r="884" spans="1:12" x14ac:dyDescent="0.25">
      <c r="A884">
        <v>182834016</v>
      </c>
      <c r="B884" s="1">
        <v>44933</v>
      </c>
      <c r="C884" s="1">
        <v>45091</v>
      </c>
      <c r="D884" t="s">
        <v>7</v>
      </c>
      <c r="E884">
        <v>39</v>
      </c>
      <c r="F884" t="s">
        <v>6</v>
      </c>
      <c r="G884" s="8">
        <f t="shared" si="79"/>
        <v>158</v>
      </c>
      <c r="H884">
        <f t="shared" si="80"/>
        <v>7</v>
      </c>
      <c r="I884" t="str">
        <f t="shared" si="78"/>
        <v>Saturday</v>
      </c>
      <c r="L884">
        <f t="shared" si="81"/>
        <v>0</v>
      </c>
    </row>
    <row r="885" spans="1:12" x14ac:dyDescent="0.25">
      <c r="A885">
        <v>163535855</v>
      </c>
      <c r="B885" s="1">
        <v>44933</v>
      </c>
      <c r="C885" s="1">
        <v>45098</v>
      </c>
      <c r="D885" t="s">
        <v>7</v>
      </c>
      <c r="E885">
        <v>39</v>
      </c>
      <c r="F885" t="s">
        <v>6</v>
      </c>
      <c r="G885" s="8">
        <f t="shared" si="79"/>
        <v>165</v>
      </c>
      <c r="H885">
        <f t="shared" si="80"/>
        <v>7</v>
      </c>
      <c r="I885" t="str">
        <f t="shared" si="78"/>
        <v>Saturday</v>
      </c>
      <c r="L885">
        <f t="shared" si="81"/>
        <v>0</v>
      </c>
    </row>
    <row r="886" spans="1:12" x14ac:dyDescent="0.25">
      <c r="A886">
        <v>183002853</v>
      </c>
      <c r="B886" s="1">
        <v>44933</v>
      </c>
      <c r="C886" s="1">
        <v>45024</v>
      </c>
      <c r="D886" t="s">
        <v>7</v>
      </c>
      <c r="E886">
        <v>39</v>
      </c>
      <c r="F886" t="s">
        <v>6</v>
      </c>
      <c r="G886" s="8">
        <f t="shared" si="79"/>
        <v>91</v>
      </c>
      <c r="H886">
        <f t="shared" si="80"/>
        <v>7</v>
      </c>
      <c r="I886" t="str">
        <f t="shared" si="78"/>
        <v>Saturday</v>
      </c>
      <c r="L886">
        <f t="shared" si="81"/>
        <v>0</v>
      </c>
    </row>
    <row r="887" spans="1:12" x14ac:dyDescent="0.25">
      <c r="A887">
        <v>148338824</v>
      </c>
      <c r="B887" s="1">
        <v>44933</v>
      </c>
      <c r="C887" s="1">
        <v>44964</v>
      </c>
      <c r="D887" t="s">
        <v>7</v>
      </c>
      <c r="E887">
        <v>39</v>
      </c>
      <c r="F887" t="s">
        <v>6</v>
      </c>
      <c r="G887" s="8">
        <f t="shared" si="79"/>
        <v>31</v>
      </c>
      <c r="H887">
        <f t="shared" si="80"/>
        <v>7</v>
      </c>
      <c r="I887" t="str">
        <f t="shared" si="78"/>
        <v>Saturday</v>
      </c>
      <c r="L887">
        <f t="shared" si="81"/>
        <v>0</v>
      </c>
    </row>
    <row r="888" spans="1:12" x14ac:dyDescent="0.25">
      <c r="A888">
        <v>181712692</v>
      </c>
      <c r="B888" s="1">
        <v>44933</v>
      </c>
      <c r="C888" s="1">
        <v>44933</v>
      </c>
      <c r="D888" t="s">
        <v>7</v>
      </c>
      <c r="E888">
        <v>39</v>
      </c>
      <c r="F888" t="s">
        <v>6</v>
      </c>
      <c r="G888" s="8">
        <f t="shared" si="79"/>
        <v>0</v>
      </c>
      <c r="H888">
        <f t="shared" si="80"/>
        <v>7</v>
      </c>
      <c r="I888" t="str">
        <f t="shared" si="78"/>
        <v>Saturday</v>
      </c>
      <c r="L888">
        <f t="shared" si="81"/>
        <v>1</v>
      </c>
    </row>
    <row r="889" spans="1:12" x14ac:dyDescent="0.25">
      <c r="A889">
        <v>181770777</v>
      </c>
      <c r="B889" s="1">
        <v>44934</v>
      </c>
      <c r="C889" s="1">
        <f ca="1">TODAY()</f>
        <v>45938</v>
      </c>
      <c r="D889" t="s">
        <v>7</v>
      </c>
      <c r="E889">
        <v>39</v>
      </c>
      <c r="F889" t="s">
        <v>6</v>
      </c>
      <c r="G889" s="8">
        <f t="shared" ca="1" si="79"/>
        <v>1004</v>
      </c>
      <c r="H889">
        <f t="shared" si="80"/>
        <v>1</v>
      </c>
      <c r="I889" t="str">
        <f t="shared" si="78"/>
        <v>Sunday</v>
      </c>
      <c r="L889">
        <f t="shared" ca="1" si="81"/>
        <v>0</v>
      </c>
    </row>
    <row r="890" spans="1:12" x14ac:dyDescent="0.25">
      <c r="A890">
        <v>161269602</v>
      </c>
      <c r="B890" s="1">
        <v>44934</v>
      </c>
      <c r="C890" s="1">
        <v>44934</v>
      </c>
      <c r="D890" t="s">
        <v>7</v>
      </c>
      <c r="E890">
        <v>39</v>
      </c>
      <c r="F890" t="s">
        <v>6</v>
      </c>
      <c r="G890" s="8">
        <f t="shared" si="79"/>
        <v>0</v>
      </c>
      <c r="H890">
        <f t="shared" si="80"/>
        <v>1</v>
      </c>
      <c r="I890" t="str">
        <f t="shared" si="78"/>
        <v>Sunday</v>
      </c>
      <c r="L890">
        <f t="shared" si="81"/>
        <v>1</v>
      </c>
    </row>
    <row r="891" spans="1:12" x14ac:dyDescent="0.25">
      <c r="A891">
        <v>145799416</v>
      </c>
      <c r="B891" s="1">
        <v>44934</v>
      </c>
      <c r="C891" s="1">
        <v>44967</v>
      </c>
      <c r="D891" t="s">
        <v>7</v>
      </c>
      <c r="E891">
        <v>39</v>
      </c>
      <c r="F891" t="s">
        <v>6</v>
      </c>
      <c r="G891" s="8">
        <f t="shared" si="79"/>
        <v>33</v>
      </c>
      <c r="H891">
        <f t="shared" si="80"/>
        <v>1</v>
      </c>
      <c r="I891" t="str">
        <f t="shared" si="78"/>
        <v>Sunday</v>
      </c>
      <c r="L891">
        <f t="shared" si="81"/>
        <v>0</v>
      </c>
    </row>
    <row r="892" spans="1:12" x14ac:dyDescent="0.25">
      <c r="A892">
        <v>182753953</v>
      </c>
      <c r="B892" s="1">
        <v>44934</v>
      </c>
      <c r="C892" s="1">
        <v>45019</v>
      </c>
      <c r="D892" t="s">
        <v>7</v>
      </c>
      <c r="E892">
        <v>39</v>
      </c>
      <c r="F892" t="s">
        <v>6</v>
      </c>
      <c r="G892" s="8">
        <f t="shared" si="79"/>
        <v>85</v>
      </c>
      <c r="H892">
        <f t="shared" si="80"/>
        <v>1</v>
      </c>
      <c r="I892" t="str">
        <f t="shared" si="78"/>
        <v>Sunday</v>
      </c>
      <c r="L892">
        <f t="shared" si="81"/>
        <v>0</v>
      </c>
    </row>
    <row r="893" spans="1:12" x14ac:dyDescent="0.25">
      <c r="A893">
        <v>162944728</v>
      </c>
      <c r="B893" s="1">
        <v>44934</v>
      </c>
      <c r="C893" s="1">
        <v>44986</v>
      </c>
      <c r="D893" t="s">
        <v>7</v>
      </c>
      <c r="E893">
        <v>39</v>
      </c>
      <c r="F893" t="s">
        <v>6</v>
      </c>
      <c r="G893" s="8">
        <f t="shared" si="79"/>
        <v>52</v>
      </c>
      <c r="H893">
        <f t="shared" si="80"/>
        <v>1</v>
      </c>
      <c r="I893" t="str">
        <f t="shared" si="78"/>
        <v>Sunday</v>
      </c>
      <c r="L893">
        <f t="shared" si="81"/>
        <v>0</v>
      </c>
    </row>
    <row r="894" spans="1:12" x14ac:dyDescent="0.25">
      <c r="A894">
        <v>161249852</v>
      </c>
      <c r="B894" s="1">
        <v>44934</v>
      </c>
      <c r="C894" s="1">
        <v>44941</v>
      </c>
      <c r="D894" t="s">
        <v>7</v>
      </c>
      <c r="E894">
        <v>39</v>
      </c>
      <c r="F894" t="s">
        <v>6</v>
      </c>
      <c r="G894" s="8">
        <f t="shared" si="79"/>
        <v>7</v>
      </c>
      <c r="H894">
        <f t="shared" si="80"/>
        <v>1</v>
      </c>
      <c r="I894" t="str">
        <f t="shared" si="78"/>
        <v>Sunday</v>
      </c>
      <c r="L894">
        <f t="shared" si="81"/>
        <v>0</v>
      </c>
    </row>
    <row r="895" spans="1:12" x14ac:dyDescent="0.25">
      <c r="A895">
        <v>183916833</v>
      </c>
      <c r="B895" s="1">
        <v>44935</v>
      </c>
      <c r="C895" s="1">
        <f ca="1">TODAY()</f>
        <v>45938</v>
      </c>
      <c r="D895" t="s">
        <v>7</v>
      </c>
      <c r="E895">
        <v>39</v>
      </c>
      <c r="F895" t="s">
        <v>6</v>
      </c>
      <c r="G895" s="8">
        <f t="shared" ca="1" si="79"/>
        <v>1003</v>
      </c>
      <c r="H895">
        <f t="shared" si="80"/>
        <v>2</v>
      </c>
      <c r="I895" t="str">
        <f t="shared" si="78"/>
        <v>Monday</v>
      </c>
      <c r="L895">
        <f t="shared" ca="1" si="81"/>
        <v>0</v>
      </c>
    </row>
    <row r="896" spans="1:12" x14ac:dyDescent="0.25">
      <c r="A896">
        <v>169141612</v>
      </c>
      <c r="B896" s="1">
        <v>44935</v>
      </c>
      <c r="C896" s="1">
        <v>44936</v>
      </c>
      <c r="D896" t="s">
        <v>8</v>
      </c>
      <c r="E896">
        <v>39</v>
      </c>
      <c r="F896" t="s">
        <v>6</v>
      </c>
      <c r="G896" s="8">
        <f t="shared" si="79"/>
        <v>1</v>
      </c>
      <c r="H896">
        <f t="shared" si="80"/>
        <v>2</v>
      </c>
      <c r="I896" t="str">
        <f t="shared" si="78"/>
        <v>Monday</v>
      </c>
      <c r="L896">
        <f t="shared" si="81"/>
        <v>1</v>
      </c>
    </row>
    <row r="897" spans="1:12" x14ac:dyDescent="0.25">
      <c r="A897">
        <v>128768010</v>
      </c>
      <c r="B897" s="1">
        <v>44935</v>
      </c>
      <c r="C897" s="1">
        <v>44938</v>
      </c>
      <c r="D897" t="s">
        <v>7</v>
      </c>
      <c r="E897">
        <v>39</v>
      </c>
      <c r="F897" t="s">
        <v>6</v>
      </c>
      <c r="G897" s="8">
        <f t="shared" si="79"/>
        <v>3</v>
      </c>
      <c r="H897">
        <f t="shared" si="80"/>
        <v>2</v>
      </c>
      <c r="I897" t="str">
        <f t="shared" si="78"/>
        <v>Monday</v>
      </c>
      <c r="L897">
        <f t="shared" si="81"/>
        <v>0</v>
      </c>
    </row>
    <row r="898" spans="1:12" x14ac:dyDescent="0.25">
      <c r="A898">
        <v>138520918</v>
      </c>
      <c r="B898" s="1">
        <v>44935</v>
      </c>
      <c r="C898" s="1">
        <v>44935</v>
      </c>
      <c r="D898" t="s">
        <v>7</v>
      </c>
      <c r="E898">
        <v>39</v>
      </c>
      <c r="F898" t="s">
        <v>6</v>
      </c>
      <c r="G898" s="8">
        <f t="shared" si="79"/>
        <v>0</v>
      </c>
      <c r="H898">
        <f t="shared" si="80"/>
        <v>2</v>
      </c>
      <c r="I898" t="str">
        <f t="shared" ref="I898:I961" si="86">TEXT(B898,"DDDD")</f>
        <v>Monday</v>
      </c>
      <c r="L898">
        <f t="shared" si="81"/>
        <v>1</v>
      </c>
    </row>
    <row r="899" spans="1:12" x14ac:dyDescent="0.25">
      <c r="A899">
        <v>162946328</v>
      </c>
      <c r="B899" s="1">
        <v>44935</v>
      </c>
      <c r="C899" s="1">
        <v>45054</v>
      </c>
      <c r="D899" t="s">
        <v>7</v>
      </c>
      <c r="E899">
        <v>39</v>
      </c>
      <c r="F899" t="s">
        <v>6</v>
      </c>
      <c r="G899" s="8">
        <f t="shared" ref="G899:G962" si="87">IFERROR(DATEDIF(B899,C899,"D"),"0")</f>
        <v>119</v>
      </c>
      <c r="H899">
        <f t="shared" ref="H899:H962" si="88">WEEKDAY(B899,1)</f>
        <v>2</v>
      </c>
      <c r="I899" t="str">
        <f t="shared" si="86"/>
        <v>Monday</v>
      </c>
      <c r="L899">
        <f t="shared" ref="L899:L962" si="89">IF( OR($G899=0,$G899 = 1, $G899 = 2), 1, 0 )</f>
        <v>0</v>
      </c>
    </row>
    <row r="900" spans="1:12" x14ac:dyDescent="0.25">
      <c r="A900">
        <v>182929556</v>
      </c>
      <c r="B900" s="1">
        <v>44935</v>
      </c>
      <c r="C900" s="1">
        <v>45026</v>
      </c>
      <c r="D900" t="s">
        <v>7</v>
      </c>
      <c r="E900">
        <v>39</v>
      </c>
      <c r="F900" t="s">
        <v>6</v>
      </c>
      <c r="G900" s="8">
        <f t="shared" si="87"/>
        <v>91</v>
      </c>
      <c r="H900">
        <f t="shared" si="88"/>
        <v>2</v>
      </c>
      <c r="I900" t="str">
        <f t="shared" si="86"/>
        <v>Monday</v>
      </c>
      <c r="L900">
        <f t="shared" si="89"/>
        <v>0</v>
      </c>
    </row>
    <row r="901" spans="1:12" x14ac:dyDescent="0.25">
      <c r="A901">
        <v>153704184</v>
      </c>
      <c r="B901" s="1">
        <v>44935</v>
      </c>
      <c r="C901" s="1">
        <v>45024</v>
      </c>
      <c r="D901" t="s">
        <v>7</v>
      </c>
      <c r="E901">
        <v>39</v>
      </c>
      <c r="F901" t="s">
        <v>6</v>
      </c>
      <c r="G901" s="8">
        <f t="shared" si="87"/>
        <v>89</v>
      </c>
      <c r="H901">
        <f t="shared" si="88"/>
        <v>2</v>
      </c>
      <c r="I901" t="str">
        <f t="shared" si="86"/>
        <v>Monday</v>
      </c>
      <c r="L901">
        <f t="shared" si="89"/>
        <v>0</v>
      </c>
    </row>
    <row r="902" spans="1:12" x14ac:dyDescent="0.25">
      <c r="A902">
        <v>136326172</v>
      </c>
      <c r="B902" s="1">
        <v>44935</v>
      </c>
      <c r="C902" s="1">
        <v>44993</v>
      </c>
      <c r="D902" t="s">
        <v>7</v>
      </c>
      <c r="E902">
        <v>39</v>
      </c>
      <c r="F902" t="s">
        <v>6</v>
      </c>
      <c r="G902" s="8">
        <f t="shared" si="87"/>
        <v>58</v>
      </c>
      <c r="H902">
        <f t="shared" si="88"/>
        <v>2</v>
      </c>
      <c r="I902" t="str">
        <f t="shared" si="86"/>
        <v>Monday</v>
      </c>
      <c r="L902">
        <f t="shared" si="89"/>
        <v>0</v>
      </c>
    </row>
    <row r="903" spans="1:12" x14ac:dyDescent="0.25">
      <c r="A903">
        <v>182505210</v>
      </c>
      <c r="B903" s="1">
        <v>44935</v>
      </c>
      <c r="C903" s="1">
        <v>44965</v>
      </c>
      <c r="D903" t="s">
        <v>7</v>
      </c>
      <c r="E903">
        <v>39</v>
      </c>
      <c r="F903" t="s">
        <v>6</v>
      </c>
      <c r="G903" s="8">
        <f t="shared" si="87"/>
        <v>30</v>
      </c>
      <c r="H903">
        <f t="shared" si="88"/>
        <v>2</v>
      </c>
      <c r="I903" t="str">
        <f t="shared" si="86"/>
        <v>Monday</v>
      </c>
      <c r="L903">
        <f t="shared" si="89"/>
        <v>0</v>
      </c>
    </row>
    <row r="904" spans="1:12" x14ac:dyDescent="0.25">
      <c r="A904">
        <v>184370857</v>
      </c>
      <c r="B904" s="1">
        <v>44936</v>
      </c>
      <c r="C904" s="1">
        <f ca="1">TODAY()</f>
        <v>45938</v>
      </c>
      <c r="D904" t="s">
        <v>7</v>
      </c>
      <c r="E904">
        <v>39</v>
      </c>
      <c r="F904" t="s">
        <v>6</v>
      </c>
      <c r="G904" s="8">
        <f t="shared" ca="1" si="87"/>
        <v>1002</v>
      </c>
      <c r="H904">
        <f t="shared" si="88"/>
        <v>3</v>
      </c>
      <c r="I904" t="str">
        <f t="shared" si="86"/>
        <v>Tuesday</v>
      </c>
      <c r="L904">
        <f t="shared" ca="1" si="89"/>
        <v>0</v>
      </c>
    </row>
    <row r="905" spans="1:12" x14ac:dyDescent="0.25">
      <c r="A905">
        <v>184310344</v>
      </c>
      <c r="B905" s="1">
        <v>44936</v>
      </c>
      <c r="C905" s="1">
        <v>45027</v>
      </c>
      <c r="D905" t="s">
        <v>7</v>
      </c>
      <c r="E905">
        <v>39</v>
      </c>
      <c r="F905" t="s">
        <v>6</v>
      </c>
      <c r="G905" s="8">
        <f t="shared" si="87"/>
        <v>91</v>
      </c>
      <c r="H905">
        <f t="shared" si="88"/>
        <v>3</v>
      </c>
      <c r="I905" t="str">
        <f t="shared" si="86"/>
        <v>Tuesday</v>
      </c>
      <c r="L905">
        <f t="shared" si="89"/>
        <v>0</v>
      </c>
    </row>
    <row r="906" spans="1:12" x14ac:dyDescent="0.25">
      <c r="A906">
        <v>183346055</v>
      </c>
      <c r="B906" s="1">
        <v>44936</v>
      </c>
      <c r="C906" s="1">
        <v>45002</v>
      </c>
      <c r="D906" t="s">
        <v>7</v>
      </c>
      <c r="E906">
        <v>39</v>
      </c>
      <c r="F906" t="s">
        <v>6</v>
      </c>
      <c r="G906" s="8">
        <f t="shared" si="87"/>
        <v>66</v>
      </c>
      <c r="H906">
        <f t="shared" si="88"/>
        <v>3</v>
      </c>
      <c r="I906" t="str">
        <f t="shared" si="86"/>
        <v>Tuesday</v>
      </c>
      <c r="L906">
        <f t="shared" si="89"/>
        <v>0</v>
      </c>
    </row>
    <row r="907" spans="1:12" x14ac:dyDescent="0.25">
      <c r="A907">
        <v>178952278</v>
      </c>
      <c r="B907" s="1">
        <v>44936</v>
      </c>
      <c r="C907" s="1">
        <v>44996</v>
      </c>
      <c r="D907" t="s">
        <v>7</v>
      </c>
      <c r="E907">
        <v>39</v>
      </c>
      <c r="F907" t="s">
        <v>6</v>
      </c>
      <c r="G907" s="8">
        <f t="shared" si="87"/>
        <v>60</v>
      </c>
      <c r="H907">
        <f t="shared" si="88"/>
        <v>3</v>
      </c>
      <c r="I907" t="str">
        <f t="shared" si="86"/>
        <v>Tuesday</v>
      </c>
      <c r="L907">
        <f t="shared" si="89"/>
        <v>0</v>
      </c>
    </row>
    <row r="908" spans="1:12" x14ac:dyDescent="0.25">
      <c r="A908">
        <v>184345202</v>
      </c>
      <c r="B908" s="1">
        <v>44936</v>
      </c>
      <c r="C908" s="1">
        <v>44980</v>
      </c>
      <c r="D908" t="s">
        <v>7</v>
      </c>
      <c r="E908">
        <v>39</v>
      </c>
      <c r="F908" t="s">
        <v>6</v>
      </c>
      <c r="G908" s="8">
        <f t="shared" si="87"/>
        <v>44</v>
      </c>
      <c r="H908">
        <f t="shared" si="88"/>
        <v>3</v>
      </c>
      <c r="I908" t="str">
        <f t="shared" si="86"/>
        <v>Tuesday</v>
      </c>
      <c r="L908">
        <f t="shared" si="89"/>
        <v>0</v>
      </c>
    </row>
    <row r="909" spans="1:12" x14ac:dyDescent="0.25">
      <c r="A909">
        <v>182837162</v>
      </c>
      <c r="B909" s="1">
        <v>44936</v>
      </c>
      <c r="C909" s="1">
        <v>44962</v>
      </c>
      <c r="D909" t="s">
        <v>7</v>
      </c>
      <c r="E909">
        <v>39</v>
      </c>
      <c r="F909" t="s">
        <v>6</v>
      </c>
      <c r="G909" s="8">
        <f t="shared" si="87"/>
        <v>26</v>
      </c>
      <c r="H909">
        <f t="shared" si="88"/>
        <v>3</v>
      </c>
      <c r="I909" t="str">
        <f t="shared" si="86"/>
        <v>Tuesday</v>
      </c>
      <c r="L909">
        <f t="shared" si="89"/>
        <v>0</v>
      </c>
    </row>
    <row r="910" spans="1:12" x14ac:dyDescent="0.25">
      <c r="A910">
        <v>182927038</v>
      </c>
      <c r="B910" s="1">
        <v>44936</v>
      </c>
      <c r="C910" s="1">
        <v>44975</v>
      </c>
      <c r="D910" t="s">
        <v>7</v>
      </c>
      <c r="E910">
        <v>39</v>
      </c>
      <c r="F910" t="s">
        <v>6</v>
      </c>
      <c r="G910" s="8">
        <f t="shared" si="87"/>
        <v>39</v>
      </c>
      <c r="H910">
        <f t="shared" si="88"/>
        <v>3</v>
      </c>
      <c r="I910" t="str">
        <f t="shared" si="86"/>
        <v>Tuesday</v>
      </c>
      <c r="L910">
        <f t="shared" si="89"/>
        <v>0</v>
      </c>
    </row>
    <row r="911" spans="1:12" x14ac:dyDescent="0.25">
      <c r="A911">
        <v>181739784</v>
      </c>
      <c r="B911" s="1">
        <v>44936</v>
      </c>
      <c r="C911" s="1">
        <v>44965</v>
      </c>
      <c r="D911" t="s">
        <v>7</v>
      </c>
      <c r="E911">
        <v>39</v>
      </c>
      <c r="F911" t="s">
        <v>6</v>
      </c>
      <c r="G911" s="8">
        <f t="shared" si="87"/>
        <v>29</v>
      </c>
      <c r="H911">
        <f t="shared" si="88"/>
        <v>3</v>
      </c>
      <c r="I911" t="str">
        <f t="shared" si="86"/>
        <v>Tuesday</v>
      </c>
      <c r="L911">
        <f t="shared" si="89"/>
        <v>0</v>
      </c>
    </row>
    <row r="912" spans="1:12" x14ac:dyDescent="0.25">
      <c r="A912">
        <v>178605410</v>
      </c>
      <c r="B912" s="1">
        <v>44936</v>
      </c>
      <c r="C912" s="1">
        <v>44974</v>
      </c>
      <c r="D912" t="s">
        <v>7</v>
      </c>
      <c r="E912">
        <v>39</v>
      </c>
      <c r="F912" t="s">
        <v>6</v>
      </c>
      <c r="G912" s="8">
        <f t="shared" si="87"/>
        <v>38</v>
      </c>
      <c r="H912">
        <f t="shared" si="88"/>
        <v>3</v>
      </c>
      <c r="I912" t="str">
        <f t="shared" si="86"/>
        <v>Tuesday</v>
      </c>
      <c r="L912">
        <f t="shared" si="89"/>
        <v>0</v>
      </c>
    </row>
    <row r="913" spans="1:12" x14ac:dyDescent="0.25">
      <c r="A913">
        <v>184334484</v>
      </c>
      <c r="B913" s="1">
        <v>44937</v>
      </c>
      <c r="C913" s="1">
        <f t="shared" ref="C913:C915" ca="1" si="90">TODAY()</f>
        <v>45938</v>
      </c>
      <c r="D913" t="s">
        <v>7</v>
      </c>
      <c r="E913">
        <v>39</v>
      </c>
      <c r="F913" t="s">
        <v>6</v>
      </c>
      <c r="G913" s="8">
        <f t="shared" ca="1" si="87"/>
        <v>1001</v>
      </c>
      <c r="H913">
        <f t="shared" si="88"/>
        <v>4</v>
      </c>
      <c r="I913" t="str">
        <f t="shared" si="86"/>
        <v>Wednesday</v>
      </c>
      <c r="L913">
        <f t="shared" ca="1" si="89"/>
        <v>0</v>
      </c>
    </row>
    <row r="914" spans="1:12" x14ac:dyDescent="0.25">
      <c r="A914">
        <v>181576265</v>
      </c>
      <c r="B914" s="1">
        <v>44937</v>
      </c>
      <c r="C914" s="1">
        <f t="shared" ca="1" si="90"/>
        <v>45938</v>
      </c>
      <c r="D914" t="s">
        <v>7</v>
      </c>
      <c r="E914">
        <v>39</v>
      </c>
      <c r="F914" t="s">
        <v>6</v>
      </c>
      <c r="G914" s="8">
        <f t="shared" ca="1" si="87"/>
        <v>1001</v>
      </c>
      <c r="H914">
        <f t="shared" si="88"/>
        <v>4</v>
      </c>
      <c r="I914" t="str">
        <f t="shared" si="86"/>
        <v>Wednesday</v>
      </c>
      <c r="L914">
        <f t="shared" ca="1" si="89"/>
        <v>0</v>
      </c>
    </row>
    <row r="915" spans="1:12" x14ac:dyDescent="0.25">
      <c r="A915">
        <v>183645116</v>
      </c>
      <c r="B915" s="1">
        <v>44937</v>
      </c>
      <c r="C915" s="1">
        <f t="shared" ca="1" si="90"/>
        <v>45938</v>
      </c>
      <c r="D915" t="s">
        <v>7</v>
      </c>
      <c r="E915">
        <v>39</v>
      </c>
      <c r="F915" t="s">
        <v>6</v>
      </c>
      <c r="G915" s="8">
        <f t="shared" ca="1" si="87"/>
        <v>1001</v>
      </c>
      <c r="H915">
        <f t="shared" si="88"/>
        <v>4</v>
      </c>
      <c r="I915" t="str">
        <f t="shared" si="86"/>
        <v>Wednesday</v>
      </c>
      <c r="L915">
        <f t="shared" ca="1" si="89"/>
        <v>0</v>
      </c>
    </row>
    <row r="916" spans="1:12" x14ac:dyDescent="0.25">
      <c r="A916">
        <v>184812094</v>
      </c>
      <c r="B916" s="1">
        <v>44937</v>
      </c>
      <c r="C916" s="1">
        <v>45023</v>
      </c>
      <c r="D916" t="s">
        <v>7</v>
      </c>
      <c r="E916">
        <v>39</v>
      </c>
      <c r="F916" t="s">
        <v>6</v>
      </c>
      <c r="G916" s="8">
        <f t="shared" si="87"/>
        <v>86</v>
      </c>
      <c r="H916">
        <f t="shared" si="88"/>
        <v>4</v>
      </c>
      <c r="I916" t="str">
        <f t="shared" si="86"/>
        <v>Wednesday</v>
      </c>
      <c r="L916">
        <f t="shared" si="89"/>
        <v>0</v>
      </c>
    </row>
    <row r="917" spans="1:12" x14ac:dyDescent="0.25">
      <c r="A917">
        <v>152089648</v>
      </c>
      <c r="B917" s="1">
        <v>44937</v>
      </c>
      <c r="C917" s="1">
        <v>45003</v>
      </c>
      <c r="D917" t="s">
        <v>7</v>
      </c>
      <c r="E917">
        <v>39</v>
      </c>
      <c r="F917" t="s">
        <v>6</v>
      </c>
      <c r="G917" s="8">
        <f t="shared" si="87"/>
        <v>66</v>
      </c>
      <c r="H917">
        <f t="shared" si="88"/>
        <v>4</v>
      </c>
      <c r="I917" t="str">
        <f t="shared" si="86"/>
        <v>Wednesday</v>
      </c>
      <c r="L917">
        <f t="shared" si="89"/>
        <v>0</v>
      </c>
    </row>
    <row r="918" spans="1:12" x14ac:dyDescent="0.25">
      <c r="A918">
        <v>148710968</v>
      </c>
      <c r="B918" s="1">
        <v>44937</v>
      </c>
      <c r="C918" s="1">
        <v>44964</v>
      </c>
      <c r="D918" t="s">
        <v>7</v>
      </c>
      <c r="E918">
        <v>39</v>
      </c>
      <c r="F918" t="s">
        <v>6</v>
      </c>
      <c r="G918" s="8">
        <f t="shared" si="87"/>
        <v>27</v>
      </c>
      <c r="H918">
        <f t="shared" si="88"/>
        <v>4</v>
      </c>
      <c r="I918" t="str">
        <f t="shared" si="86"/>
        <v>Wednesday</v>
      </c>
      <c r="L918">
        <f t="shared" si="89"/>
        <v>0</v>
      </c>
    </row>
    <row r="919" spans="1:12" x14ac:dyDescent="0.25">
      <c r="A919">
        <v>183197132</v>
      </c>
      <c r="B919" s="1">
        <v>44938</v>
      </c>
      <c r="C919" s="1">
        <f t="shared" ref="C919:C921" ca="1" si="91">TODAY()</f>
        <v>45938</v>
      </c>
      <c r="D919" t="s">
        <v>7</v>
      </c>
      <c r="E919">
        <v>39</v>
      </c>
      <c r="F919" t="s">
        <v>6</v>
      </c>
      <c r="G919" s="8">
        <f t="shared" ca="1" si="87"/>
        <v>1000</v>
      </c>
      <c r="H919">
        <f t="shared" si="88"/>
        <v>5</v>
      </c>
      <c r="I919" t="str">
        <f t="shared" si="86"/>
        <v>Thursday</v>
      </c>
      <c r="L919">
        <f t="shared" ca="1" si="89"/>
        <v>0</v>
      </c>
    </row>
    <row r="920" spans="1:12" x14ac:dyDescent="0.25">
      <c r="A920">
        <v>156239744</v>
      </c>
      <c r="B920" s="1">
        <v>44938</v>
      </c>
      <c r="C920" s="1">
        <f t="shared" ca="1" si="91"/>
        <v>45938</v>
      </c>
      <c r="D920" t="s">
        <v>7</v>
      </c>
      <c r="E920">
        <v>39</v>
      </c>
      <c r="F920" t="s">
        <v>6</v>
      </c>
      <c r="G920" s="8">
        <f t="shared" ca="1" si="87"/>
        <v>1000</v>
      </c>
      <c r="H920">
        <f t="shared" si="88"/>
        <v>5</v>
      </c>
      <c r="I920" t="str">
        <f t="shared" si="86"/>
        <v>Thursday</v>
      </c>
      <c r="L920">
        <f t="shared" ca="1" si="89"/>
        <v>0</v>
      </c>
    </row>
    <row r="921" spans="1:12" x14ac:dyDescent="0.25">
      <c r="A921">
        <v>184481262</v>
      </c>
      <c r="B921" s="1">
        <v>44938</v>
      </c>
      <c r="C921" s="1">
        <f t="shared" ca="1" si="91"/>
        <v>45938</v>
      </c>
      <c r="D921" t="s">
        <v>7</v>
      </c>
      <c r="E921">
        <v>39</v>
      </c>
      <c r="F921" t="s">
        <v>6</v>
      </c>
      <c r="G921" s="8">
        <f t="shared" ca="1" si="87"/>
        <v>1000</v>
      </c>
      <c r="H921">
        <f t="shared" si="88"/>
        <v>5</v>
      </c>
      <c r="I921" t="str">
        <f t="shared" si="86"/>
        <v>Thursday</v>
      </c>
      <c r="L921">
        <f t="shared" ca="1" si="89"/>
        <v>0</v>
      </c>
    </row>
    <row r="922" spans="1:12" x14ac:dyDescent="0.25">
      <c r="A922">
        <v>153186137</v>
      </c>
      <c r="B922" s="1">
        <v>44938</v>
      </c>
      <c r="C922" s="1">
        <v>44939</v>
      </c>
      <c r="D922" t="s">
        <v>7</v>
      </c>
      <c r="E922">
        <v>39</v>
      </c>
      <c r="F922" t="s">
        <v>6</v>
      </c>
      <c r="G922" s="8">
        <f t="shared" si="87"/>
        <v>1</v>
      </c>
      <c r="H922">
        <f t="shared" si="88"/>
        <v>5</v>
      </c>
      <c r="I922" t="str">
        <f t="shared" si="86"/>
        <v>Thursday</v>
      </c>
      <c r="L922">
        <f t="shared" si="89"/>
        <v>1</v>
      </c>
    </row>
    <row r="923" spans="1:12" x14ac:dyDescent="0.25">
      <c r="A923">
        <v>185374268</v>
      </c>
      <c r="B923" s="1">
        <v>44938</v>
      </c>
      <c r="C923" s="1">
        <v>44939</v>
      </c>
      <c r="D923" t="s">
        <v>8</v>
      </c>
      <c r="E923">
        <v>39</v>
      </c>
      <c r="F923" t="s">
        <v>6</v>
      </c>
      <c r="G923" s="8">
        <f t="shared" si="87"/>
        <v>1</v>
      </c>
      <c r="H923">
        <f t="shared" si="88"/>
        <v>5</v>
      </c>
      <c r="I923" t="str">
        <f t="shared" si="86"/>
        <v>Thursday</v>
      </c>
      <c r="L923">
        <f t="shared" si="89"/>
        <v>1</v>
      </c>
    </row>
    <row r="924" spans="1:12" x14ac:dyDescent="0.25">
      <c r="A924">
        <v>185367349</v>
      </c>
      <c r="B924" s="1">
        <v>44938</v>
      </c>
      <c r="C924" s="1">
        <v>44939</v>
      </c>
      <c r="D924" t="s">
        <v>8</v>
      </c>
      <c r="E924">
        <v>39</v>
      </c>
      <c r="F924" t="s">
        <v>6</v>
      </c>
      <c r="G924" s="8">
        <f t="shared" si="87"/>
        <v>1</v>
      </c>
      <c r="H924">
        <f t="shared" si="88"/>
        <v>5</v>
      </c>
      <c r="I924" t="str">
        <f t="shared" si="86"/>
        <v>Thursday</v>
      </c>
      <c r="L924">
        <f t="shared" si="89"/>
        <v>1</v>
      </c>
    </row>
    <row r="925" spans="1:12" x14ac:dyDescent="0.25">
      <c r="A925">
        <v>150793080</v>
      </c>
      <c r="B925" s="1">
        <v>44938</v>
      </c>
      <c r="C925" s="1">
        <v>44986</v>
      </c>
      <c r="D925" t="s">
        <v>7</v>
      </c>
      <c r="E925">
        <v>39</v>
      </c>
      <c r="F925" t="s">
        <v>6</v>
      </c>
      <c r="G925" s="8">
        <f t="shared" si="87"/>
        <v>48</v>
      </c>
      <c r="H925">
        <f t="shared" si="88"/>
        <v>5</v>
      </c>
      <c r="I925" t="str">
        <f t="shared" si="86"/>
        <v>Thursday</v>
      </c>
      <c r="L925">
        <f t="shared" si="89"/>
        <v>0</v>
      </c>
    </row>
    <row r="926" spans="1:12" x14ac:dyDescent="0.25">
      <c r="A926">
        <v>183406772</v>
      </c>
      <c r="B926" s="1">
        <v>44938</v>
      </c>
      <c r="C926" s="1">
        <v>44990</v>
      </c>
      <c r="D926" t="s">
        <v>7</v>
      </c>
      <c r="E926">
        <v>39</v>
      </c>
      <c r="F926" t="s">
        <v>6</v>
      </c>
      <c r="G926" s="8">
        <f t="shared" si="87"/>
        <v>52</v>
      </c>
      <c r="H926">
        <f t="shared" si="88"/>
        <v>5</v>
      </c>
      <c r="I926" t="str">
        <f t="shared" si="86"/>
        <v>Thursday</v>
      </c>
      <c r="L926">
        <f t="shared" si="89"/>
        <v>0</v>
      </c>
    </row>
    <row r="927" spans="1:12" x14ac:dyDescent="0.25">
      <c r="A927">
        <v>175760281</v>
      </c>
      <c r="B927" s="1">
        <v>44938</v>
      </c>
      <c r="C927" s="1">
        <v>44969</v>
      </c>
      <c r="D927" t="s">
        <v>7</v>
      </c>
      <c r="E927">
        <v>39</v>
      </c>
      <c r="F927" t="s">
        <v>6</v>
      </c>
      <c r="G927" s="8">
        <f t="shared" si="87"/>
        <v>31</v>
      </c>
      <c r="H927">
        <f t="shared" si="88"/>
        <v>5</v>
      </c>
      <c r="I927" t="str">
        <f t="shared" si="86"/>
        <v>Thursday</v>
      </c>
      <c r="L927">
        <f t="shared" si="89"/>
        <v>0</v>
      </c>
    </row>
    <row r="928" spans="1:12" x14ac:dyDescent="0.25">
      <c r="A928">
        <v>162095012</v>
      </c>
      <c r="B928" s="1">
        <v>44938</v>
      </c>
      <c r="C928" s="1">
        <v>44951</v>
      </c>
      <c r="D928" t="s">
        <v>7</v>
      </c>
      <c r="E928">
        <v>39</v>
      </c>
      <c r="F928" t="s">
        <v>6</v>
      </c>
      <c r="G928" s="8">
        <f t="shared" si="87"/>
        <v>13</v>
      </c>
      <c r="H928">
        <f t="shared" si="88"/>
        <v>5</v>
      </c>
      <c r="I928" t="str">
        <f t="shared" si="86"/>
        <v>Thursday</v>
      </c>
      <c r="L928">
        <f t="shared" si="89"/>
        <v>0</v>
      </c>
    </row>
    <row r="929" spans="1:12" x14ac:dyDescent="0.25">
      <c r="A929">
        <v>179356036</v>
      </c>
      <c r="B929" s="1">
        <v>44938</v>
      </c>
      <c r="C929" s="1">
        <v>44938</v>
      </c>
      <c r="D929" t="s">
        <v>7</v>
      </c>
      <c r="E929">
        <v>39</v>
      </c>
      <c r="F929" t="s">
        <v>6</v>
      </c>
      <c r="G929" s="8">
        <f t="shared" si="87"/>
        <v>0</v>
      </c>
      <c r="H929">
        <f t="shared" si="88"/>
        <v>5</v>
      </c>
      <c r="I929" t="str">
        <f t="shared" si="86"/>
        <v>Thursday</v>
      </c>
      <c r="L929">
        <f t="shared" si="89"/>
        <v>1</v>
      </c>
    </row>
    <row r="930" spans="1:12" x14ac:dyDescent="0.25">
      <c r="A930">
        <v>184567432</v>
      </c>
      <c r="B930" s="1">
        <v>44938</v>
      </c>
      <c r="C930" s="1">
        <v>44949</v>
      </c>
      <c r="D930" t="s">
        <v>7</v>
      </c>
      <c r="E930">
        <v>39</v>
      </c>
      <c r="F930" t="s">
        <v>6</v>
      </c>
      <c r="G930" s="8">
        <f t="shared" si="87"/>
        <v>11</v>
      </c>
      <c r="H930">
        <f t="shared" si="88"/>
        <v>5</v>
      </c>
      <c r="I930" t="str">
        <f t="shared" si="86"/>
        <v>Thursday</v>
      </c>
      <c r="L930">
        <f t="shared" si="89"/>
        <v>0</v>
      </c>
    </row>
    <row r="931" spans="1:12" x14ac:dyDescent="0.25">
      <c r="A931">
        <v>185503171</v>
      </c>
      <c r="B931" s="1">
        <v>44938</v>
      </c>
      <c r="C931" s="1">
        <v>45112</v>
      </c>
      <c r="D931" t="s">
        <v>7</v>
      </c>
      <c r="E931">
        <v>39</v>
      </c>
      <c r="F931" t="s">
        <v>6</v>
      </c>
      <c r="G931" s="8">
        <f t="shared" si="87"/>
        <v>174</v>
      </c>
      <c r="H931">
        <f t="shared" si="88"/>
        <v>5</v>
      </c>
      <c r="I931" t="str">
        <f t="shared" si="86"/>
        <v>Thursday</v>
      </c>
      <c r="L931">
        <f t="shared" si="89"/>
        <v>0</v>
      </c>
    </row>
    <row r="932" spans="1:12" x14ac:dyDescent="0.25">
      <c r="A932">
        <v>171922477</v>
      </c>
      <c r="B932" s="1">
        <v>44938</v>
      </c>
      <c r="C932" s="1">
        <v>45105</v>
      </c>
      <c r="D932" t="s">
        <v>7</v>
      </c>
      <c r="E932">
        <v>39</v>
      </c>
      <c r="F932" t="s">
        <v>6</v>
      </c>
      <c r="G932" s="8">
        <f t="shared" si="87"/>
        <v>167</v>
      </c>
      <c r="H932">
        <f t="shared" si="88"/>
        <v>5</v>
      </c>
      <c r="I932" t="str">
        <f t="shared" si="86"/>
        <v>Thursday</v>
      </c>
      <c r="L932">
        <f t="shared" si="89"/>
        <v>0</v>
      </c>
    </row>
    <row r="933" spans="1:12" x14ac:dyDescent="0.25">
      <c r="A933">
        <v>144830936</v>
      </c>
      <c r="B933" s="1">
        <v>44938</v>
      </c>
      <c r="C933" s="1">
        <v>45134</v>
      </c>
      <c r="D933" t="s">
        <v>7</v>
      </c>
      <c r="E933">
        <v>39</v>
      </c>
      <c r="F933" t="s">
        <v>6</v>
      </c>
      <c r="G933" s="8">
        <f t="shared" si="87"/>
        <v>196</v>
      </c>
      <c r="H933">
        <f t="shared" si="88"/>
        <v>5</v>
      </c>
      <c r="I933" t="str">
        <f t="shared" si="86"/>
        <v>Thursday</v>
      </c>
      <c r="L933">
        <f t="shared" si="89"/>
        <v>0</v>
      </c>
    </row>
    <row r="934" spans="1:12" x14ac:dyDescent="0.25">
      <c r="A934">
        <v>157474087</v>
      </c>
      <c r="B934" s="1">
        <v>44939</v>
      </c>
      <c r="C934" s="1">
        <f t="shared" ref="C934:C935" ca="1" si="92">TODAY()</f>
        <v>45938</v>
      </c>
      <c r="D934" t="s">
        <v>7</v>
      </c>
      <c r="E934">
        <v>39</v>
      </c>
      <c r="F934" t="s">
        <v>6</v>
      </c>
      <c r="G934" s="8">
        <f t="shared" ca="1" si="87"/>
        <v>999</v>
      </c>
      <c r="H934">
        <f t="shared" si="88"/>
        <v>6</v>
      </c>
      <c r="I934" t="str">
        <f t="shared" si="86"/>
        <v>Friday</v>
      </c>
      <c r="L934">
        <f t="shared" ca="1" si="89"/>
        <v>0</v>
      </c>
    </row>
    <row r="935" spans="1:12" x14ac:dyDescent="0.25">
      <c r="A935">
        <v>182350116</v>
      </c>
      <c r="B935" s="1">
        <v>44939</v>
      </c>
      <c r="C935" s="1">
        <f t="shared" ca="1" si="92"/>
        <v>45938</v>
      </c>
      <c r="D935" t="s">
        <v>7</v>
      </c>
      <c r="E935">
        <v>39</v>
      </c>
      <c r="F935" t="s">
        <v>6</v>
      </c>
      <c r="G935" s="8">
        <f t="shared" ca="1" si="87"/>
        <v>999</v>
      </c>
      <c r="H935">
        <f t="shared" si="88"/>
        <v>6</v>
      </c>
      <c r="I935" t="str">
        <f t="shared" si="86"/>
        <v>Friday</v>
      </c>
      <c r="L935">
        <f t="shared" ca="1" si="89"/>
        <v>0</v>
      </c>
    </row>
    <row r="936" spans="1:12" x14ac:dyDescent="0.25">
      <c r="A936">
        <v>132867770</v>
      </c>
      <c r="B936" s="1">
        <v>44939</v>
      </c>
      <c r="C936" s="1">
        <v>44940</v>
      </c>
      <c r="D936" t="s">
        <v>7</v>
      </c>
      <c r="E936">
        <v>39</v>
      </c>
      <c r="F936" t="s">
        <v>6</v>
      </c>
      <c r="G936" s="8">
        <f t="shared" si="87"/>
        <v>1</v>
      </c>
      <c r="H936">
        <f t="shared" si="88"/>
        <v>6</v>
      </c>
      <c r="I936" t="str">
        <f t="shared" si="86"/>
        <v>Friday</v>
      </c>
      <c r="L936">
        <f t="shared" si="89"/>
        <v>1</v>
      </c>
    </row>
    <row r="937" spans="1:12" x14ac:dyDescent="0.25">
      <c r="A937">
        <v>185561880</v>
      </c>
      <c r="B937" s="1">
        <v>44939</v>
      </c>
      <c r="C937" s="1">
        <v>44940</v>
      </c>
      <c r="D937" t="s">
        <v>8</v>
      </c>
      <c r="E937">
        <v>39</v>
      </c>
      <c r="F937" t="s">
        <v>6</v>
      </c>
      <c r="G937" s="8">
        <f t="shared" si="87"/>
        <v>1</v>
      </c>
      <c r="H937">
        <f t="shared" si="88"/>
        <v>6</v>
      </c>
      <c r="I937" t="str">
        <f t="shared" si="86"/>
        <v>Friday</v>
      </c>
      <c r="L937">
        <f t="shared" si="89"/>
        <v>1</v>
      </c>
    </row>
    <row r="938" spans="1:12" x14ac:dyDescent="0.25">
      <c r="A938">
        <v>168884196</v>
      </c>
      <c r="B938" s="1">
        <v>44939</v>
      </c>
      <c r="C938" s="1">
        <v>45022</v>
      </c>
      <c r="D938" t="s">
        <v>7</v>
      </c>
      <c r="E938">
        <v>39</v>
      </c>
      <c r="F938" t="s">
        <v>6</v>
      </c>
      <c r="G938" s="8">
        <f t="shared" si="87"/>
        <v>83</v>
      </c>
      <c r="H938">
        <f t="shared" si="88"/>
        <v>6</v>
      </c>
      <c r="I938" t="str">
        <f t="shared" si="86"/>
        <v>Friday</v>
      </c>
      <c r="L938">
        <f t="shared" si="89"/>
        <v>0</v>
      </c>
    </row>
    <row r="939" spans="1:12" x14ac:dyDescent="0.25">
      <c r="A939">
        <v>161269602</v>
      </c>
      <c r="B939" s="1">
        <v>44939</v>
      </c>
      <c r="C939" s="1">
        <v>44977</v>
      </c>
      <c r="D939" t="s">
        <v>7</v>
      </c>
      <c r="E939">
        <v>39</v>
      </c>
      <c r="F939" t="s">
        <v>6</v>
      </c>
      <c r="G939" s="8">
        <f t="shared" si="87"/>
        <v>38</v>
      </c>
      <c r="H939">
        <f t="shared" si="88"/>
        <v>6</v>
      </c>
      <c r="I939" t="str">
        <f t="shared" si="86"/>
        <v>Friday</v>
      </c>
      <c r="L939">
        <f t="shared" si="89"/>
        <v>0</v>
      </c>
    </row>
    <row r="940" spans="1:12" x14ac:dyDescent="0.25">
      <c r="A940">
        <v>185729058</v>
      </c>
      <c r="B940" s="1">
        <v>44940</v>
      </c>
      <c r="C940" s="1">
        <v>45052</v>
      </c>
      <c r="D940" t="s">
        <v>7</v>
      </c>
      <c r="E940">
        <v>39</v>
      </c>
      <c r="F940" t="s">
        <v>6</v>
      </c>
      <c r="G940" s="8">
        <f t="shared" si="87"/>
        <v>112</v>
      </c>
      <c r="H940">
        <f t="shared" si="88"/>
        <v>7</v>
      </c>
      <c r="I940" t="str">
        <f t="shared" si="86"/>
        <v>Saturday</v>
      </c>
      <c r="L940">
        <f t="shared" si="89"/>
        <v>0</v>
      </c>
    </row>
    <row r="941" spans="1:12" x14ac:dyDescent="0.25">
      <c r="A941">
        <v>182527446</v>
      </c>
      <c r="B941" s="1">
        <v>44940</v>
      </c>
      <c r="C941" s="1">
        <v>45050</v>
      </c>
      <c r="D941" t="s">
        <v>7</v>
      </c>
      <c r="E941">
        <v>39</v>
      </c>
      <c r="F941" t="s">
        <v>6</v>
      </c>
      <c r="G941" s="8">
        <f t="shared" si="87"/>
        <v>110</v>
      </c>
      <c r="H941">
        <f t="shared" si="88"/>
        <v>7</v>
      </c>
      <c r="I941" t="str">
        <f t="shared" si="86"/>
        <v>Saturday</v>
      </c>
      <c r="L941">
        <f t="shared" si="89"/>
        <v>0</v>
      </c>
    </row>
    <row r="942" spans="1:12" x14ac:dyDescent="0.25">
      <c r="A942">
        <v>151217806</v>
      </c>
      <c r="B942" s="1">
        <v>44940</v>
      </c>
      <c r="C942" s="1">
        <v>44990</v>
      </c>
      <c r="D942" t="s">
        <v>7</v>
      </c>
      <c r="E942">
        <v>39</v>
      </c>
      <c r="F942" t="s">
        <v>6</v>
      </c>
      <c r="G942" s="8">
        <f t="shared" si="87"/>
        <v>50</v>
      </c>
      <c r="H942">
        <f t="shared" si="88"/>
        <v>7</v>
      </c>
      <c r="I942" t="str">
        <f t="shared" si="86"/>
        <v>Saturday</v>
      </c>
      <c r="L942">
        <f t="shared" si="89"/>
        <v>0</v>
      </c>
    </row>
    <row r="943" spans="1:12" x14ac:dyDescent="0.25">
      <c r="A943">
        <v>181789030</v>
      </c>
      <c r="B943" s="1">
        <v>44940</v>
      </c>
      <c r="C943" s="1">
        <v>44962</v>
      </c>
      <c r="D943" t="s">
        <v>7</v>
      </c>
      <c r="E943">
        <v>39</v>
      </c>
      <c r="F943" t="s">
        <v>6</v>
      </c>
      <c r="G943" s="8">
        <f t="shared" si="87"/>
        <v>22</v>
      </c>
      <c r="H943">
        <f t="shared" si="88"/>
        <v>7</v>
      </c>
      <c r="I943" t="str">
        <f t="shared" si="86"/>
        <v>Saturday</v>
      </c>
      <c r="L943">
        <f t="shared" si="89"/>
        <v>0</v>
      </c>
    </row>
    <row r="944" spans="1:12" x14ac:dyDescent="0.25">
      <c r="A944">
        <v>167939138</v>
      </c>
      <c r="B944" s="1">
        <v>44940</v>
      </c>
      <c r="C944" s="1">
        <v>45118</v>
      </c>
      <c r="D944" t="s">
        <v>7</v>
      </c>
      <c r="E944">
        <v>39</v>
      </c>
      <c r="F944" t="s">
        <v>6</v>
      </c>
      <c r="G944" s="8">
        <f t="shared" si="87"/>
        <v>178</v>
      </c>
      <c r="H944">
        <f t="shared" si="88"/>
        <v>7</v>
      </c>
      <c r="I944" t="str">
        <f t="shared" si="86"/>
        <v>Saturday</v>
      </c>
      <c r="L944">
        <f t="shared" si="89"/>
        <v>0</v>
      </c>
    </row>
    <row r="945" spans="1:12" x14ac:dyDescent="0.25">
      <c r="A945">
        <v>168531226</v>
      </c>
      <c r="B945" s="1">
        <v>44940</v>
      </c>
      <c r="C945" s="1">
        <v>45151</v>
      </c>
      <c r="D945" t="s">
        <v>7</v>
      </c>
      <c r="E945">
        <v>39</v>
      </c>
      <c r="F945" t="s">
        <v>6</v>
      </c>
      <c r="G945" s="8">
        <f t="shared" si="87"/>
        <v>211</v>
      </c>
      <c r="H945">
        <f t="shared" si="88"/>
        <v>7</v>
      </c>
      <c r="I945" t="str">
        <f t="shared" si="86"/>
        <v>Saturday</v>
      </c>
      <c r="L945">
        <f t="shared" si="89"/>
        <v>0</v>
      </c>
    </row>
    <row r="946" spans="1:12" x14ac:dyDescent="0.25">
      <c r="A946">
        <v>183965840</v>
      </c>
      <c r="B946" s="1">
        <v>44941</v>
      </c>
      <c r="C946" s="1">
        <f ca="1">TODAY()</f>
        <v>45938</v>
      </c>
      <c r="D946" t="s">
        <v>7</v>
      </c>
      <c r="E946">
        <v>39</v>
      </c>
      <c r="F946" t="s">
        <v>6</v>
      </c>
      <c r="G946" s="8">
        <f t="shared" ca="1" si="87"/>
        <v>997</v>
      </c>
      <c r="H946">
        <f t="shared" si="88"/>
        <v>1</v>
      </c>
      <c r="I946" t="str">
        <f t="shared" si="86"/>
        <v>Sunday</v>
      </c>
      <c r="L946">
        <f t="shared" ca="1" si="89"/>
        <v>0</v>
      </c>
    </row>
    <row r="947" spans="1:12" x14ac:dyDescent="0.25">
      <c r="A947">
        <v>185522938</v>
      </c>
      <c r="B947" s="1">
        <v>44941</v>
      </c>
      <c r="C947" s="1">
        <v>45049</v>
      </c>
      <c r="D947" t="s">
        <v>7</v>
      </c>
      <c r="E947">
        <v>39</v>
      </c>
      <c r="F947" t="s">
        <v>6</v>
      </c>
      <c r="G947" s="8">
        <f t="shared" si="87"/>
        <v>108</v>
      </c>
      <c r="H947">
        <f t="shared" si="88"/>
        <v>1</v>
      </c>
      <c r="I947" t="str">
        <f t="shared" si="86"/>
        <v>Sunday</v>
      </c>
      <c r="L947">
        <f t="shared" si="89"/>
        <v>0</v>
      </c>
    </row>
    <row r="948" spans="1:12" x14ac:dyDescent="0.25">
      <c r="A948">
        <v>186413122</v>
      </c>
      <c r="B948" s="1">
        <v>44941</v>
      </c>
      <c r="C948" s="1">
        <v>45048</v>
      </c>
      <c r="D948" t="s">
        <v>7</v>
      </c>
      <c r="E948">
        <v>39</v>
      </c>
      <c r="F948" t="s">
        <v>6</v>
      </c>
      <c r="G948" s="8">
        <f t="shared" si="87"/>
        <v>107</v>
      </c>
      <c r="H948">
        <f t="shared" si="88"/>
        <v>1</v>
      </c>
      <c r="I948" t="str">
        <f t="shared" si="86"/>
        <v>Sunday</v>
      </c>
      <c r="L948">
        <f t="shared" si="89"/>
        <v>0</v>
      </c>
    </row>
    <row r="949" spans="1:12" x14ac:dyDescent="0.25">
      <c r="A949">
        <v>186481916</v>
      </c>
      <c r="B949" s="1">
        <v>44941</v>
      </c>
      <c r="C949" s="1">
        <v>45032</v>
      </c>
      <c r="D949" t="s">
        <v>7</v>
      </c>
      <c r="E949">
        <v>39</v>
      </c>
      <c r="F949" t="s">
        <v>6</v>
      </c>
      <c r="G949" s="8">
        <f t="shared" si="87"/>
        <v>91</v>
      </c>
      <c r="H949">
        <f t="shared" si="88"/>
        <v>1</v>
      </c>
      <c r="I949" t="str">
        <f t="shared" si="86"/>
        <v>Sunday</v>
      </c>
      <c r="L949">
        <f t="shared" si="89"/>
        <v>0</v>
      </c>
    </row>
    <row r="950" spans="1:12" x14ac:dyDescent="0.25">
      <c r="A950">
        <v>186177212</v>
      </c>
      <c r="B950" s="1">
        <v>44941</v>
      </c>
      <c r="C950" s="1">
        <v>44992</v>
      </c>
      <c r="D950" t="s">
        <v>7</v>
      </c>
      <c r="E950">
        <v>39</v>
      </c>
      <c r="F950" t="s">
        <v>6</v>
      </c>
      <c r="G950" s="8">
        <f t="shared" si="87"/>
        <v>51</v>
      </c>
      <c r="H950">
        <f t="shared" si="88"/>
        <v>1</v>
      </c>
      <c r="I950" t="str">
        <f t="shared" si="86"/>
        <v>Sunday</v>
      </c>
      <c r="L950">
        <f t="shared" si="89"/>
        <v>0</v>
      </c>
    </row>
    <row r="951" spans="1:12" x14ac:dyDescent="0.25">
      <c r="A951">
        <v>184809175</v>
      </c>
      <c r="B951" s="1">
        <v>44941</v>
      </c>
      <c r="C951" s="1">
        <v>44992</v>
      </c>
      <c r="D951" t="s">
        <v>7</v>
      </c>
      <c r="E951">
        <v>39</v>
      </c>
      <c r="F951" t="s">
        <v>6</v>
      </c>
      <c r="G951" s="8">
        <f t="shared" si="87"/>
        <v>51</v>
      </c>
      <c r="H951">
        <f t="shared" si="88"/>
        <v>1</v>
      </c>
      <c r="I951" t="str">
        <f t="shared" si="86"/>
        <v>Sunday</v>
      </c>
      <c r="L951">
        <f t="shared" si="89"/>
        <v>0</v>
      </c>
    </row>
    <row r="952" spans="1:12" x14ac:dyDescent="0.25">
      <c r="A952">
        <v>186690790</v>
      </c>
      <c r="B952" s="1">
        <v>44941</v>
      </c>
      <c r="C952" s="1">
        <v>44997</v>
      </c>
      <c r="D952" t="s">
        <v>7</v>
      </c>
      <c r="E952">
        <v>39</v>
      </c>
      <c r="F952" t="s">
        <v>6</v>
      </c>
      <c r="G952" s="8">
        <f t="shared" si="87"/>
        <v>56</v>
      </c>
      <c r="H952">
        <f t="shared" si="88"/>
        <v>1</v>
      </c>
      <c r="I952" t="str">
        <f t="shared" si="86"/>
        <v>Sunday</v>
      </c>
      <c r="L952">
        <f t="shared" si="89"/>
        <v>0</v>
      </c>
    </row>
    <row r="953" spans="1:12" x14ac:dyDescent="0.25">
      <c r="A953">
        <v>185711685</v>
      </c>
      <c r="B953" s="1">
        <v>44941</v>
      </c>
      <c r="C953" s="1">
        <v>44963</v>
      </c>
      <c r="D953" t="s">
        <v>7</v>
      </c>
      <c r="E953">
        <v>39</v>
      </c>
      <c r="F953" t="s">
        <v>6</v>
      </c>
      <c r="G953" s="8">
        <f t="shared" si="87"/>
        <v>22</v>
      </c>
      <c r="H953">
        <f t="shared" si="88"/>
        <v>1</v>
      </c>
      <c r="I953" t="str">
        <f t="shared" si="86"/>
        <v>Sunday</v>
      </c>
      <c r="L953">
        <f t="shared" si="89"/>
        <v>0</v>
      </c>
    </row>
    <row r="954" spans="1:12" x14ac:dyDescent="0.25">
      <c r="A954">
        <v>179509273</v>
      </c>
      <c r="B954" s="1">
        <v>44941</v>
      </c>
      <c r="C954" s="1">
        <v>45107</v>
      </c>
      <c r="D954" t="s">
        <v>7</v>
      </c>
      <c r="E954">
        <v>39</v>
      </c>
      <c r="F954" t="s">
        <v>6</v>
      </c>
      <c r="G954" s="8">
        <f t="shared" si="87"/>
        <v>166</v>
      </c>
      <c r="H954">
        <f t="shared" si="88"/>
        <v>1</v>
      </c>
      <c r="I954" t="str">
        <f t="shared" si="86"/>
        <v>Sunday</v>
      </c>
      <c r="L954">
        <f t="shared" si="89"/>
        <v>0</v>
      </c>
    </row>
    <row r="955" spans="1:12" x14ac:dyDescent="0.25">
      <c r="A955">
        <v>186770408</v>
      </c>
      <c r="B955" s="1">
        <v>44942</v>
      </c>
      <c r="C955" s="1">
        <f t="shared" ref="C955:C956" ca="1" si="93">TODAY()</f>
        <v>45938</v>
      </c>
      <c r="D955" t="s">
        <v>7</v>
      </c>
      <c r="E955">
        <v>39</v>
      </c>
      <c r="F955" t="s">
        <v>6</v>
      </c>
      <c r="G955" s="8">
        <f t="shared" ca="1" si="87"/>
        <v>996</v>
      </c>
      <c r="H955">
        <f t="shared" si="88"/>
        <v>2</v>
      </c>
      <c r="I955" t="str">
        <f t="shared" si="86"/>
        <v>Monday</v>
      </c>
      <c r="L955">
        <f t="shared" ca="1" si="89"/>
        <v>0</v>
      </c>
    </row>
    <row r="956" spans="1:12" x14ac:dyDescent="0.25">
      <c r="A956">
        <v>181025165</v>
      </c>
      <c r="B956" s="1">
        <v>44942</v>
      </c>
      <c r="C956" s="1">
        <f t="shared" ca="1" si="93"/>
        <v>45938</v>
      </c>
      <c r="D956" t="s">
        <v>7</v>
      </c>
      <c r="E956">
        <v>39</v>
      </c>
      <c r="F956" t="s">
        <v>6</v>
      </c>
      <c r="G956" s="8">
        <f t="shared" ca="1" si="87"/>
        <v>996</v>
      </c>
      <c r="H956">
        <f t="shared" si="88"/>
        <v>2</v>
      </c>
      <c r="I956" t="str">
        <f t="shared" si="86"/>
        <v>Monday</v>
      </c>
      <c r="L956">
        <f t="shared" ca="1" si="89"/>
        <v>0</v>
      </c>
    </row>
    <row r="957" spans="1:12" x14ac:dyDescent="0.25">
      <c r="A957">
        <v>157919304</v>
      </c>
      <c r="B957" s="1">
        <v>44942</v>
      </c>
      <c r="C957" s="1">
        <v>45062</v>
      </c>
      <c r="D957" t="s">
        <v>7</v>
      </c>
      <c r="E957">
        <v>39</v>
      </c>
      <c r="F957" t="s">
        <v>6</v>
      </c>
      <c r="G957" s="8">
        <f t="shared" si="87"/>
        <v>120</v>
      </c>
      <c r="H957">
        <f t="shared" si="88"/>
        <v>2</v>
      </c>
      <c r="I957" t="str">
        <f t="shared" si="86"/>
        <v>Monday</v>
      </c>
      <c r="L957">
        <f t="shared" si="89"/>
        <v>0</v>
      </c>
    </row>
    <row r="958" spans="1:12" x14ac:dyDescent="0.25">
      <c r="A958">
        <v>187051266</v>
      </c>
      <c r="B958" s="1">
        <v>44942</v>
      </c>
      <c r="C958" s="1">
        <v>45077</v>
      </c>
      <c r="D958" t="s">
        <v>7</v>
      </c>
      <c r="E958">
        <v>39</v>
      </c>
      <c r="F958" t="s">
        <v>6</v>
      </c>
      <c r="G958" s="8">
        <f t="shared" si="87"/>
        <v>135</v>
      </c>
      <c r="H958">
        <f t="shared" si="88"/>
        <v>2</v>
      </c>
      <c r="I958" t="str">
        <f t="shared" si="86"/>
        <v>Monday</v>
      </c>
      <c r="L958">
        <f t="shared" si="89"/>
        <v>0</v>
      </c>
    </row>
    <row r="959" spans="1:12" x14ac:dyDescent="0.25">
      <c r="A959">
        <v>179713052</v>
      </c>
      <c r="B959" s="1">
        <v>44942</v>
      </c>
      <c r="C959" s="1">
        <v>45031</v>
      </c>
      <c r="D959" t="s">
        <v>7</v>
      </c>
      <c r="E959">
        <v>39</v>
      </c>
      <c r="F959" t="s">
        <v>6</v>
      </c>
      <c r="G959" s="8">
        <f t="shared" si="87"/>
        <v>89</v>
      </c>
      <c r="H959">
        <f t="shared" si="88"/>
        <v>2</v>
      </c>
      <c r="I959" t="str">
        <f t="shared" si="86"/>
        <v>Monday</v>
      </c>
      <c r="L959">
        <f t="shared" si="89"/>
        <v>0</v>
      </c>
    </row>
    <row r="960" spans="1:12" x14ac:dyDescent="0.25">
      <c r="A960">
        <v>185431487</v>
      </c>
      <c r="B960" s="1">
        <v>44942</v>
      </c>
      <c r="C960" s="1">
        <v>45042</v>
      </c>
      <c r="D960" t="s">
        <v>7</v>
      </c>
      <c r="E960">
        <v>39</v>
      </c>
      <c r="F960" t="s">
        <v>6</v>
      </c>
      <c r="G960" s="8">
        <f t="shared" si="87"/>
        <v>100</v>
      </c>
      <c r="H960">
        <f t="shared" si="88"/>
        <v>2</v>
      </c>
      <c r="I960" t="str">
        <f t="shared" si="86"/>
        <v>Monday</v>
      </c>
      <c r="L960">
        <f t="shared" si="89"/>
        <v>0</v>
      </c>
    </row>
    <row r="961" spans="1:12" x14ac:dyDescent="0.25">
      <c r="A961">
        <v>157929345</v>
      </c>
      <c r="B961" s="1">
        <v>44942</v>
      </c>
      <c r="C961" s="1">
        <v>45023</v>
      </c>
      <c r="D961" t="s">
        <v>7</v>
      </c>
      <c r="E961">
        <v>39</v>
      </c>
      <c r="F961" t="s">
        <v>6</v>
      </c>
      <c r="G961" s="8">
        <f t="shared" si="87"/>
        <v>81</v>
      </c>
      <c r="H961">
        <f t="shared" si="88"/>
        <v>2</v>
      </c>
      <c r="I961" t="str">
        <f t="shared" si="86"/>
        <v>Monday</v>
      </c>
      <c r="L961">
        <f t="shared" si="89"/>
        <v>0</v>
      </c>
    </row>
    <row r="962" spans="1:12" x14ac:dyDescent="0.25">
      <c r="A962">
        <v>154087095</v>
      </c>
      <c r="B962" s="1">
        <v>44942</v>
      </c>
      <c r="C962" s="1">
        <v>44998</v>
      </c>
      <c r="D962" t="s">
        <v>7</v>
      </c>
      <c r="E962">
        <v>39</v>
      </c>
      <c r="F962" t="s">
        <v>6</v>
      </c>
      <c r="G962" s="8">
        <f t="shared" si="87"/>
        <v>56</v>
      </c>
      <c r="H962">
        <f t="shared" si="88"/>
        <v>2</v>
      </c>
      <c r="I962" t="str">
        <f t="shared" ref="I962:I1025" si="94">TEXT(B962,"DDDD")</f>
        <v>Monday</v>
      </c>
      <c r="L962">
        <f t="shared" si="89"/>
        <v>0</v>
      </c>
    </row>
    <row r="963" spans="1:12" x14ac:dyDescent="0.25">
      <c r="A963">
        <v>186674235</v>
      </c>
      <c r="B963" s="1">
        <v>44942</v>
      </c>
      <c r="C963" s="1">
        <v>44999</v>
      </c>
      <c r="D963" t="s">
        <v>7</v>
      </c>
      <c r="E963">
        <v>39</v>
      </c>
      <c r="F963" t="s">
        <v>6</v>
      </c>
      <c r="G963" s="8">
        <f t="shared" ref="G963:G1026" si="95">IFERROR(DATEDIF(B963,C963,"D"),"0")</f>
        <v>57</v>
      </c>
      <c r="H963">
        <f t="shared" ref="H963:H1026" si="96">WEEKDAY(B963,1)</f>
        <v>2</v>
      </c>
      <c r="I963" t="str">
        <f t="shared" si="94"/>
        <v>Monday</v>
      </c>
      <c r="L963">
        <f t="shared" ref="L963:L1026" si="97">IF( OR($G963=0,$G963 = 1, $G963 = 2), 1, 0 )</f>
        <v>0</v>
      </c>
    </row>
    <row r="964" spans="1:12" x14ac:dyDescent="0.25">
      <c r="A964">
        <v>182656156</v>
      </c>
      <c r="B964" s="1">
        <v>44942</v>
      </c>
      <c r="C964" s="1">
        <v>44972</v>
      </c>
      <c r="D964" t="s">
        <v>7</v>
      </c>
      <c r="E964">
        <v>39</v>
      </c>
      <c r="F964" t="s">
        <v>6</v>
      </c>
      <c r="G964" s="8">
        <f t="shared" si="95"/>
        <v>30</v>
      </c>
      <c r="H964">
        <f t="shared" si="96"/>
        <v>2</v>
      </c>
      <c r="I964" t="str">
        <f t="shared" si="94"/>
        <v>Monday</v>
      </c>
      <c r="L964">
        <f t="shared" si="97"/>
        <v>0</v>
      </c>
    </row>
    <row r="965" spans="1:12" x14ac:dyDescent="0.25">
      <c r="A965">
        <v>170319875</v>
      </c>
      <c r="B965" s="1">
        <v>44942</v>
      </c>
      <c r="C965" s="1">
        <v>44942</v>
      </c>
      <c r="D965" t="s">
        <v>7</v>
      </c>
      <c r="E965">
        <v>39</v>
      </c>
      <c r="F965" t="s">
        <v>6</v>
      </c>
      <c r="G965" s="8">
        <f t="shared" si="95"/>
        <v>0</v>
      </c>
      <c r="H965">
        <f t="shared" si="96"/>
        <v>2</v>
      </c>
      <c r="I965" t="str">
        <f t="shared" si="94"/>
        <v>Monday</v>
      </c>
      <c r="L965">
        <f t="shared" si="97"/>
        <v>1</v>
      </c>
    </row>
    <row r="966" spans="1:12" x14ac:dyDescent="0.25">
      <c r="A966">
        <v>188226033</v>
      </c>
      <c r="B966" s="1">
        <v>44943</v>
      </c>
      <c r="C966" s="1">
        <f t="shared" ref="C966:C967" ca="1" si="98">TODAY()</f>
        <v>45938</v>
      </c>
      <c r="D966" t="s">
        <v>8</v>
      </c>
      <c r="E966">
        <v>39</v>
      </c>
      <c r="F966" t="s">
        <v>6</v>
      </c>
      <c r="G966" s="8">
        <f t="shared" ca="1" si="95"/>
        <v>995</v>
      </c>
      <c r="H966">
        <f t="shared" si="96"/>
        <v>3</v>
      </c>
      <c r="I966" t="str">
        <f t="shared" si="94"/>
        <v>Tuesday</v>
      </c>
      <c r="L966">
        <f t="shared" ca="1" si="97"/>
        <v>0</v>
      </c>
    </row>
    <row r="967" spans="1:12" x14ac:dyDescent="0.25">
      <c r="A967">
        <v>188137320</v>
      </c>
      <c r="B967" s="1">
        <v>44943</v>
      </c>
      <c r="C967" s="1">
        <f t="shared" ca="1" si="98"/>
        <v>45938</v>
      </c>
      <c r="D967" t="s">
        <v>8</v>
      </c>
      <c r="E967">
        <v>39</v>
      </c>
      <c r="F967" t="s">
        <v>6</v>
      </c>
      <c r="G967" s="8">
        <f t="shared" ca="1" si="95"/>
        <v>995</v>
      </c>
      <c r="H967">
        <f t="shared" si="96"/>
        <v>3</v>
      </c>
      <c r="I967" t="str">
        <f t="shared" si="94"/>
        <v>Tuesday</v>
      </c>
      <c r="L967">
        <f t="shared" ca="1" si="97"/>
        <v>0</v>
      </c>
    </row>
    <row r="968" spans="1:12" x14ac:dyDescent="0.25">
      <c r="A968">
        <v>163220556</v>
      </c>
      <c r="B968" s="1">
        <v>44943</v>
      </c>
      <c r="C968" s="1">
        <v>44944</v>
      </c>
      <c r="D968" t="s">
        <v>7</v>
      </c>
      <c r="E968">
        <v>39</v>
      </c>
      <c r="F968" t="s">
        <v>6</v>
      </c>
      <c r="G968" s="8">
        <f t="shared" si="95"/>
        <v>1</v>
      </c>
      <c r="H968">
        <f t="shared" si="96"/>
        <v>3</v>
      </c>
      <c r="I968" t="str">
        <f t="shared" si="94"/>
        <v>Tuesday</v>
      </c>
      <c r="L968">
        <f t="shared" si="97"/>
        <v>1</v>
      </c>
    </row>
    <row r="969" spans="1:12" x14ac:dyDescent="0.25">
      <c r="A969">
        <v>182960960</v>
      </c>
      <c r="B969" s="1">
        <v>44943</v>
      </c>
      <c r="C969" s="1">
        <v>45009</v>
      </c>
      <c r="D969" t="s">
        <v>7</v>
      </c>
      <c r="E969">
        <v>39</v>
      </c>
      <c r="F969" t="s">
        <v>6</v>
      </c>
      <c r="G969" s="8">
        <f t="shared" si="95"/>
        <v>66</v>
      </c>
      <c r="H969">
        <f t="shared" si="96"/>
        <v>3</v>
      </c>
      <c r="I969" t="str">
        <f t="shared" si="94"/>
        <v>Tuesday</v>
      </c>
      <c r="L969">
        <f t="shared" si="97"/>
        <v>0</v>
      </c>
    </row>
    <row r="970" spans="1:12" x14ac:dyDescent="0.25">
      <c r="A970">
        <v>188175982</v>
      </c>
      <c r="B970" s="1">
        <v>44943</v>
      </c>
      <c r="C970" s="1">
        <v>44974</v>
      </c>
      <c r="D970" t="s">
        <v>7</v>
      </c>
      <c r="E970">
        <v>39</v>
      </c>
      <c r="F970" t="s">
        <v>6</v>
      </c>
      <c r="G970" s="8">
        <f t="shared" si="95"/>
        <v>31</v>
      </c>
      <c r="H970">
        <f t="shared" si="96"/>
        <v>3</v>
      </c>
      <c r="I970" t="str">
        <f t="shared" si="94"/>
        <v>Tuesday</v>
      </c>
      <c r="L970">
        <f t="shared" si="97"/>
        <v>0</v>
      </c>
    </row>
    <row r="971" spans="1:12" x14ac:dyDescent="0.25">
      <c r="A971">
        <v>169729060</v>
      </c>
      <c r="B971" s="1">
        <v>44943</v>
      </c>
      <c r="C971" s="1">
        <v>44976</v>
      </c>
      <c r="D971" t="s">
        <v>7</v>
      </c>
      <c r="E971">
        <v>39</v>
      </c>
      <c r="F971" t="s">
        <v>6</v>
      </c>
      <c r="G971" s="8">
        <f t="shared" si="95"/>
        <v>33</v>
      </c>
      <c r="H971">
        <f t="shared" si="96"/>
        <v>3</v>
      </c>
      <c r="I971" t="str">
        <f t="shared" si="94"/>
        <v>Tuesday</v>
      </c>
      <c r="L971">
        <f t="shared" si="97"/>
        <v>0</v>
      </c>
    </row>
    <row r="972" spans="1:12" x14ac:dyDescent="0.25">
      <c r="A972">
        <v>186841270</v>
      </c>
      <c r="B972" s="1">
        <v>44943</v>
      </c>
      <c r="C972" s="1">
        <v>44981</v>
      </c>
      <c r="D972" t="s">
        <v>7</v>
      </c>
      <c r="E972">
        <v>39</v>
      </c>
      <c r="F972" t="s">
        <v>6</v>
      </c>
      <c r="G972" s="8">
        <f t="shared" si="95"/>
        <v>38</v>
      </c>
      <c r="H972">
        <f t="shared" si="96"/>
        <v>3</v>
      </c>
      <c r="I972" t="str">
        <f t="shared" si="94"/>
        <v>Tuesday</v>
      </c>
      <c r="L972">
        <f t="shared" si="97"/>
        <v>0</v>
      </c>
    </row>
    <row r="973" spans="1:12" x14ac:dyDescent="0.25">
      <c r="A973">
        <v>154563993</v>
      </c>
      <c r="B973" s="1">
        <v>44943</v>
      </c>
      <c r="C973" s="1">
        <v>44982</v>
      </c>
      <c r="D973" t="s">
        <v>7</v>
      </c>
      <c r="E973">
        <v>39</v>
      </c>
      <c r="F973" t="s">
        <v>6</v>
      </c>
      <c r="G973" s="8">
        <f t="shared" si="95"/>
        <v>39</v>
      </c>
      <c r="H973">
        <f t="shared" si="96"/>
        <v>3</v>
      </c>
      <c r="I973" t="str">
        <f t="shared" si="94"/>
        <v>Tuesday</v>
      </c>
      <c r="L973">
        <f t="shared" si="97"/>
        <v>0</v>
      </c>
    </row>
    <row r="974" spans="1:12" x14ac:dyDescent="0.25">
      <c r="A974">
        <v>159767828</v>
      </c>
      <c r="B974" s="1">
        <v>44943</v>
      </c>
      <c r="C974" s="1">
        <v>44981</v>
      </c>
      <c r="D974" t="s">
        <v>7</v>
      </c>
      <c r="E974">
        <v>39</v>
      </c>
      <c r="F974" t="s">
        <v>6</v>
      </c>
      <c r="G974" s="8">
        <f t="shared" si="95"/>
        <v>38</v>
      </c>
      <c r="H974">
        <f t="shared" si="96"/>
        <v>3</v>
      </c>
      <c r="I974" t="str">
        <f t="shared" si="94"/>
        <v>Tuesday</v>
      </c>
      <c r="L974">
        <f t="shared" si="97"/>
        <v>0</v>
      </c>
    </row>
    <row r="975" spans="1:12" x14ac:dyDescent="0.25">
      <c r="A975">
        <v>183186612</v>
      </c>
      <c r="B975" s="1">
        <v>44943</v>
      </c>
      <c r="C975" s="1">
        <v>45135</v>
      </c>
      <c r="D975" t="s">
        <v>7</v>
      </c>
      <c r="E975">
        <v>39</v>
      </c>
      <c r="F975" t="s">
        <v>6</v>
      </c>
      <c r="G975" s="8">
        <f t="shared" si="95"/>
        <v>192</v>
      </c>
      <c r="H975">
        <f t="shared" si="96"/>
        <v>3</v>
      </c>
      <c r="I975" t="str">
        <f t="shared" si="94"/>
        <v>Tuesday</v>
      </c>
      <c r="L975">
        <f t="shared" si="97"/>
        <v>0</v>
      </c>
    </row>
    <row r="976" spans="1:12" x14ac:dyDescent="0.25">
      <c r="A976">
        <v>128603349</v>
      </c>
      <c r="B976" s="1">
        <v>44944</v>
      </c>
      <c r="C976" s="1">
        <f ca="1">TODAY()</f>
        <v>45938</v>
      </c>
      <c r="D976" t="s">
        <v>7</v>
      </c>
      <c r="E976">
        <v>39</v>
      </c>
      <c r="F976" t="s">
        <v>6</v>
      </c>
      <c r="G976" s="8">
        <f t="shared" ca="1" si="95"/>
        <v>994</v>
      </c>
      <c r="H976">
        <f t="shared" si="96"/>
        <v>4</v>
      </c>
      <c r="I976" t="str">
        <f t="shared" si="94"/>
        <v>Wednesday</v>
      </c>
      <c r="L976">
        <f t="shared" ca="1" si="97"/>
        <v>0</v>
      </c>
    </row>
    <row r="977" spans="1:12" x14ac:dyDescent="0.25">
      <c r="A977">
        <v>183736457</v>
      </c>
      <c r="B977" s="1">
        <v>44944</v>
      </c>
      <c r="C977" s="1">
        <v>44945</v>
      </c>
      <c r="D977" t="s">
        <v>8</v>
      </c>
      <c r="E977">
        <v>39</v>
      </c>
      <c r="F977" t="s">
        <v>6</v>
      </c>
      <c r="G977" s="8">
        <f t="shared" si="95"/>
        <v>1</v>
      </c>
      <c r="H977">
        <f t="shared" si="96"/>
        <v>4</v>
      </c>
      <c r="I977" t="str">
        <f t="shared" si="94"/>
        <v>Wednesday</v>
      </c>
      <c r="L977">
        <f t="shared" si="97"/>
        <v>1</v>
      </c>
    </row>
    <row r="978" spans="1:12" x14ac:dyDescent="0.25">
      <c r="A978">
        <v>188115641</v>
      </c>
      <c r="B978" s="1">
        <v>44944</v>
      </c>
      <c r="C978" s="1">
        <v>44944</v>
      </c>
      <c r="D978" t="s">
        <v>8</v>
      </c>
      <c r="E978">
        <v>39</v>
      </c>
      <c r="F978" t="s">
        <v>6</v>
      </c>
      <c r="G978" s="8">
        <f t="shared" si="95"/>
        <v>0</v>
      </c>
      <c r="H978">
        <f t="shared" si="96"/>
        <v>4</v>
      </c>
      <c r="I978" t="str">
        <f t="shared" si="94"/>
        <v>Wednesday</v>
      </c>
      <c r="L978">
        <f t="shared" si="97"/>
        <v>1</v>
      </c>
    </row>
    <row r="979" spans="1:12" x14ac:dyDescent="0.25">
      <c r="A979">
        <v>188460699</v>
      </c>
      <c r="B979" s="1">
        <v>44944</v>
      </c>
      <c r="C979" s="1">
        <v>44944</v>
      </c>
      <c r="D979" t="s">
        <v>8</v>
      </c>
      <c r="E979">
        <v>39</v>
      </c>
      <c r="F979" t="s">
        <v>6</v>
      </c>
      <c r="G979" s="8">
        <f t="shared" si="95"/>
        <v>0</v>
      </c>
      <c r="H979">
        <f t="shared" si="96"/>
        <v>4</v>
      </c>
      <c r="I979" t="str">
        <f t="shared" si="94"/>
        <v>Wednesday</v>
      </c>
      <c r="L979">
        <f t="shared" si="97"/>
        <v>1</v>
      </c>
    </row>
    <row r="980" spans="1:12" x14ac:dyDescent="0.25">
      <c r="A980">
        <v>138228332</v>
      </c>
      <c r="B980" s="1">
        <v>44944</v>
      </c>
      <c r="C980" s="1">
        <v>44982</v>
      </c>
      <c r="D980" t="s">
        <v>7</v>
      </c>
      <c r="E980">
        <v>39</v>
      </c>
      <c r="F980" t="s">
        <v>6</v>
      </c>
      <c r="G980" s="8">
        <f t="shared" si="95"/>
        <v>38</v>
      </c>
      <c r="H980">
        <f t="shared" si="96"/>
        <v>4</v>
      </c>
      <c r="I980" t="str">
        <f t="shared" si="94"/>
        <v>Wednesday</v>
      </c>
      <c r="L980">
        <f t="shared" si="97"/>
        <v>0</v>
      </c>
    </row>
    <row r="981" spans="1:12" x14ac:dyDescent="0.25">
      <c r="A981">
        <v>184143564</v>
      </c>
      <c r="B981" s="1">
        <v>44944</v>
      </c>
      <c r="C981" s="1">
        <v>45068</v>
      </c>
      <c r="D981" t="s">
        <v>7</v>
      </c>
      <c r="E981">
        <v>39</v>
      </c>
      <c r="F981" t="s">
        <v>6</v>
      </c>
      <c r="G981" s="8">
        <f t="shared" si="95"/>
        <v>124</v>
      </c>
      <c r="H981">
        <f t="shared" si="96"/>
        <v>4</v>
      </c>
      <c r="I981" t="str">
        <f t="shared" si="94"/>
        <v>Wednesday</v>
      </c>
      <c r="L981">
        <f t="shared" si="97"/>
        <v>0</v>
      </c>
    </row>
    <row r="982" spans="1:12" x14ac:dyDescent="0.25">
      <c r="A982">
        <v>179508142</v>
      </c>
      <c r="B982" s="1">
        <v>44944</v>
      </c>
      <c r="C982" s="1">
        <v>45090</v>
      </c>
      <c r="D982" t="s">
        <v>7</v>
      </c>
      <c r="E982">
        <v>39</v>
      </c>
      <c r="F982" t="s">
        <v>6</v>
      </c>
      <c r="G982" s="8">
        <f t="shared" si="95"/>
        <v>146</v>
      </c>
      <c r="H982">
        <f t="shared" si="96"/>
        <v>4</v>
      </c>
      <c r="I982" t="str">
        <f t="shared" si="94"/>
        <v>Wednesday</v>
      </c>
      <c r="L982">
        <f t="shared" si="97"/>
        <v>0</v>
      </c>
    </row>
    <row r="983" spans="1:12" x14ac:dyDescent="0.25">
      <c r="A983">
        <v>188269607</v>
      </c>
      <c r="B983" s="1">
        <v>44944</v>
      </c>
      <c r="C983" s="1">
        <v>45032</v>
      </c>
      <c r="D983" t="s">
        <v>7</v>
      </c>
      <c r="E983">
        <v>39</v>
      </c>
      <c r="F983" t="s">
        <v>6</v>
      </c>
      <c r="G983" s="8">
        <f t="shared" si="95"/>
        <v>88</v>
      </c>
      <c r="H983">
        <f t="shared" si="96"/>
        <v>4</v>
      </c>
      <c r="I983" t="str">
        <f t="shared" si="94"/>
        <v>Wednesday</v>
      </c>
      <c r="L983">
        <f t="shared" si="97"/>
        <v>0</v>
      </c>
    </row>
    <row r="984" spans="1:12" x14ac:dyDescent="0.25">
      <c r="A984">
        <v>181890100</v>
      </c>
      <c r="B984" s="1">
        <v>44944</v>
      </c>
      <c r="C984" s="1">
        <v>45011</v>
      </c>
      <c r="D984" t="s">
        <v>7</v>
      </c>
      <c r="E984">
        <v>39</v>
      </c>
      <c r="F984" t="s">
        <v>6</v>
      </c>
      <c r="G984" s="8">
        <f t="shared" si="95"/>
        <v>67</v>
      </c>
      <c r="H984">
        <f t="shared" si="96"/>
        <v>4</v>
      </c>
      <c r="I984" t="str">
        <f t="shared" si="94"/>
        <v>Wednesday</v>
      </c>
      <c r="L984">
        <f t="shared" si="97"/>
        <v>0</v>
      </c>
    </row>
    <row r="985" spans="1:12" x14ac:dyDescent="0.25">
      <c r="A985">
        <v>185642830</v>
      </c>
      <c r="B985" s="1">
        <v>44944</v>
      </c>
      <c r="C985" s="1">
        <v>44999</v>
      </c>
      <c r="D985" t="s">
        <v>7</v>
      </c>
      <c r="E985">
        <v>39</v>
      </c>
      <c r="F985" t="s">
        <v>6</v>
      </c>
      <c r="G985" s="8">
        <f t="shared" si="95"/>
        <v>55</v>
      </c>
      <c r="H985">
        <f t="shared" si="96"/>
        <v>4</v>
      </c>
      <c r="I985" t="str">
        <f t="shared" si="94"/>
        <v>Wednesday</v>
      </c>
      <c r="L985">
        <f t="shared" si="97"/>
        <v>0</v>
      </c>
    </row>
    <row r="986" spans="1:12" x14ac:dyDescent="0.25">
      <c r="A986">
        <v>152223051</v>
      </c>
      <c r="B986" s="1">
        <v>44944</v>
      </c>
      <c r="C986" s="1">
        <v>44982</v>
      </c>
      <c r="D986" t="s">
        <v>7</v>
      </c>
      <c r="E986">
        <v>39</v>
      </c>
      <c r="F986" t="s">
        <v>6</v>
      </c>
      <c r="G986" s="8">
        <f t="shared" si="95"/>
        <v>38</v>
      </c>
      <c r="H986">
        <f t="shared" si="96"/>
        <v>4</v>
      </c>
      <c r="I986" t="str">
        <f t="shared" si="94"/>
        <v>Wednesday</v>
      </c>
      <c r="L986">
        <f t="shared" si="97"/>
        <v>0</v>
      </c>
    </row>
    <row r="987" spans="1:12" x14ac:dyDescent="0.25">
      <c r="A987">
        <v>156067850</v>
      </c>
      <c r="B987" s="1">
        <v>44944</v>
      </c>
      <c r="C987" s="1">
        <v>44975</v>
      </c>
      <c r="D987" t="s">
        <v>7</v>
      </c>
      <c r="E987">
        <v>39</v>
      </c>
      <c r="F987" t="s">
        <v>6</v>
      </c>
      <c r="G987" s="8">
        <f t="shared" si="95"/>
        <v>31</v>
      </c>
      <c r="H987">
        <f t="shared" si="96"/>
        <v>4</v>
      </c>
      <c r="I987" t="str">
        <f t="shared" si="94"/>
        <v>Wednesday</v>
      </c>
      <c r="L987">
        <f t="shared" si="97"/>
        <v>0</v>
      </c>
    </row>
    <row r="988" spans="1:12" x14ac:dyDescent="0.25">
      <c r="A988">
        <v>188701816</v>
      </c>
      <c r="B988" s="1">
        <v>44944</v>
      </c>
      <c r="C988" s="1">
        <v>44974</v>
      </c>
      <c r="D988" t="s">
        <v>7</v>
      </c>
      <c r="E988">
        <v>39</v>
      </c>
      <c r="F988" t="s">
        <v>6</v>
      </c>
      <c r="G988" s="8">
        <f t="shared" si="95"/>
        <v>30</v>
      </c>
      <c r="H988">
        <f t="shared" si="96"/>
        <v>4</v>
      </c>
      <c r="I988" t="str">
        <f t="shared" si="94"/>
        <v>Wednesday</v>
      </c>
      <c r="L988">
        <f t="shared" si="97"/>
        <v>0</v>
      </c>
    </row>
    <row r="989" spans="1:12" x14ac:dyDescent="0.25">
      <c r="A989">
        <v>188133192</v>
      </c>
      <c r="B989" s="1">
        <v>44944</v>
      </c>
      <c r="C989" s="1">
        <v>44976</v>
      </c>
      <c r="D989" t="s">
        <v>7</v>
      </c>
      <c r="E989">
        <v>39</v>
      </c>
      <c r="F989" t="s">
        <v>6</v>
      </c>
      <c r="G989" s="8">
        <f t="shared" si="95"/>
        <v>32</v>
      </c>
      <c r="H989">
        <f t="shared" si="96"/>
        <v>4</v>
      </c>
      <c r="I989" t="str">
        <f t="shared" si="94"/>
        <v>Wednesday</v>
      </c>
      <c r="L989">
        <f t="shared" si="97"/>
        <v>0</v>
      </c>
    </row>
    <row r="990" spans="1:12" x14ac:dyDescent="0.25">
      <c r="A990">
        <v>183936068</v>
      </c>
      <c r="B990" s="1">
        <v>44944</v>
      </c>
      <c r="C990" s="1">
        <v>45110</v>
      </c>
      <c r="D990" t="s">
        <v>7</v>
      </c>
      <c r="E990">
        <v>39</v>
      </c>
      <c r="F990" t="s">
        <v>6</v>
      </c>
      <c r="G990" s="8">
        <f t="shared" si="95"/>
        <v>166</v>
      </c>
      <c r="H990">
        <f t="shared" si="96"/>
        <v>4</v>
      </c>
      <c r="I990" t="str">
        <f t="shared" si="94"/>
        <v>Wednesday</v>
      </c>
      <c r="L990">
        <f t="shared" si="97"/>
        <v>0</v>
      </c>
    </row>
    <row r="991" spans="1:12" x14ac:dyDescent="0.25">
      <c r="A991">
        <v>188119778</v>
      </c>
      <c r="B991" s="1">
        <v>44944</v>
      </c>
      <c r="C991" s="1">
        <v>45095</v>
      </c>
      <c r="D991" t="s">
        <v>7</v>
      </c>
      <c r="E991">
        <v>39</v>
      </c>
      <c r="F991" t="s">
        <v>6</v>
      </c>
      <c r="G991" s="8">
        <f t="shared" si="95"/>
        <v>151</v>
      </c>
      <c r="H991">
        <f t="shared" si="96"/>
        <v>4</v>
      </c>
      <c r="I991" t="str">
        <f t="shared" si="94"/>
        <v>Wednesday</v>
      </c>
      <c r="L991">
        <f t="shared" si="97"/>
        <v>0</v>
      </c>
    </row>
    <row r="992" spans="1:12" x14ac:dyDescent="0.25">
      <c r="A992">
        <v>189410056</v>
      </c>
      <c r="B992" s="1">
        <v>44945</v>
      </c>
      <c r="C992" s="1">
        <f t="shared" ref="C992:C993" ca="1" si="99">TODAY()</f>
        <v>45938</v>
      </c>
      <c r="D992" t="s">
        <v>7</v>
      </c>
      <c r="E992">
        <v>39</v>
      </c>
      <c r="F992" t="s">
        <v>6</v>
      </c>
      <c r="G992" s="8">
        <f t="shared" ca="1" si="95"/>
        <v>993</v>
      </c>
      <c r="H992">
        <f t="shared" si="96"/>
        <v>5</v>
      </c>
      <c r="I992" t="str">
        <f t="shared" si="94"/>
        <v>Thursday</v>
      </c>
      <c r="L992">
        <f t="shared" ca="1" si="97"/>
        <v>0</v>
      </c>
    </row>
    <row r="993" spans="1:12" x14ac:dyDescent="0.25">
      <c r="A993">
        <v>184970659</v>
      </c>
      <c r="B993" s="1">
        <v>44945</v>
      </c>
      <c r="C993" s="1">
        <f t="shared" ca="1" si="99"/>
        <v>45938</v>
      </c>
      <c r="D993" t="s">
        <v>7</v>
      </c>
      <c r="E993">
        <v>39</v>
      </c>
      <c r="F993" t="s">
        <v>6</v>
      </c>
      <c r="G993" s="8">
        <f t="shared" ca="1" si="95"/>
        <v>993</v>
      </c>
      <c r="H993">
        <f t="shared" si="96"/>
        <v>5</v>
      </c>
      <c r="I993" t="str">
        <f t="shared" si="94"/>
        <v>Thursday</v>
      </c>
      <c r="L993">
        <f t="shared" ca="1" si="97"/>
        <v>0</v>
      </c>
    </row>
    <row r="994" spans="1:12" x14ac:dyDescent="0.25">
      <c r="A994">
        <v>148476648</v>
      </c>
      <c r="B994" s="1">
        <v>44945</v>
      </c>
      <c r="C994" s="1">
        <v>45058</v>
      </c>
      <c r="D994" t="s">
        <v>7</v>
      </c>
      <c r="E994">
        <v>39</v>
      </c>
      <c r="F994" t="s">
        <v>6</v>
      </c>
      <c r="G994" s="8">
        <f t="shared" si="95"/>
        <v>113</v>
      </c>
      <c r="H994">
        <f t="shared" si="96"/>
        <v>5</v>
      </c>
      <c r="I994" t="str">
        <f t="shared" si="94"/>
        <v>Thursday</v>
      </c>
      <c r="L994">
        <f t="shared" si="97"/>
        <v>0</v>
      </c>
    </row>
    <row r="995" spans="1:12" x14ac:dyDescent="0.25">
      <c r="A995">
        <v>189289885</v>
      </c>
      <c r="B995" s="1">
        <v>44945</v>
      </c>
      <c r="C995" s="1">
        <v>45036</v>
      </c>
      <c r="D995" t="s">
        <v>7</v>
      </c>
      <c r="E995">
        <v>39</v>
      </c>
      <c r="F995" t="s">
        <v>6</v>
      </c>
      <c r="G995" s="8">
        <f t="shared" si="95"/>
        <v>91</v>
      </c>
      <c r="H995">
        <f t="shared" si="96"/>
        <v>5</v>
      </c>
      <c r="I995" t="str">
        <f t="shared" si="94"/>
        <v>Thursday</v>
      </c>
      <c r="L995">
        <f t="shared" si="97"/>
        <v>0</v>
      </c>
    </row>
    <row r="996" spans="1:12" x14ac:dyDescent="0.25">
      <c r="A996">
        <v>150442182</v>
      </c>
      <c r="B996" s="1">
        <v>44945</v>
      </c>
      <c r="C996" s="1">
        <v>45004</v>
      </c>
      <c r="D996" t="s">
        <v>7</v>
      </c>
      <c r="E996">
        <v>39</v>
      </c>
      <c r="F996" t="s">
        <v>6</v>
      </c>
      <c r="G996" s="8">
        <f t="shared" si="95"/>
        <v>59</v>
      </c>
      <c r="H996">
        <f t="shared" si="96"/>
        <v>5</v>
      </c>
      <c r="I996" t="str">
        <f t="shared" si="94"/>
        <v>Thursday</v>
      </c>
      <c r="L996">
        <f t="shared" si="97"/>
        <v>0</v>
      </c>
    </row>
    <row r="997" spans="1:12" x14ac:dyDescent="0.25">
      <c r="A997">
        <v>184826230</v>
      </c>
      <c r="B997" s="1">
        <v>44945</v>
      </c>
      <c r="C997" s="1">
        <v>44972</v>
      </c>
      <c r="D997" t="s">
        <v>7</v>
      </c>
      <c r="E997">
        <v>39</v>
      </c>
      <c r="F997" t="s">
        <v>6</v>
      </c>
      <c r="G997" s="8">
        <f t="shared" si="95"/>
        <v>27</v>
      </c>
      <c r="H997">
        <f t="shared" si="96"/>
        <v>5</v>
      </c>
      <c r="I997" t="str">
        <f t="shared" si="94"/>
        <v>Thursday</v>
      </c>
      <c r="L997">
        <f t="shared" si="97"/>
        <v>0</v>
      </c>
    </row>
    <row r="998" spans="1:12" x14ac:dyDescent="0.25">
      <c r="A998">
        <v>184786342</v>
      </c>
      <c r="B998" s="1">
        <v>44945</v>
      </c>
      <c r="C998" s="1">
        <v>44945</v>
      </c>
      <c r="D998" t="s">
        <v>7</v>
      </c>
      <c r="E998">
        <v>39</v>
      </c>
      <c r="F998" t="s">
        <v>6</v>
      </c>
      <c r="G998" s="8">
        <f t="shared" si="95"/>
        <v>0</v>
      </c>
      <c r="H998">
        <f t="shared" si="96"/>
        <v>5</v>
      </c>
      <c r="I998" t="str">
        <f t="shared" si="94"/>
        <v>Thursday</v>
      </c>
      <c r="L998">
        <f t="shared" si="97"/>
        <v>1</v>
      </c>
    </row>
    <row r="999" spans="1:12" x14ac:dyDescent="0.25">
      <c r="A999">
        <v>181565760</v>
      </c>
      <c r="B999" s="1">
        <v>44945</v>
      </c>
      <c r="C999" s="1">
        <v>44952</v>
      </c>
      <c r="D999" t="s">
        <v>7</v>
      </c>
      <c r="E999">
        <v>39</v>
      </c>
      <c r="F999" t="s">
        <v>6</v>
      </c>
      <c r="G999" s="8">
        <f t="shared" si="95"/>
        <v>7</v>
      </c>
      <c r="H999">
        <f t="shared" si="96"/>
        <v>5</v>
      </c>
      <c r="I999" t="str">
        <f t="shared" si="94"/>
        <v>Thursday</v>
      </c>
      <c r="L999">
        <f t="shared" si="97"/>
        <v>0</v>
      </c>
    </row>
    <row r="1000" spans="1:12" x14ac:dyDescent="0.25">
      <c r="A1000">
        <v>189278478</v>
      </c>
      <c r="B1000" s="1">
        <v>44946</v>
      </c>
      <c r="C1000" s="1">
        <f t="shared" ref="C1000:C1002" ca="1" si="100">TODAY()</f>
        <v>45938</v>
      </c>
      <c r="D1000" t="s">
        <v>7</v>
      </c>
      <c r="E1000">
        <v>39</v>
      </c>
      <c r="F1000" t="s">
        <v>6</v>
      </c>
      <c r="G1000" s="8">
        <f t="shared" ca="1" si="95"/>
        <v>992</v>
      </c>
      <c r="H1000">
        <f t="shared" si="96"/>
        <v>6</v>
      </c>
      <c r="I1000" t="str">
        <f t="shared" si="94"/>
        <v>Friday</v>
      </c>
      <c r="L1000">
        <f t="shared" ca="1" si="97"/>
        <v>0</v>
      </c>
    </row>
    <row r="1001" spans="1:12" x14ac:dyDescent="0.25">
      <c r="A1001">
        <v>184066428</v>
      </c>
      <c r="B1001" s="1">
        <v>44946</v>
      </c>
      <c r="C1001" s="1">
        <f t="shared" ca="1" si="100"/>
        <v>45938</v>
      </c>
      <c r="D1001" t="s">
        <v>7</v>
      </c>
      <c r="E1001">
        <v>39</v>
      </c>
      <c r="F1001" t="s">
        <v>6</v>
      </c>
      <c r="G1001" s="8">
        <f t="shared" ca="1" si="95"/>
        <v>992</v>
      </c>
      <c r="H1001">
        <f t="shared" si="96"/>
        <v>6</v>
      </c>
      <c r="I1001" t="str">
        <f t="shared" si="94"/>
        <v>Friday</v>
      </c>
      <c r="L1001">
        <f t="shared" ca="1" si="97"/>
        <v>0</v>
      </c>
    </row>
    <row r="1002" spans="1:12" x14ac:dyDescent="0.25">
      <c r="A1002">
        <v>135771077</v>
      </c>
      <c r="B1002" s="1">
        <v>44946</v>
      </c>
      <c r="C1002" s="1">
        <f t="shared" ca="1" si="100"/>
        <v>45938</v>
      </c>
      <c r="D1002" t="s">
        <v>7</v>
      </c>
      <c r="E1002">
        <v>39</v>
      </c>
      <c r="F1002" t="s">
        <v>6</v>
      </c>
      <c r="G1002" s="8">
        <f t="shared" ca="1" si="95"/>
        <v>992</v>
      </c>
      <c r="H1002">
        <f t="shared" si="96"/>
        <v>6</v>
      </c>
      <c r="I1002" t="str">
        <f t="shared" si="94"/>
        <v>Friday</v>
      </c>
      <c r="L1002">
        <f t="shared" ca="1" si="97"/>
        <v>0</v>
      </c>
    </row>
    <row r="1003" spans="1:12" x14ac:dyDescent="0.25">
      <c r="A1003">
        <v>184831280</v>
      </c>
      <c r="B1003" s="1">
        <v>44946</v>
      </c>
      <c r="C1003" s="1">
        <v>45055</v>
      </c>
      <c r="D1003" t="s">
        <v>7</v>
      </c>
      <c r="E1003">
        <v>39</v>
      </c>
      <c r="F1003" t="s">
        <v>6</v>
      </c>
      <c r="G1003" s="8">
        <f t="shared" si="95"/>
        <v>109</v>
      </c>
      <c r="H1003">
        <f t="shared" si="96"/>
        <v>6</v>
      </c>
      <c r="I1003" t="str">
        <f t="shared" si="94"/>
        <v>Friday</v>
      </c>
      <c r="L1003">
        <f t="shared" si="97"/>
        <v>0</v>
      </c>
    </row>
    <row r="1004" spans="1:12" x14ac:dyDescent="0.25">
      <c r="A1004">
        <v>188828652</v>
      </c>
      <c r="B1004" s="1">
        <v>44946</v>
      </c>
      <c r="C1004" s="1">
        <v>45047</v>
      </c>
      <c r="D1004" t="s">
        <v>7</v>
      </c>
      <c r="E1004">
        <v>39</v>
      </c>
      <c r="F1004" t="s">
        <v>6</v>
      </c>
      <c r="G1004" s="8">
        <f t="shared" si="95"/>
        <v>101</v>
      </c>
      <c r="H1004">
        <f t="shared" si="96"/>
        <v>6</v>
      </c>
      <c r="I1004" t="str">
        <f t="shared" si="94"/>
        <v>Friday</v>
      </c>
      <c r="L1004">
        <f t="shared" si="97"/>
        <v>0</v>
      </c>
    </row>
    <row r="1005" spans="1:12" x14ac:dyDescent="0.25">
      <c r="A1005">
        <v>188666673</v>
      </c>
      <c r="B1005" s="1">
        <v>44946</v>
      </c>
      <c r="C1005" s="1">
        <v>44993</v>
      </c>
      <c r="D1005" t="s">
        <v>7</v>
      </c>
      <c r="E1005">
        <v>39</v>
      </c>
      <c r="F1005" t="s">
        <v>6</v>
      </c>
      <c r="G1005" s="8">
        <f t="shared" si="95"/>
        <v>47</v>
      </c>
      <c r="H1005">
        <f t="shared" si="96"/>
        <v>6</v>
      </c>
      <c r="I1005" t="str">
        <f t="shared" si="94"/>
        <v>Friday</v>
      </c>
      <c r="L1005">
        <f t="shared" si="97"/>
        <v>0</v>
      </c>
    </row>
    <row r="1006" spans="1:12" x14ac:dyDescent="0.25">
      <c r="A1006">
        <v>189880452</v>
      </c>
      <c r="B1006" s="1">
        <v>44946</v>
      </c>
      <c r="C1006" s="1">
        <v>44976</v>
      </c>
      <c r="D1006" t="s">
        <v>7</v>
      </c>
      <c r="E1006">
        <v>39</v>
      </c>
      <c r="F1006" t="s">
        <v>6</v>
      </c>
      <c r="G1006" s="8">
        <f t="shared" si="95"/>
        <v>30</v>
      </c>
      <c r="H1006">
        <f t="shared" si="96"/>
        <v>6</v>
      </c>
      <c r="I1006" t="str">
        <f t="shared" si="94"/>
        <v>Friday</v>
      </c>
      <c r="L1006">
        <f t="shared" si="97"/>
        <v>0</v>
      </c>
    </row>
    <row r="1007" spans="1:12" x14ac:dyDescent="0.25">
      <c r="A1007">
        <v>160986271</v>
      </c>
      <c r="B1007" s="1">
        <v>44946</v>
      </c>
      <c r="C1007" s="1">
        <v>44984</v>
      </c>
      <c r="D1007" t="s">
        <v>7</v>
      </c>
      <c r="E1007">
        <v>39</v>
      </c>
      <c r="F1007" t="s">
        <v>6</v>
      </c>
      <c r="G1007" s="8">
        <f t="shared" si="95"/>
        <v>38</v>
      </c>
      <c r="H1007">
        <f t="shared" si="96"/>
        <v>6</v>
      </c>
      <c r="I1007" t="str">
        <f t="shared" si="94"/>
        <v>Friday</v>
      </c>
      <c r="L1007">
        <f t="shared" si="97"/>
        <v>0</v>
      </c>
    </row>
    <row r="1008" spans="1:12" x14ac:dyDescent="0.25">
      <c r="A1008">
        <v>187895888</v>
      </c>
      <c r="B1008" s="1">
        <v>44946</v>
      </c>
      <c r="C1008" s="1">
        <v>44970</v>
      </c>
      <c r="D1008" t="s">
        <v>7</v>
      </c>
      <c r="E1008">
        <v>39</v>
      </c>
      <c r="F1008" t="s">
        <v>6</v>
      </c>
      <c r="G1008" s="8">
        <f t="shared" si="95"/>
        <v>24</v>
      </c>
      <c r="H1008">
        <f t="shared" si="96"/>
        <v>6</v>
      </c>
      <c r="I1008" t="str">
        <f t="shared" si="94"/>
        <v>Friday</v>
      </c>
      <c r="L1008">
        <f t="shared" si="97"/>
        <v>0</v>
      </c>
    </row>
    <row r="1009" spans="1:12" x14ac:dyDescent="0.25">
      <c r="A1009">
        <v>190871376</v>
      </c>
      <c r="B1009" s="1">
        <v>44947</v>
      </c>
      <c r="C1009" s="1">
        <f ca="1">TODAY()</f>
        <v>45938</v>
      </c>
      <c r="D1009" t="s">
        <v>7</v>
      </c>
      <c r="E1009">
        <v>39</v>
      </c>
      <c r="F1009" t="s">
        <v>6</v>
      </c>
      <c r="G1009" s="8">
        <f t="shared" ca="1" si="95"/>
        <v>991</v>
      </c>
      <c r="H1009">
        <f t="shared" si="96"/>
        <v>7</v>
      </c>
      <c r="I1009" t="str">
        <f t="shared" si="94"/>
        <v>Saturday</v>
      </c>
      <c r="L1009">
        <f t="shared" ca="1" si="97"/>
        <v>0</v>
      </c>
    </row>
    <row r="1010" spans="1:12" x14ac:dyDescent="0.25">
      <c r="A1010">
        <v>166750222</v>
      </c>
      <c r="B1010" s="1">
        <v>44947</v>
      </c>
      <c r="C1010" s="1">
        <v>45048</v>
      </c>
      <c r="D1010" t="s">
        <v>7</v>
      </c>
      <c r="E1010">
        <v>39</v>
      </c>
      <c r="F1010" t="s">
        <v>6</v>
      </c>
      <c r="G1010" s="8">
        <f t="shared" si="95"/>
        <v>101</v>
      </c>
      <c r="H1010">
        <f t="shared" si="96"/>
        <v>7</v>
      </c>
      <c r="I1010" t="str">
        <f t="shared" si="94"/>
        <v>Saturday</v>
      </c>
      <c r="L1010">
        <f t="shared" si="97"/>
        <v>0</v>
      </c>
    </row>
    <row r="1011" spans="1:12" x14ac:dyDescent="0.25">
      <c r="A1011">
        <v>189360536</v>
      </c>
      <c r="B1011" s="1">
        <v>44947</v>
      </c>
      <c r="C1011" s="1">
        <v>45041</v>
      </c>
      <c r="D1011" t="s">
        <v>7</v>
      </c>
      <c r="E1011">
        <v>39</v>
      </c>
      <c r="F1011" t="s">
        <v>6</v>
      </c>
      <c r="G1011" s="8">
        <f t="shared" si="95"/>
        <v>94</v>
      </c>
      <c r="H1011">
        <f t="shared" si="96"/>
        <v>7</v>
      </c>
      <c r="I1011" t="str">
        <f t="shared" si="94"/>
        <v>Saturday</v>
      </c>
      <c r="L1011">
        <f t="shared" si="97"/>
        <v>0</v>
      </c>
    </row>
    <row r="1012" spans="1:12" x14ac:dyDescent="0.25">
      <c r="A1012">
        <v>188197564</v>
      </c>
      <c r="B1012" s="1">
        <v>44947</v>
      </c>
      <c r="C1012" s="1">
        <v>45036</v>
      </c>
      <c r="D1012" t="s">
        <v>7</v>
      </c>
      <c r="E1012">
        <v>39</v>
      </c>
      <c r="F1012" t="s">
        <v>6</v>
      </c>
      <c r="G1012" s="8">
        <f t="shared" si="95"/>
        <v>89</v>
      </c>
      <c r="H1012">
        <f t="shared" si="96"/>
        <v>7</v>
      </c>
      <c r="I1012" t="str">
        <f t="shared" si="94"/>
        <v>Saturday</v>
      </c>
      <c r="L1012">
        <f t="shared" si="97"/>
        <v>0</v>
      </c>
    </row>
    <row r="1013" spans="1:12" x14ac:dyDescent="0.25">
      <c r="A1013">
        <v>191034251</v>
      </c>
      <c r="B1013" s="1">
        <v>44947</v>
      </c>
      <c r="C1013" s="1">
        <v>44972</v>
      </c>
      <c r="D1013" t="s">
        <v>7</v>
      </c>
      <c r="E1013">
        <v>39</v>
      </c>
      <c r="F1013" t="s">
        <v>6</v>
      </c>
      <c r="G1013" s="8">
        <f t="shared" si="95"/>
        <v>25</v>
      </c>
      <c r="H1013">
        <f t="shared" si="96"/>
        <v>7</v>
      </c>
      <c r="I1013" t="str">
        <f t="shared" si="94"/>
        <v>Saturday</v>
      </c>
      <c r="L1013">
        <f t="shared" si="97"/>
        <v>0</v>
      </c>
    </row>
    <row r="1014" spans="1:12" x14ac:dyDescent="0.25">
      <c r="A1014">
        <v>182972593</v>
      </c>
      <c r="B1014" s="1">
        <v>44947</v>
      </c>
      <c r="C1014" s="1">
        <v>44960</v>
      </c>
      <c r="D1014" t="s">
        <v>7</v>
      </c>
      <c r="E1014">
        <v>39</v>
      </c>
      <c r="F1014" t="s">
        <v>6</v>
      </c>
      <c r="G1014" s="8">
        <f t="shared" si="95"/>
        <v>13</v>
      </c>
      <c r="H1014">
        <f t="shared" si="96"/>
        <v>7</v>
      </c>
      <c r="I1014" t="str">
        <f t="shared" si="94"/>
        <v>Saturday</v>
      </c>
      <c r="L1014">
        <f t="shared" si="97"/>
        <v>0</v>
      </c>
    </row>
    <row r="1015" spans="1:12" x14ac:dyDescent="0.25">
      <c r="A1015">
        <v>182958960</v>
      </c>
      <c r="B1015" s="1">
        <v>44948</v>
      </c>
      <c r="C1015" s="1">
        <v>44949</v>
      </c>
      <c r="D1015" t="s">
        <v>7</v>
      </c>
      <c r="E1015">
        <v>39</v>
      </c>
      <c r="F1015" t="s">
        <v>6</v>
      </c>
      <c r="G1015" s="8">
        <f t="shared" si="95"/>
        <v>1</v>
      </c>
      <c r="H1015">
        <f t="shared" si="96"/>
        <v>1</v>
      </c>
      <c r="I1015" t="str">
        <f t="shared" si="94"/>
        <v>Sunday</v>
      </c>
      <c r="L1015">
        <f t="shared" si="97"/>
        <v>1</v>
      </c>
    </row>
    <row r="1016" spans="1:12" x14ac:dyDescent="0.25">
      <c r="A1016">
        <v>163220556</v>
      </c>
      <c r="B1016" s="1">
        <v>44948</v>
      </c>
      <c r="C1016" s="1">
        <v>44994</v>
      </c>
      <c r="D1016" t="s">
        <v>7</v>
      </c>
      <c r="E1016">
        <v>39</v>
      </c>
      <c r="F1016" t="s">
        <v>6</v>
      </c>
      <c r="G1016" s="8">
        <f t="shared" si="95"/>
        <v>46</v>
      </c>
      <c r="H1016">
        <f t="shared" si="96"/>
        <v>1</v>
      </c>
      <c r="I1016" t="str">
        <f t="shared" si="94"/>
        <v>Sunday</v>
      </c>
      <c r="L1016">
        <f t="shared" si="97"/>
        <v>0</v>
      </c>
    </row>
    <row r="1017" spans="1:12" x14ac:dyDescent="0.25">
      <c r="A1017">
        <v>191730833</v>
      </c>
      <c r="B1017" s="1">
        <v>44948</v>
      </c>
      <c r="C1017" s="1">
        <v>45006</v>
      </c>
      <c r="D1017" t="s">
        <v>7</v>
      </c>
      <c r="E1017">
        <v>39</v>
      </c>
      <c r="F1017" t="s">
        <v>6</v>
      </c>
      <c r="G1017" s="8">
        <f t="shared" si="95"/>
        <v>58</v>
      </c>
      <c r="H1017">
        <f t="shared" si="96"/>
        <v>1</v>
      </c>
      <c r="I1017" t="str">
        <f t="shared" si="94"/>
        <v>Sunday</v>
      </c>
      <c r="L1017">
        <f t="shared" si="97"/>
        <v>0</v>
      </c>
    </row>
    <row r="1018" spans="1:12" x14ac:dyDescent="0.25">
      <c r="A1018">
        <v>189680563</v>
      </c>
      <c r="B1018" s="1">
        <v>44948</v>
      </c>
      <c r="C1018" s="1">
        <v>45006</v>
      </c>
      <c r="D1018" t="s">
        <v>7</v>
      </c>
      <c r="E1018">
        <v>39</v>
      </c>
      <c r="F1018" t="s">
        <v>6</v>
      </c>
      <c r="G1018" s="8">
        <f t="shared" si="95"/>
        <v>58</v>
      </c>
      <c r="H1018">
        <f t="shared" si="96"/>
        <v>1</v>
      </c>
      <c r="I1018" t="str">
        <f t="shared" si="94"/>
        <v>Sunday</v>
      </c>
      <c r="L1018">
        <f t="shared" si="97"/>
        <v>0</v>
      </c>
    </row>
    <row r="1019" spans="1:12" x14ac:dyDescent="0.25">
      <c r="A1019">
        <v>190666110</v>
      </c>
      <c r="B1019" s="1">
        <v>44949</v>
      </c>
      <c r="C1019" s="1">
        <f t="shared" ref="C1019:C1021" ca="1" si="101">TODAY()</f>
        <v>45938</v>
      </c>
      <c r="D1019" t="s">
        <v>7</v>
      </c>
      <c r="E1019">
        <v>39</v>
      </c>
      <c r="F1019" t="s">
        <v>6</v>
      </c>
      <c r="G1019" s="8">
        <f t="shared" ca="1" si="95"/>
        <v>989</v>
      </c>
      <c r="H1019">
        <f t="shared" si="96"/>
        <v>2</v>
      </c>
      <c r="I1019" t="str">
        <f t="shared" si="94"/>
        <v>Monday</v>
      </c>
      <c r="L1019">
        <f t="shared" ca="1" si="97"/>
        <v>0</v>
      </c>
    </row>
    <row r="1020" spans="1:12" x14ac:dyDescent="0.25">
      <c r="A1020">
        <v>180622613</v>
      </c>
      <c r="B1020" s="1">
        <v>44949</v>
      </c>
      <c r="C1020" s="1">
        <f t="shared" ca="1" si="101"/>
        <v>45938</v>
      </c>
      <c r="D1020" t="s">
        <v>7</v>
      </c>
      <c r="E1020">
        <v>39</v>
      </c>
      <c r="F1020" t="s">
        <v>6</v>
      </c>
      <c r="G1020" s="8">
        <f t="shared" ca="1" si="95"/>
        <v>989</v>
      </c>
      <c r="H1020">
        <f t="shared" si="96"/>
        <v>2</v>
      </c>
      <c r="I1020" t="str">
        <f t="shared" si="94"/>
        <v>Monday</v>
      </c>
      <c r="L1020">
        <f t="shared" ca="1" si="97"/>
        <v>0</v>
      </c>
    </row>
    <row r="1021" spans="1:12" x14ac:dyDescent="0.25">
      <c r="A1021">
        <v>188827172</v>
      </c>
      <c r="B1021" s="1">
        <v>44949</v>
      </c>
      <c r="C1021" s="1">
        <f t="shared" ca="1" si="101"/>
        <v>45938</v>
      </c>
      <c r="D1021" t="s">
        <v>7</v>
      </c>
      <c r="E1021">
        <v>39</v>
      </c>
      <c r="F1021" t="s">
        <v>6</v>
      </c>
      <c r="G1021" s="8">
        <f t="shared" ca="1" si="95"/>
        <v>989</v>
      </c>
      <c r="H1021">
        <f t="shared" si="96"/>
        <v>2</v>
      </c>
      <c r="I1021" t="str">
        <f t="shared" si="94"/>
        <v>Monday</v>
      </c>
      <c r="L1021">
        <f t="shared" ca="1" si="97"/>
        <v>0</v>
      </c>
    </row>
    <row r="1022" spans="1:12" x14ac:dyDescent="0.25">
      <c r="A1022">
        <v>188068965</v>
      </c>
      <c r="B1022" s="1">
        <v>44949</v>
      </c>
      <c r="C1022" s="1">
        <v>45076</v>
      </c>
      <c r="D1022" t="s">
        <v>7</v>
      </c>
      <c r="E1022">
        <v>39</v>
      </c>
      <c r="F1022" t="s">
        <v>6</v>
      </c>
      <c r="G1022" s="8">
        <f t="shared" si="95"/>
        <v>127</v>
      </c>
      <c r="H1022">
        <f t="shared" si="96"/>
        <v>2</v>
      </c>
      <c r="I1022" t="str">
        <f t="shared" si="94"/>
        <v>Monday</v>
      </c>
      <c r="L1022">
        <f t="shared" si="97"/>
        <v>0</v>
      </c>
    </row>
    <row r="1023" spans="1:12" x14ac:dyDescent="0.25">
      <c r="A1023">
        <v>182958960</v>
      </c>
      <c r="B1023" s="1">
        <v>44949</v>
      </c>
      <c r="C1023" s="1">
        <v>44987</v>
      </c>
      <c r="D1023" t="s">
        <v>7</v>
      </c>
      <c r="E1023">
        <v>39</v>
      </c>
      <c r="F1023" t="s">
        <v>6</v>
      </c>
      <c r="G1023" s="8">
        <f t="shared" si="95"/>
        <v>38</v>
      </c>
      <c r="H1023">
        <f t="shared" si="96"/>
        <v>2</v>
      </c>
      <c r="I1023" t="str">
        <f t="shared" si="94"/>
        <v>Monday</v>
      </c>
      <c r="L1023">
        <f t="shared" si="97"/>
        <v>0</v>
      </c>
    </row>
    <row r="1024" spans="1:12" x14ac:dyDescent="0.25">
      <c r="A1024">
        <v>191999674</v>
      </c>
      <c r="B1024" s="1">
        <v>44949</v>
      </c>
      <c r="C1024" s="1">
        <v>44970</v>
      </c>
      <c r="D1024" t="s">
        <v>7</v>
      </c>
      <c r="E1024">
        <v>39</v>
      </c>
      <c r="F1024" t="s">
        <v>6</v>
      </c>
      <c r="G1024" s="8">
        <f t="shared" si="95"/>
        <v>21</v>
      </c>
      <c r="H1024">
        <f t="shared" si="96"/>
        <v>2</v>
      </c>
      <c r="I1024" t="str">
        <f t="shared" si="94"/>
        <v>Monday</v>
      </c>
      <c r="L1024">
        <f t="shared" si="97"/>
        <v>0</v>
      </c>
    </row>
    <row r="1025" spans="1:12" x14ac:dyDescent="0.25">
      <c r="A1025">
        <v>183451114</v>
      </c>
      <c r="B1025" s="1">
        <v>44949</v>
      </c>
      <c r="C1025" s="1">
        <v>45168</v>
      </c>
      <c r="D1025" t="s">
        <v>7</v>
      </c>
      <c r="E1025">
        <v>39</v>
      </c>
      <c r="F1025" t="s">
        <v>6</v>
      </c>
      <c r="G1025" s="8">
        <f t="shared" si="95"/>
        <v>219</v>
      </c>
      <c r="H1025">
        <f t="shared" si="96"/>
        <v>2</v>
      </c>
      <c r="I1025" t="str">
        <f t="shared" si="94"/>
        <v>Monday</v>
      </c>
      <c r="L1025">
        <f t="shared" si="97"/>
        <v>0</v>
      </c>
    </row>
    <row r="1026" spans="1:12" x14ac:dyDescent="0.25">
      <c r="A1026">
        <v>191807491</v>
      </c>
      <c r="B1026" s="1">
        <v>44950</v>
      </c>
      <c r="C1026" s="1">
        <f ca="1">TODAY()</f>
        <v>45938</v>
      </c>
      <c r="D1026" t="s">
        <v>7</v>
      </c>
      <c r="E1026">
        <v>39</v>
      </c>
      <c r="F1026" t="s">
        <v>6</v>
      </c>
      <c r="G1026" s="8">
        <f t="shared" ca="1" si="95"/>
        <v>988</v>
      </c>
      <c r="H1026">
        <f t="shared" si="96"/>
        <v>3</v>
      </c>
      <c r="I1026" t="str">
        <f t="shared" ref="I1026:I1089" si="102">TEXT(B1026,"DDDD")</f>
        <v>Tuesday</v>
      </c>
      <c r="L1026">
        <f t="shared" ca="1" si="97"/>
        <v>0</v>
      </c>
    </row>
    <row r="1027" spans="1:12" x14ac:dyDescent="0.25">
      <c r="A1027">
        <v>157833252</v>
      </c>
      <c r="B1027" s="1">
        <v>44950</v>
      </c>
      <c r="C1027" s="1">
        <v>45176</v>
      </c>
      <c r="D1027" t="s">
        <v>7</v>
      </c>
      <c r="E1027">
        <v>39</v>
      </c>
      <c r="F1027" t="s">
        <v>6</v>
      </c>
      <c r="G1027" s="8">
        <f t="shared" ref="G1027:G1090" si="103">IFERROR(DATEDIF(B1027,C1027,"D"),"0")</f>
        <v>226</v>
      </c>
      <c r="H1027">
        <f t="shared" ref="H1027:H1090" si="104">WEEKDAY(B1027,1)</f>
        <v>3</v>
      </c>
      <c r="I1027" t="str">
        <f t="shared" si="102"/>
        <v>Tuesday</v>
      </c>
      <c r="L1027">
        <f t="shared" ref="L1027:L1090" si="105">IF( OR($G1027=0,$G1027 = 1, $G1027 = 2), 1, 0 )</f>
        <v>0</v>
      </c>
    </row>
    <row r="1028" spans="1:12" x14ac:dyDescent="0.25">
      <c r="A1028">
        <v>188162430</v>
      </c>
      <c r="B1028" s="1">
        <v>44950</v>
      </c>
      <c r="C1028" s="1">
        <v>45093</v>
      </c>
      <c r="D1028" t="s">
        <v>7</v>
      </c>
      <c r="E1028">
        <v>39</v>
      </c>
      <c r="F1028" t="s">
        <v>6</v>
      </c>
      <c r="G1028" s="8">
        <f t="shared" si="103"/>
        <v>143</v>
      </c>
      <c r="H1028">
        <f t="shared" si="104"/>
        <v>3</v>
      </c>
      <c r="I1028" t="str">
        <f t="shared" si="102"/>
        <v>Tuesday</v>
      </c>
      <c r="L1028">
        <f t="shared" si="105"/>
        <v>0</v>
      </c>
    </row>
    <row r="1029" spans="1:12" x14ac:dyDescent="0.25">
      <c r="A1029">
        <v>190733249</v>
      </c>
      <c r="B1029" s="1">
        <v>44950</v>
      </c>
      <c r="C1029" s="1">
        <v>45005</v>
      </c>
      <c r="D1029" t="s">
        <v>7</v>
      </c>
      <c r="E1029">
        <v>39</v>
      </c>
      <c r="F1029" t="s">
        <v>6</v>
      </c>
      <c r="G1029" s="8">
        <f t="shared" si="103"/>
        <v>55</v>
      </c>
      <c r="H1029">
        <f t="shared" si="104"/>
        <v>3</v>
      </c>
      <c r="I1029" t="str">
        <f t="shared" si="102"/>
        <v>Tuesday</v>
      </c>
      <c r="L1029">
        <f t="shared" si="105"/>
        <v>0</v>
      </c>
    </row>
    <row r="1030" spans="1:12" x14ac:dyDescent="0.25">
      <c r="A1030">
        <v>192539054</v>
      </c>
      <c r="B1030" s="1">
        <v>44950</v>
      </c>
      <c r="C1030" s="1">
        <v>44985</v>
      </c>
      <c r="D1030" t="s">
        <v>7</v>
      </c>
      <c r="E1030">
        <v>39</v>
      </c>
      <c r="F1030" t="s">
        <v>6</v>
      </c>
      <c r="G1030" s="8">
        <f t="shared" si="103"/>
        <v>35</v>
      </c>
      <c r="H1030">
        <f t="shared" si="104"/>
        <v>3</v>
      </c>
      <c r="I1030" t="str">
        <f t="shared" si="102"/>
        <v>Tuesday</v>
      </c>
      <c r="L1030">
        <f t="shared" si="105"/>
        <v>0</v>
      </c>
    </row>
    <row r="1031" spans="1:12" x14ac:dyDescent="0.25">
      <c r="A1031">
        <v>193572822</v>
      </c>
      <c r="B1031" s="1">
        <v>44950</v>
      </c>
      <c r="C1031" s="1">
        <v>44977</v>
      </c>
      <c r="D1031" t="s">
        <v>7</v>
      </c>
      <c r="E1031">
        <v>39</v>
      </c>
      <c r="F1031" t="s">
        <v>6</v>
      </c>
      <c r="G1031" s="8">
        <f t="shared" si="103"/>
        <v>27</v>
      </c>
      <c r="H1031">
        <f t="shared" si="104"/>
        <v>3</v>
      </c>
      <c r="I1031" t="str">
        <f t="shared" si="102"/>
        <v>Tuesday</v>
      </c>
      <c r="L1031">
        <f t="shared" si="105"/>
        <v>0</v>
      </c>
    </row>
    <row r="1032" spans="1:12" x14ac:dyDescent="0.25">
      <c r="A1032">
        <v>141399368</v>
      </c>
      <c r="B1032" s="1">
        <v>44951</v>
      </c>
      <c r="C1032" s="1">
        <f t="shared" ref="C1032:C1034" ca="1" si="106">TODAY()</f>
        <v>45938</v>
      </c>
      <c r="D1032" t="s">
        <v>7</v>
      </c>
      <c r="E1032">
        <v>39</v>
      </c>
      <c r="F1032" t="s">
        <v>6</v>
      </c>
      <c r="G1032" s="8">
        <f t="shared" ca="1" si="103"/>
        <v>987</v>
      </c>
      <c r="H1032">
        <f t="shared" si="104"/>
        <v>4</v>
      </c>
      <c r="I1032" t="str">
        <f t="shared" si="102"/>
        <v>Wednesday</v>
      </c>
      <c r="L1032">
        <f t="shared" ca="1" si="105"/>
        <v>0</v>
      </c>
    </row>
    <row r="1033" spans="1:12" x14ac:dyDescent="0.25">
      <c r="A1033">
        <v>193285633</v>
      </c>
      <c r="B1033" s="1">
        <v>44951</v>
      </c>
      <c r="C1033" s="1">
        <f t="shared" ca="1" si="106"/>
        <v>45938</v>
      </c>
      <c r="D1033" t="s">
        <v>7</v>
      </c>
      <c r="E1033">
        <v>39</v>
      </c>
      <c r="F1033" t="s">
        <v>6</v>
      </c>
      <c r="G1033" s="8">
        <f t="shared" ca="1" si="103"/>
        <v>987</v>
      </c>
      <c r="H1033">
        <f t="shared" si="104"/>
        <v>4</v>
      </c>
      <c r="I1033" t="str">
        <f t="shared" si="102"/>
        <v>Wednesday</v>
      </c>
      <c r="L1033">
        <f t="shared" ca="1" si="105"/>
        <v>0</v>
      </c>
    </row>
    <row r="1034" spans="1:12" x14ac:dyDescent="0.25">
      <c r="A1034">
        <v>193891378</v>
      </c>
      <c r="B1034" s="1">
        <v>44951</v>
      </c>
      <c r="C1034" s="1">
        <f t="shared" ca="1" si="106"/>
        <v>45938</v>
      </c>
      <c r="D1034" t="s">
        <v>7</v>
      </c>
      <c r="E1034">
        <v>39</v>
      </c>
      <c r="F1034" t="s">
        <v>6</v>
      </c>
      <c r="G1034" s="8">
        <f t="shared" ca="1" si="103"/>
        <v>987</v>
      </c>
      <c r="H1034">
        <f t="shared" si="104"/>
        <v>4</v>
      </c>
      <c r="I1034" t="str">
        <f t="shared" si="102"/>
        <v>Wednesday</v>
      </c>
      <c r="L1034">
        <f t="shared" ca="1" si="105"/>
        <v>0</v>
      </c>
    </row>
    <row r="1035" spans="1:12" x14ac:dyDescent="0.25">
      <c r="A1035">
        <v>153628260</v>
      </c>
      <c r="B1035" s="1">
        <v>44951</v>
      </c>
      <c r="C1035" s="1">
        <v>44952</v>
      </c>
      <c r="D1035" t="s">
        <v>7</v>
      </c>
      <c r="E1035">
        <v>39</v>
      </c>
      <c r="F1035" t="s">
        <v>6</v>
      </c>
      <c r="G1035" s="8">
        <f t="shared" si="103"/>
        <v>1</v>
      </c>
      <c r="H1035">
        <f t="shared" si="104"/>
        <v>4</v>
      </c>
      <c r="I1035" t="str">
        <f t="shared" si="102"/>
        <v>Wednesday</v>
      </c>
      <c r="L1035">
        <f t="shared" si="105"/>
        <v>1</v>
      </c>
    </row>
    <row r="1036" spans="1:12" x14ac:dyDescent="0.25">
      <c r="A1036">
        <v>194719566</v>
      </c>
      <c r="B1036" s="1">
        <v>44951</v>
      </c>
      <c r="C1036" s="1">
        <v>44951</v>
      </c>
      <c r="D1036" t="s">
        <v>8</v>
      </c>
      <c r="E1036">
        <v>39</v>
      </c>
      <c r="F1036" t="s">
        <v>6</v>
      </c>
      <c r="G1036" s="8">
        <f t="shared" si="103"/>
        <v>0</v>
      </c>
      <c r="H1036">
        <f t="shared" si="104"/>
        <v>4</v>
      </c>
      <c r="I1036" t="str">
        <f t="shared" si="102"/>
        <v>Wednesday</v>
      </c>
      <c r="L1036">
        <f t="shared" si="105"/>
        <v>1</v>
      </c>
    </row>
    <row r="1037" spans="1:12" x14ac:dyDescent="0.25">
      <c r="A1037">
        <v>176559401</v>
      </c>
      <c r="B1037" s="1">
        <v>44951</v>
      </c>
      <c r="C1037" s="1">
        <v>44951</v>
      </c>
      <c r="D1037" t="s">
        <v>8</v>
      </c>
      <c r="E1037">
        <v>39</v>
      </c>
      <c r="F1037" t="s">
        <v>6</v>
      </c>
      <c r="G1037" s="8">
        <f t="shared" si="103"/>
        <v>0</v>
      </c>
      <c r="H1037">
        <f t="shared" si="104"/>
        <v>4</v>
      </c>
      <c r="I1037" t="str">
        <f t="shared" si="102"/>
        <v>Wednesday</v>
      </c>
      <c r="L1037">
        <f t="shared" si="105"/>
        <v>1</v>
      </c>
    </row>
    <row r="1038" spans="1:12" x14ac:dyDescent="0.25">
      <c r="A1038">
        <v>150178354</v>
      </c>
      <c r="B1038" s="1">
        <v>44951</v>
      </c>
      <c r="C1038" s="1">
        <v>45071</v>
      </c>
      <c r="D1038" t="s">
        <v>7</v>
      </c>
      <c r="E1038">
        <v>39</v>
      </c>
      <c r="F1038" t="s">
        <v>6</v>
      </c>
      <c r="G1038" s="8">
        <f t="shared" si="103"/>
        <v>120</v>
      </c>
      <c r="H1038">
        <f t="shared" si="104"/>
        <v>4</v>
      </c>
      <c r="I1038" t="str">
        <f t="shared" si="102"/>
        <v>Wednesday</v>
      </c>
      <c r="L1038">
        <f t="shared" si="105"/>
        <v>0</v>
      </c>
    </row>
    <row r="1039" spans="1:12" x14ac:dyDescent="0.25">
      <c r="A1039">
        <v>192395073</v>
      </c>
      <c r="B1039" s="1">
        <v>44951</v>
      </c>
      <c r="C1039" s="1">
        <v>45022</v>
      </c>
      <c r="D1039" t="s">
        <v>7</v>
      </c>
      <c r="E1039">
        <v>39</v>
      </c>
      <c r="F1039" t="s">
        <v>6</v>
      </c>
      <c r="G1039" s="8">
        <f t="shared" si="103"/>
        <v>71</v>
      </c>
      <c r="H1039">
        <f t="shared" si="104"/>
        <v>4</v>
      </c>
      <c r="I1039" t="str">
        <f t="shared" si="102"/>
        <v>Wednesday</v>
      </c>
      <c r="L1039">
        <f t="shared" si="105"/>
        <v>0</v>
      </c>
    </row>
    <row r="1040" spans="1:12" x14ac:dyDescent="0.25">
      <c r="A1040">
        <v>152690237</v>
      </c>
      <c r="B1040" s="1">
        <v>44951</v>
      </c>
      <c r="C1040" s="1">
        <v>45007</v>
      </c>
      <c r="D1040" t="s">
        <v>7</v>
      </c>
      <c r="E1040">
        <v>39</v>
      </c>
      <c r="F1040" t="s">
        <v>6</v>
      </c>
      <c r="G1040" s="8">
        <f t="shared" si="103"/>
        <v>56</v>
      </c>
      <c r="H1040">
        <f t="shared" si="104"/>
        <v>4</v>
      </c>
      <c r="I1040" t="str">
        <f t="shared" si="102"/>
        <v>Wednesday</v>
      </c>
      <c r="L1040">
        <f t="shared" si="105"/>
        <v>0</v>
      </c>
    </row>
    <row r="1041" spans="1:12" x14ac:dyDescent="0.25">
      <c r="A1041">
        <v>151572886</v>
      </c>
      <c r="B1041" s="1">
        <v>44951</v>
      </c>
      <c r="C1041" s="1">
        <v>44997</v>
      </c>
      <c r="D1041" t="s">
        <v>7</v>
      </c>
      <c r="E1041">
        <v>39</v>
      </c>
      <c r="F1041" t="s">
        <v>6</v>
      </c>
      <c r="G1041" s="8">
        <f t="shared" si="103"/>
        <v>46</v>
      </c>
      <c r="H1041">
        <f t="shared" si="104"/>
        <v>4</v>
      </c>
      <c r="I1041" t="str">
        <f t="shared" si="102"/>
        <v>Wednesday</v>
      </c>
      <c r="L1041">
        <f t="shared" si="105"/>
        <v>0</v>
      </c>
    </row>
    <row r="1042" spans="1:12" x14ac:dyDescent="0.25">
      <c r="A1042">
        <v>193869975</v>
      </c>
      <c r="B1042" s="1">
        <v>44951</v>
      </c>
      <c r="C1042" s="1">
        <v>45000</v>
      </c>
      <c r="D1042" t="s">
        <v>7</v>
      </c>
      <c r="E1042">
        <v>39</v>
      </c>
      <c r="F1042" t="s">
        <v>6</v>
      </c>
      <c r="G1042" s="8">
        <f t="shared" si="103"/>
        <v>49</v>
      </c>
      <c r="H1042">
        <f t="shared" si="104"/>
        <v>4</v>
      </c>
      <c r="I1042" t="str">
        <f t="shared" si="102"/>
        <v>Wednesday</v>
      </c>
      <c r="L1042">
        <f t="shared" si="105"/>
        <v>0</v>
      </c>
    </row>
    <row r="1043" spans="1:12" x14ac:dyDescent="0.25">
      <c r="A1043">
        <v>175077871</v>
      </c>
      <c r="B1043" s="1">
        <v>44951</v>
      </c>
      <c r="C1043" s="1">
        <v>45000</v>
      </c>
      <c r="D1043" t="s">
        <v>7</v>
      </c>
      <c r="E1043">
        <v>39</v>
      </c>
      <c r="F1043" t="s">
        <v>6</v>
      </c>
      <c r="G1043" s="8">
        <f t="shared" si="103"/>
        <v>49</v>
      </c>
      <c r="H1043">
        <f t="shared" si="104"/>
        <v>4</v>
      </c>
      <c r="I1043" t="str">
        <f t="shared" si="102"/>
        <v>Wednesday</v>
      </c>
      <c r="L1043">
        <f t="shared" si="105"/>
        <v>0</v>
      </c>
    </row>
    <row r="1044" spans="1:12" x14ac:dyDescent="0.25">
      <c r="A1044">
        <v>193229869</v>
      </c>
      <c r="B1044" s="1">
        <v>44951</v>
      </c>
      <c r="C1044" s="1">
        <v>44986</v>
      </c>
      <c r="D1044" t="s">
        <v>7</v>
      </c>
      <c r="E1044">
        <v>39</v>
      </c>
      <c r="F1044" t="s">
        <v>6</v>
      </c>
      <c r="G1044" s="8">
        <f t="shared" si="103"/>
        <v>35</v>
      </c>
      <c r="H1044">
        <f t="shared" si="104"/>
        <v>4</v>
      </c>
      <c r="I1044" t="str">
        <f t="shared" si="102"/>
        <v>Wednesday</v>
      </c>
      <c r="L1044">
        <f t="shared" si="105"/>
        <v>0</v>
      </c>
    </row>
    <row r="1045" spans="1:12" x14ac:dyDescent="0.25">
      <c r="A1045">
        <v>189257579</v>
      </c>
      <c r="B1045" s="1">
        <v>44952</v>
      </c>
      <c r="C1045" s="1">
        <f t="shared" ref="C1045:C1050" ca="1" si="107">TODAY()</f>
        <v>45938</v>
      </c>
      <c r="D1045" t="s">
        <v>7</v>
      </c>
      <c r="E1045">
        <v>39</v>
      </c>
      <c r="F1045" t="s">
        <v>6</v>
      </c>
      <c r="G1045" s="8">
        <f t="shared" ca="1" si="103"/>
        <v>986</v>
      </c>
      <c r="H1045">
        <f t="shared" si="104"/>
        <v>5</v>
      </c>
      <c r="I1045" t="str">
        <f t="shared" si="102"/>
        <v>Thursday</v>
      </c>
      <c r="L1045">
        <f t="shared" ca="1" si="105"/>
        <v>0</v>
      </c>
    </row>
    <row r="1046" spans="1:12" x14ac:dyDescent="0.25">
      <c r="A1046">
        <v>184333409</v>
      </c>
      <c r="B1046" s="1">
        <v>44952</v>
      </c>
      <c r="C1046" s="1">
        <f t="shared" ca="1" si="107"/>
        <v>45938</v>
      </c>
      <c r="D1046" t="s">
        <v>7</v>
      </c>
      <c r="E1046">
        <v>39</v>
      </c>
      <c r="F1046" t="s">
        <v>6</v>
      </c>
      <c r="G1046" s="8">
        <f t="shared" ca="1" si="103"/>
        <v>986</v>
      </c>
      <c r="H1046">
        <f t="shared" si="104"/>
        <v>5</v>
      </c>
      <c r="I1046" t="str">
        <f t="shared" si="102"/>
        <v>Thursday</v>
      </c>
      <c r="L1046">
        <f t="shared" ca="1" si="105"/>
        <v>0</v>
      </c>
    </row>
    <row r="1047" spans="1:12" x14ac:dyDescent="0.25">
      <c r="A1047">
        <v>144719454</v>
      </c>
      <c r="B1047" s="1">
        <v>44952</v>
      </c>
      <c r="C1047" s="1">
        <f t="shared" ca="1" si="107"/>
        <v>45938</v>
      </c>
      <c r="D1047" t="s">
        <v>7</v>
      </c>
      <c r="E1047">
        <v>39</v>
      </c>
      <c r="F1047" t="s">
        <v>6</v>
      </c>
      <c r="G1047" s="8">
        <f t="shared" ca="1" si="103"/>
        <v>986</v>
      </c>
      <c r="H1047">
        <f t="shared" si="104"/>
        <v>5</v>
      </c>
      <c r="I1047" t="str">
        <f t="shared" si="102"/>
        <v>Thursday</v>
      </c>
      <c r="L1047">
        <f t="shared" ca="1" si="105"/>
        <v>0</v>
      </c>
    </row>
    <row r="1048" spans="1:12" x14ac:dyDescent="0.25">
      <c r="A1048">
        <v>195759475</v>
      </c>
      <c r="B1048" s="1">
        <v>44952</v>
      </c>
      <c r="C1048" s="1">
        <f t="shared" ca="1" si="107"/>
        <v>45938</v>
      </c>
      <c r="D1048" t="s">
        <v>7</v>
      </c>
      <c r="E1048">
        <v>39</v>
      </c>
      <c r="F1048" t="s">
        <v>6</v>
      </c>
      <c r="G1048" s="8">
        <f t="shared" ca="1" si="103"/>
        <v>986</v>
      </c>
      <c r="H1048">
        <f t="shared" si="104"/>
        <v>5</v>
      </c>
      <c r="I1048" t="str">
        <f t="shared" si="102"/>
        <v>Thursday</v>
      </c>
      <c r="L1048">
        <f t="shared" ca="1" si="105"/>
        <v>0</v>
      </c>
    </row>
    <row r="1049" spans="1:12" x14ac:dyDescent="0.25">
      <c r="A1049">
        <v>167602454</v>
      </c>
      <c r="B1049" s="1">
        <v>44952</v>
      </c>
      <c r="C1049" s="1">
        <f t="shared" ca="1" si="107"/>
        <v>45938</v>
      </c>
      <c r="D1049" t="s">
        <v>7</v>
      </c>
      <c r="E1049">
        <v>39</v>
      </c>
      <c r="F1049" t="s">
        <v>6</v>
      </c>
      <c r="G1049" s="8">
        <f t="shared" ca="1" si="103"/>
        <v>986</v>
      </c>
      <c r="H1049">
        <f t="shared" si="104"/>
        <v>5</v>
      </c>
      <c r="I1049" t="str">
        <f t="shared" si="102"/>
        <v>Thursday</v>
      </c>
      <c r="L1049">
        <f t="shared" ca="1" si="105"/>
        <v>0</v>
      </c>
    </row>
    <row r="1050" spans="1:12" x14ac:dyDescent="0.25">
      <c r="A1050">
        <v>148838269</v>
      </c>
      <c r="B1050" s="1">
        <v>44952</v>
      </c>
      <c r="C1050" s="1">
        <f t="shared" ca="1" si="107"/>
        <v>45938</v>
      </c>
      <c r="D1050" t="s">
        <v>7</v>
      </c>
      <c r="E1050">
        <v>39</v>
      </c>
      <c r="F1050" t="s">
        <v>6</v>
      </c>
      <c r="G1050" s="8">
        <f t="shared" ca="1" si="103"/>
        <v>986</v>
      </c>
      <c r="H1050">
        <f t="shared" si="104"/>
        <v>5</v>
      </c>
      <c r="I1050" t="str">
        <f t="shared" si="102"/>
        <v>Thursday</v>
      </c>
      <c r="L1050">
        <f t="shared" ca="1" si="105"/>
        <v>0</v>
      </c>
    </row>
    <row r="1051" spans="1:12" x14ac:dyDescent="0.25">
      <c r="A1051">
        <v>195938394</v>
      </c>
      <c r="B1051" s="1">
        <v>44952</v>
      </c>
      <c r="C1051" s="1">
        <v>45100</v>
      </c>
      <c r="D1051" t="s">
        <v>7</v>
      </c>
      <c r="E1051">
        <v>39</v>
      </c>
      <c r="F1051" t="s">
        <v>6</v>
      </c>
      <c r="G1051" s="8">
        <f t="shared" si="103"/>
        <v>148</v>
      </c>
      <c r="H1051">
        <f t="shared" si="104"/>
        <v>5</v>
      </c>
      <c r="I1051" t="str">
        <f t="shared" si="102"/>
        <v>Thursday</v>
      </c>
      <c r="L1051">
        <f t="shared" si="105"/>
        <v>0</v>
      </c>
    </row>
    <row r="1052" spans="1:12" x14ac:dyDescent="0.25">
      <c r="A1052">
        <v>194091086</v>
      </c>
      <c r="B1052" s="1">
        <v>44952</v>
      </c>
      <c r="C1052" s="1">
        <v>45020</v>
      </c>
      <c r="D1052" t="s">
        <v>7</v>
      </c>
      <c r="E1052">
        <v>39</v>
      </c>
      <c r="F1052" t="s">
        <v>6</v>
      </c>
      <c r="G1052" s="8">
        <f t="shared" si="103"/>
        <v>68</v>
      </c>
      <c r="H1052">
        <f t="shared" si="104"/>
        <v>5</v>
      </c>
      <c r="I1052" t="str">
        <f t="shared" si="102"/>
        <v>Thursday</v>
      </c>
      <c r="L1052">
        <f t="shared" si="105"/>
        <v>0</v>
      </c>
    </row>
    <row r="1053" spans="1:12" x14ac:dyDescent="0.25">
      <c r="A1053">
        <v>181456580</v>
      </c>
      <c r="B1053" s="1">
        <v>44952</v>
      </c>
      <c r="C1053" s="1">
        <v>45039</v>
      </c>
      <c r="D1053" t="s">
        <v>7</v>
      </c>
      <c r="E1053">
        <v>39</v>
      </c>
      <c r="F1053" t="s">
        <v>6</v>
      </c>
      <c r="G1053" s="8">
        <f t="shared" si="103"/>
        <v>87</v>
      </c>
      <c r="H1053">
        <f t="shared" si="104"/>
        <v>5</v>
      </c>
      <c r="I1053" t="str">
        <f t="shared" si="102"/>
        <v>Thursday</v>
      </c>
      <c r="L1053">
        <f t="shared" si="105"/>
        <v>0</v>
      </c>
    </row>
    <row r="1054" spans="1:12" x14ac:dyDescent="0.25">
      <c r="A1054">
        <v>169302100</v>
      </c>
      <c r="B1054" s="1">
        <v>44952</v>
      </c>
      <c r="C1054" s="1">
        <v>45015</v>
      </c>
      <c r="D1054" t="s">
        <v>7</v>
      </c>
      <c r="E1054">
        <v>39</v>
      </c>
      <c r="F1054" t="s">
        <v>6</v>
      </c>
      <c r="G1054" s="8">
        <f t="shared" si="103"/>
        <v>63</v>
      </c>
      <c r="H1054">
        <f t="shared" si="104"/>
        <v>5</v>
      </c>
      <c r="I1054" t="str">
        <f t="shared" si="102"/>
        <v>Thursday</v>
      </c>
      <c r="L1054">
        <f t="shared" si="105"/>
        <v>0</v>
      </c>
    </row>
    <row r="1055" spans="1:12" x14ac:dyDescent="0.25">
      <c r="A1055">
        <v>180997025</v>
      </c>
      <c r="B1055" s="1">
        <v>44952</v>
      </c>
      <c r="C1055" s="1">
        <v>44990</v>
      </c>
      <c r="D1055" t="s">
        <v>7</v>
      </c>
      <c r="E1055">
        <v>39</v>
      </c>
      <c r="F1055" t="s">
        <v>6</v>
      </c>
      <c r="G1055" s="8">
        <f t="shared" si="103"/>
        <v>38</v>
      </c>
      <c r="H1055">
        <f t="shared" si="104"/>
        <v>5</v>
      </c>
      <c r="I1055" t="str">
        <f t="shared" si="102"/>
        <v>Thursday</v>
      </c>
      <c r="L1055">
        <f t="shared" si="105"/>
        <v>0</v>
      </c>
    </row>
    <row r="1056" spans="1:12" x14ac:dyDescent="0.25">
      <c r="A1056">
        <v>196091620</v>
      </c>
      <c r="B1056" s="1">
        <v>44952</v>
      </c>
      <c r="C1056" s="1">
        <v>44959</v>
      </c>
      <c r="D1056" t="s">
        <v>7</v>
      </c>
      <c r="E1056">
        <v>39</v>
      </c>
      <c r="F1056" t="s">
        <v>6</v>
      </c>
      <c r="G1056" s="8">
        <f t="shared" si="103"/>
        <v>7</v>
      </c>
      <c r="H1056">
        <f t="shared" si="104"/>
        <v>5</v>
      </c>
      <c r="I1056" t="str">
        <f t="shared" si="102"/>
        <v>Thursday</v>
      </c>
      <c r="L1056">
        <f t="shared" si="105"/>
        <v>0</v>
      </c>
    </row>
    <row r="1057" spans="1:12" x14ac:dyDescent="0.25">
      <c r="A1057">
        <v>189277140</v>
      </c>
      <c r="B1057" s="1">
        <v>44952</v>
      </c>
      <c r="C1057" s="1">
        <v>44980</v>
      </c>
      <c r="D1057" t="s">
        <v>7</v>
      </c>
      <c r="E1057">
        <v>39</v>
      </c>
      <c r="F1057" t="s">
        <v>6</v>
      </c>
      <c r="G1057" s="8">
        <f t="shared" si="103"/>
        <v>28</v>
      </c>
      <c r="H1057">
        <f t="shared" si="104"/>
        <v>5</v>
      </c>
      <c r="I1057" t="str">
        <f t="shared" si="102"/>
        <v>Thursday</v>
      </c>
      <c r="L1057">
        <f t="shared" si="105"/>
        <v>0</v>
      </c>
    </row>
    <row r="1058" spans="1:12" x14ac:dyDescent="0.25">
      <c r="A1058">
        <v>195279352</v>
      </c>
      <c r="B1058" s="1">
        <v>44952</v>
      </c>
      <c r="C1058" s="1">
        <v>44980</v>
      </c>
      <c r="D1058" t="s">
        <v>7</v>
      </c>
      <c r="E1058">
        <v>39</v>
      </c>
      <c r="F1058" t="s">
        <v>6</v>
      </c>
      <c r="G1058" s="8">
        <f t="shared" si="103"/>
        <v>28</v>
      </c>
      <c r="H1058">
        <f t="shared" si="104"/>
        <v>5</v>
      </c>
      <c r="I1058" t="str">
        <f t="shared" si="102"/>
        <v>Thursday</v>
      </c>
      <c r="L1058">
        <f t="shared" si="105"/>
        <v>0</v>
      </c>
    </row>
    <row r="1059" spans="1:12" x14ac:dyDescent="0.25">
      <c r="A1059">
        <v>191113428</v>
      </c>
      <c r="B1059" s="1">
        <v>44952</v>
      </c>
      <c r="C1059" s="1">
        <v>44952</v>
      </c>
      <c r="D1059" t="s">
        <v>7</v>
      </c>
      <c r="E1059">
        <v>39</v>
      </c>
      <c r="F1059" t="s">
        <v>6</v>
      </c>
      <c r="G1059" s="8">
        <f t="shared" si="103"/>
        <v>0</v>
      </c>
      <c r="H1059">
        <f t="shared" si="104"/>
        <v>5</v>
      </c>
      <c r="I1059" t="str">
        <f t="shared" si="102"/>
        <v>Thursday</v>
      </c>
      <c r="L1059">
        <f t="shared" si="105"/>
        <v>1</v>
      </c>
    </row>
    <row r="1060" spans="1:12" x14ac:dyDescent="0.25">
      <c r="A1060">
        <v>193802414</v>
      </c>
      <c r="B1060" s="1">
        <v>44952</v>
      </c>
      <c r="C1060" s="1">
        <v>45104</v>
      </c>
      <c r="D1060" t="s">
        <v>7</v>
      </c>
      <c r="E1060">
        <v>39</v>
      </c>
      <c r="F1060" t="s">
        <v>6</v>
      </c>
      <c r="G1060" s="8">
        <f t="shared" si="103"/>
        <v>152</v>
      </c>
      <c r="H1060">
        <f t="shared" si="104"/>
        <v>5</v>
      </c>
      <c r="I1060" t="str">
        <f t="shared" si="102"/>
        <v>Thursday</v>
      </c>
      <c r="L1060">
        <f t="shared" si="105"/>
        <v>0</v>
      </c>
    </row>
    <row r="1061" spans="1:12" x14ac:dyDescent="0.25">
      <c r="A1061">
        <v>115735280</v>
      </c>
      <c r="B1061" s="1">
        <v>44953</v>
      </c>
      <c r="C1061" s="1">
        <f t="shared" ref="C1061:C1065" ca="1" si="108">TODAY()</f>
        <v>45938</v>
      </c>
      <c r="D1061" t="s">
        <v>7</v>
      </c>
      <c r="E1061">
        <v>39</v>
      </c>
      <c r="F1061" t="s">
        <v>6</v>
      </c>
      <c r="G1061" s="8">
        <f t="shared" ca="1" si="103"/>
        <v>985</v>
      </c>
      <c r="H1061">
        <f t="shared" si="104"/>
        <v>6</v>
      </c>
      <c r="I1061" t="str">
        <f t="shared" si="102"/>
        <v>Friday</v>
      </c>
      <c r="L1061">
        <f t="shared" ca="1" si="105"/>
        <v>0</v>
      </c>
    </row>
    <row r="1062" spans="1:12" x14ac:dyDescent="0.25">
      <c r="A1062">
        <v>153026024</v>
      </c>
      <c r="B1062" s="1">
        <v>44953</v>
      </c>
      <c r="C1062" s="1">
        <f t="shared" ca="1" si="108"/>
        <v>45938</v>
      </c>
      <c r="D1062" t="s">
        <v>7</v>
      </c>
      <c r="E1062">
        <v>39</v>
      </c>
      <c r="F1062" t="s">
        <v>6</v>
      </c>
      <c r="G1062" s="8">
        <f t="shared" ca="1" si="103"/>
        <v>985</v>
      </c>
      <c r="H1062">
        <f t="shared" si="104"/>
        <v>6</v>
      </c>
      <c r="I1062" t="str">
        <f t="shared" si="102"/>
        <v>Friday</v>
      </c>
      <c r="L1062">
        <f t="shared" ca="1" si="105"/>
        <v>0</v>
      </c>
    </row>
    <row r="1063" spans="1:12" x14ac:dyDescent="0.25">
      <c r="A1063">
        <v>196069557</v>
      </c>
      <c r="B1063" s="1">
        <v>44953</v>
      </c>
      <c r="C1063" s="1">
        <f t="shared" ca="1" si="108"/>
        <v>45938</v>
      </c>
      <c r="D1063" t="s">
        <v>7</v>
      </c>
      <c r="E1063">
        <v>39</v>
      </c>
      <c r="F1063" t="s">
        <v>6</v>
      </c>
      <c r="G1063" s="8">
        <f t="shared" ca="1" si="103"/>
        <v>985</v>
      </c>
      <c r="H1063">
        <f t="shared" si="104"/>
        <v>6</v>
      </c>
      <c r="I1063" t="str">
        <f t="shared" si="102"/>
        <v>Friday</v>
      </c>
      <c r="L1063">
        <f t="shared" ca="1" si="105"/>
        <v>0</v>
      </c>
    </row>
    <row r="1064" spans="1:12" x14ac:dyDescent="0.25">
      <c r="A1064">
        <v>193666586</v>
      </c>
      <c r="B1064" s="1">
        <v>44953</v>
      </c>
      <c r="C1064" s="1">
        <f t="shared" ca="1" si="108"/>
        <v>45938</v>
      </c>
      <c r="D1064" t="s">
        <v>7</v>
      </c>
      <c r="E1064">
        <v>39</v>
      </c>
      <c r="F1064" t="s">
        <v>6</v>
      </c>
      <c r="G1064" s="8">
        <f t="shared" ca="1" si="103"/>
        <v>985</v>
      </c>
      <c r="H1064">
        <f t="shared" si="104"/>
        <v>6</v>
      </c>
      <c r="I1064" t="str">
        <f t="shared" si="102"/>
        <v>Friday</v>
      </c>
      <c r="L1064">
        <f t="shared" ca="1" si="105"/>
        <v>0</v>
      </c>
    </row>
    <row r="1065" spans="1:12" x14ac:dyDescent="0.25">
      <c r="A1065">
        <v>192550222</v>
      </c>
      <c r="B1065" s="1">
        <v>44953</v>
      </c>
      <c r="C1065" s="1">
        <f t="shared" ca="1" si="108"/>
        <v>45938</v>
      </c>
      <c r="D1065" t="s">
        <v>7</v>
      </c>
      <c r="E1065">
        <v>39</v>
      </c>
      <c r="F1065" t="s">
        <v>6</v>
      </c>
      <c r="G1065" s="8">
        <f t="shared" ca="1" si="103"/>
        <v>985</v>
      </c>
      <c r="H1065">
        <f t="shared" si="104"/>
        <v>6</v>
      </c>
      <c r="I1065" t="str">
        <f t="shared" si="102"/>
        <v>Friday</v>
      </c>
      <c r="L1065">
        <f t="shared" ca="1" si="105"/>
        <v>0</v>
      </c>
    </row>
    <row r="1066" spans="1:12" x14ac:dyDescent="0.25">
      <c r="A1066">
        <v>196022560</v>
      </c>
      <c r="B1066" s="1">
        <v>44953</v>
      </c>
      <c r="C1066" s="1">
        <v>45174</v>
      </c>
      <c r="D1066" t="s">
        <v>7</v>
      </c>
      <c r="E1066">
        <v>39</v>
      </c>
      <c r="F1066" t="s">
        <v>6</v>
      </c>
      <c r="G1066" s="8">
        <f t="shared" si="103"/>
        <v>221</v>
      </c>
      <c r="H1066">
        <f t="shared" si="104"/>
        <v>6</v>
      </c>
      <c r="I1066" t="str">
        <f t="shared" si="102"/>
        <v>Friday</v>
      </c>
      <c r="L1066">
        <f t="shared" si="105"/>
        <v>0</v>
      </c>
    </row>
    <row r="1067" spans="1:12" x14ac:dyDescent="0.25">
      <c r="A1067">
        <v>196715854</v>
      </c>
      <c r="B1067" s="1">
        <v>44953</v>
      </c>
      <c r="C1067" s="1">
        <v>44954</v>
      </c>
      <c r="D1067" t="s">
        <v>8</v>
      </c>
      <c r="E1067">
        <v>39</v>
      </c>
      <c r="F1067" t="s">
        <v>6</v>
      </c>
      <c r="G1067" s="8">
        <f t="shared" si="103"/>
        <v>1</v>
      </c>
      <c r="H1067">
        <f t="shared" si="104"/>
        <v>6</v>
      </c>
      <c r="I1067" t="str">
        <f t="shared" si="102"/>
        <v>Friday</v>
      </c>
      <c r="L1067">
        <f t="shared" si="105"/>
        <v>1</v>
      </c>
    </row>
    <row r="1068" spans="1:12" x14ac:dyDescent="0.25">
      <c r="A1068">
        <v>196969212</v>
      </c>
      <c r="B1068" s="1">
        <v>44953</v>
      </c>
      <c r="C1068" s="1">
        <v>45040</v>
      </c>
      <c r="D1068" t="s">
        <v>7</v>
      </c>
      <c r="E1068">
        <v>39</v>
      </c>
      <c r="F1068" t="s">
        <v>6</v>
      </c>
      <c r="G1068" s="8">
        <f t="shared" si="103"/>
        <v>87</v>
      </c>
      <c r="H1068">
        <f t="shared" si="104"/>
        <v>6</v>
      </c>
      <c r="I1068" t="str">
        <f t="shared" si="102"/>
        <v>Friday</v>
      </c>
      <c r="L1068">
        <f t="shared" si="105"/>
        <v>0</v>
      </c>
    </row>
    <row r="1069" spans="1:12" x14ac:dyDescent="0.25">
      <c r="A1069">
        <v>196308725</v>
      </c>
      <c r="B1069" s="1">
        <v>44953</v>
      </c>
      <c r="C1069" s="1">
        <v>45016</v>
      </c>
      <c r="D1069" t="s">
        <v>7</v>
      </c>
      <c r="E1069">
        <v>39</v>
      </c>
      <c r="F1069" t="s">
        <v>6</v>
      </c>
      <c r="G1069" s="8">
        <f t="shared" si="103"/>
        <v>63</v>
      </c>
      <c r="H1069">
        <f t="shared" si="104"/>
        <v>6</v>
      </c>
      <c r="I1069" t="str">
        <f t="shared" si="102"/>
        <v>Friday</v>
      </c>
      <c r="L1069">
        <f t="shared" si="105"/>
        <v>0</v>
      </c>
    </row>
    <row r="1070" spans="1:12" x14ac:dyDescent="0.25">
      <c r="A1070">
        <v>196245690</v>
      </c>
      <c r="B1070" s="1">
        <v>44953</v>
      </c>
      <c r="C1070" s="1">
        <v>45012</v>
      </c>
      <c r="D1070" t="s">
        <v>7</v>
      </c>
      <c r="E1070">
        <v>39</v>
      </c>
      <c r="F1070" t="s">
        <v>6</v>
      </c>
      <c r="G1070" s="8">
        <f t="shared" si="103"/>
        <v>59</v>
      </c>
      <c r="H1070">
        <f t="shared" si="104"/>
        <v>6</v>
      </c>
      <c r="I1070" t="str">
        <f t="shared" si="102"/>
        <v>Friday</v>
      </c>
      <c r="L1070">
        <f t="shared" si="105"/>
        <v>0</v>
      </c>
    </row>
    <row r="1071" spans="1:12" x14ac:dyDescent="0.25">
      <c r="A1071">
        <v>195988242</v>
      </c>
      <c r="B1071" s="1">
        <v>44953</v>
      </c>
      <c r="C1071" s="1">
        <v>44991</v>
      </c>
      <c r="D1071" t="s">
        <v>7</v>
      </c>
      <c r="E1071">
        <v>39</v>
      </c>
      <c r="F1071" t="s">
        <v>6</v>
      </c>
      <c r="G1071" s="8">
        <f t="shared" si="103"/>
        <v>38</v>
      </c>
      <c r="H1071">
        <f t="shared" si="104"/>
        <v>6</v>
      </c>
      <c r="I1071" t="str">
        <f t="shared" si="102"/>
        <v>Friday</v>
      </c>
      <c r="L1071">
        <f t="shared" si="105"/>
        <v>0</v>
      </c>
    </row>
    <row r="1072" spans="1:12" x14ac:dyDescent="0.25">
      <c r="A1072">
        <v>192068317</v>
      </c>
      <c r="B1072" s="1">
        <v>44953</v>
      </c>
      <c r="C1072" s="1">
        <v>45013</v>
      </c>
      <c r="D1072" t="s">
        <v>7</v>
      </c>
      <c r="E1072">
        <v>39</v>
      </c>
      <c r="F1072" t="s">
        <v>6</v>
      </c>
      <c r="G1072" s="8">
        <f t="shared" si="103"/>
        <v>60</v>
      </c>
      <c r="H1072">
        <f t="shared" si="104"/>
        <v>6</v>
      </c>
      <c r="I1072" t="str">
        <f t="shared" si="102"/>
        <v>Friday</v>
      </c>
      <c r="L1072">
        <f t="shared" si="105"/>
        <v>0</v>
      </c>
    </row>
    <row r="1073" spans="1:12" x14ac:dyDescent="0.25">
      <c r="A1073">
        <v>195039185</v>
      </c>
      <c r="B1073" s="1">
        <v>44953</v>
      </c>
      <c r="C1073" s="1">
        <v>44980</v>
      </c>
      <c r="D1073" t="s">
        <v>7</v>
      </c>
      <c r="E1073">
        <v>39</v>
      </c>
      <c r="F1073" t="s">
        <v>6</v>
      </c>
      <c r="G1073" s="8">
        <f t="shared" si="103"/>
        <v>27</v>
      </c>
      <c r="H1073">
        <f t="shared" si="104"/>
        <v>6</v>
      </c>
      <c r="I1073" t="str">
        <f t="shared" si="102"/>
        <v>Friday</v>
      </c>
      <c r="L1073">
        <f t="shared" si="105"/>
        <v>0</v>
      </c>
    </row>
    <row r="1074" spans="1:12" x14ac:dyDescent="0.25">
      <c r="A1074">
        <v>188563149</v>
      </c>
      <c r="B1074" s="1">
        <v>44953</v>
      </c>
      <c r="C1074" s="1">
        <v>45154</v>
      </c>
      <c r="D1074" t="s">
        <v>7</v>
      </c>
      <c r="E1074">
        <v>39</v>
      </c>
      <c r="F1074" t="s">
        <v>6</v>
      </c>
      <c r="G1074" s="8">
        <f t="shared" si="103"/>
        <v>201</v>
      </c>
      <c r="H1074">
        <f t="shared" si="104"/>
        <v>6</v>
      </c>
      <c r="I1074" t="str">
        <f t="shared" si="102"/>
        <v>Friday</v>
      </c>
      <c r="L1074">
        <f t="shared" si="105"/>
        <v>0</v>
      </c>
    </row>
    <row r="1075" spans="1:12" x14ac:dyDescent="0.25">
      <c r="A1075">
        <v>188748439</v>
      </c>
      <c r="B1075" s="1">
        <v>44953</v>
      </c>
      <c r="C1075" s="1">
        <v>45157</v>
      </c>
      <c r="D1075" t="s">
        <v>7</v>
      </c>
      <c r="E1075">
        <v>39</v>
      </c>
      <c r="F1075" t="s">
        <v>6</v>
      </c>
      <c r="G1075" s="8">
        <f t="shared" si="103"/>
        <v>204</v>
      </c>
      <c r="H1075">
        <f t="shared" si="104"/>
        <v>6</v>
      </c>
      <c r="I1075" t="str">
        <f t="shared" si="102"/>
        <v>Friday</v>
      </c>
      <c r="L1075">
        <f t="shared" si="105"/>
        <v>0</v>
      </c>
    </row>
    <row r="1076" spans="1:12" x14ac:dyDescent="0.25">
      <c r="A1076">
        <v>160873880</v>
      </c>
      <c r="B1076" s="1">
        <v>44954</v>
      </c>
      <c r="C1076" s="1">
        <f ca="1">TODAY()</f>
        <v>45938</v>
      </c>
      <c r="D1076" t="s">
        <v>7</v>
      </c>
      <c r="E1076">
        <v>39</v>
      </c>
      <c r="F1076" t="s">
        <v>6</v>
      </c>
      <c r="G1076" s="8">
        <f t="shared" ca="1" si="103"/>
        <v>984</v>
      </c>
      <c r="H1076">
        <f t="shared" si="104"/>
        <v>7</v>
      </c>
      <c r="I1076" t="str">
        <f t="shared" si="102"/>
        <v>Saturday</v>
      </c>
      <c r="L1076">
        <f t="shared" ca="1" si="105"/>
        <v>0</v>
      </c>
    </row>
    <row r="1077" spans="1:12" x14ac:dyDescent="0.25">
      <c r="A1077">
        <v>160379194</v>
      </c>
      <c r="B1077" s="1">
        <v>44954</v>
      </c>
      <c r="C1077" s="1">
        <v>44954</v>
      </c>
      <c r="D1077" t="s">
        <v>7</v>
      </c>
      <c r="E1077">
        <v>39</v>
      </c>
      <c r="F1077" t="s">
        <v>6</v>
      </c>
      <c r="G1077" s="8">
        <f t="shared" si="103"/>
        <v>0</v>
      </c>
      <c r="H1077">
        <f t="shared" si="104"/>
        <v>7</v>
      </c>
      <c r="I1077" t="str">
        <f t="shared" si="102"/>
        <v>Saturday</v>
      </c>
      <c r="L1077">
        <f t="shared" si="105"/>
        <v>1</v>
      </c>
    </row>
    <row r="1078" spans="1:12" x14ac:dyDescent="0.25">
      <c r="A1078">
        <v>194169961</v>
      </c>
      <c r="B1078" s="1">
        <v>44954</v>
      </c>
      <c r="C1078" s="1">
        <v>45009</v>
      </c>
      <c r="D1078" t="s">
        <v>7</v>
      </c>
      <c r="E1078">
        <v>39</v>
      </c>
      <c r="F1078" t="s">
        <v>6</v>
      </c>
      <c r="G1078" s="8">
        <f t="shared" si="103"/>
        <v>55</v>
      </c>
      <c r="H1078">
        <f t="shared" si="104"/>
        <v>7</v>
      </c>
      <c r="I1078" t="str">
        <f t="shared" si="102"/>
        <v>Saturday</v>
      </c>
      <c r="L1078">
        <f t="shared" si="105"/>
        <v>0</v>
      </c>
    </row>
    <row r="1079" spans="1:12" x14ac:dyDescent="0.25">
      <c r="A1079">
        <v>184209232</v>
      </c>
      <c r="B1079" s="1">
        <v>44954</v>
      </c>
      <c r="C1079" s="1">
        <v>44992</v>
      </c>
      <c r="D1079" t="s">
        <v>7</v>
      </c>
      <c r="E1079">
        <v>39</v>
      </c>
      <c r="F1079" t="s">
        <v>6</v>
      </c>
      <c r="G1079" s="8">
        <f t="shared" si="103"/>
        <v>38</v>
      </c>
      <c r="H1079">
        <f t="shared" si="104"/>
        <v>7</v>
      </c>
      <c r="I1079" t="str">
        <f t="shared" si="102"/>
        <v>Saturday</v>
      </c>
      <c r="L1079">
        <f t="shared" si="105"/>
        <v>0</v>
      </c>
    </row>
    <row r="1080" spans="1:12" x14ac:dyDescent="0.25">
      <c r="A1080">
        <v>195198228</v>
      </c>
      <c r="B1080" s="1">
        <v>44954</v>
      </c>
      <c r="C1080" s="1">
        <v>44974</v>
      </c>
      <c r="D1080" t="s">
        <v>7</v>
      </c>
      <c r="E1080">
        <v>39</v>
      </c>
      <c r="F1080" t="s">
        <v>6</v>
      </c>
      <c r="G1080" s="8">
        <f t="shared" si="103"/>
        <v>20</v>
      </c>
      <c r="H1080">
        <f t="shared" si="104"/>
        <v>7</v>
      </c>
      <c r="I1080" t="str">
        <f t="shared" si="102"/>
        <v>Saturday</v>
      </c>
      <c r="L1080">
        <f t="shared" si="105"/>
        <v>0</v>
      </c>
    </row>
    <row r="1081" spans="1:12" x14ac:dyDescent="0.25">
      <c r="A1081">
        <v>153657568</v>
      </c>
      <c r="B1081" s="1">
        <v>44955</v>
      </c>
      <c r="C1081" s="1">
        <f ca="1">TODAY()</f>
        <v>45938</v>
      </c>
      <c r="D1081" t="s">
        <v>7</v>
      </c>
      <c r="E1081">
        <v>39</v>
      </c>
      <c r="F1081" t="s">
        <v>6</v>
      </c>
      <c r="G1081" s="8">
        <f t="shared" ca="1" si="103"/>
        <v>983</v>
      </c>
      <c r="H1081">
        <f t="shared" si="104"/>
        <v>1</v>
      </c>
      <c r="I1081" t="str">
        <f t="shared" si="102"/>
        <v>Sunday</v>
      </c>
      <c r="L1081">
        <f t="shared" ca="1" si="105"/>
        <v>0</v>
      </c>
    </row>
    <row r="1082" spans="1:12" x14ac:dyDescent="0.25">
      <c r="A1082">
        <v>127697219</v>
      </c>
      <c r="B1082" s="1">
        <v>44955</v>
      </c>
      <c r="C1082" s="1">
        <v>45071</v>
      </c>
      <c r="D1082" t="s">
        <v>7</v>
      </c>
      <c r="E1082">
        <v>39</v>
      </c>
      <c r="F1082" t="s">
        <v>6</v>
      </c>
      <c r="G1082" s="8">
        <f t="shared" si="103"/>
        <v>116</v>
      </c>
      <c r="H1082">
        <f t="shared" si="104"/>
        <v>1</v>
      </c>
      <c r="I1082" t="str">
        <f t="shared" si="102"/>
        <v>Sunday</v>
      </c>
      <c r="L1082">
        <f t="shared" si="105"/>
        <v>0</v>
      </c>
    </row>
    <row r="1083" spans="1:12" x14ac:dyDescent="0.25">
      <c r="A1083">
        <v>198448283</v>
      </c>
      <c r="B1083" s="1">
        <v>44955</v>
      </c>
      <c r="C1083" s="1">
        <v>45113</v>
      </c>
      <c r="D1083" t="s">
        <v>7</v>
      </c>
      <c r="E1083">
        <v>39</v>
      </c>
      <c r="F1083" t="s">
        <v>6</v>
      </c>
      <c r="G1083" s="8">
        <f t="shared" si="103"/>
        <v>158</v>
      </c>
      <c r="H1083">
        <f t="shared" si="104"/>
        <v>1</v>
      </c>
      <c r="I1083" t="str">
        <f t="shared" si="102"/>
        <v>Sunday</v>
      </c>
      <c r="L1083">
        <f t="shared" si="105"/>
        <v>0</v>
      </c>
    </row>
    <row r="1084" spans="1:12" x14ac:dyDescent="0.25">
      <c r="A1084">
        <v>159483118</v>
      </c>
      <c r="B1084" s="1">
        <v>44955</v>
      </c>
      <c r="C1084" s="1">
        <v>44986</v>
      </c>
      <c r="D1084" t="s">
        <v>7</v>
      </c>
      <c r="E1084">
        <v>39</v>
      </c>
      <c r="F1084" t="s">
        <v>6</v>
      </c>
      <c r="G1084" s="8">
        <f t="shared" si="103"/>
        <v>31</v>
      </c>
      <c r="H1084">
        <f t="shared" si="104"/>
        <v>1</v>
      </c>
      <c r="I1084" t="str">
        <f t="shared" si="102"/>
        <v>Sunday</v>
      </c>
      <c r="L1084">
        <f t="shared" si="105"/>
        <v>0</v>
      </c>
    </row>
    <row r="1085" spans="1:12" x14ac:dyDescent="0.25">
      <c r="A1085">
        <v>152433647</v>
      </c>
      <c r="B1085" s="1">
        <v>44955</v>
      </c>
      <c r="C1085" s="1">
        <v>44998</v>
      </c>
      <c r="D1085" t="s">
        <v>7</v>
      </c>
      <c r="E1085">
        <v>39</v>
      </c>
      <c r="F1085" t="s">
        <v>6</v>
      </c>
      <c r="G1085" s="8">
        <f t="shared" si="103"/>
        <v>43</v>
      </c>
      <c r="H1085">
        <f t="shared" si="104"/>
        <v>1</v>
      </c>
      <c r="I1085" t="str">
        <f t="shared" si="102"/>
        <v>Sunday</v>
      </c>
      <c r="L1085">
        <f t="shared" si="105"/>
        <v>0</v>
      </c>
    </row>
    <row r="1086" spans="1:12" x14ac:dyDescent="0.25">
      <c r="A1086">
        <v>154790198</v>
      </c>
      <c r="B1086" s="1">
        <v>44955</v>
      </c>
      <c r="C1086" s="1">
        <v>44972</v>
      </c>
      <c r="D1086" t="s">
        <v>7</v>
      </c>
      <c r="E1086">
        <v>39</v>
      </c>
      <c r="F1086" t="s">
        <v>6</v>
      </c>
      <c r="G1086" s="8">
        <f t="shared" si="103"/>
        <v>17</v>
      </c>
      <c r="H1086">
        <f t="shared" si="104"/>
        <v>1</v>
      </c>
      <c r="I1086" t="str">
        <f t="shared" si="102"/>
        <v>Sunday</v>
      </c>
      <c r="L1086">
        <f t="shared" si="105"/>
        <v>0</v>
      </c>
    </row>
    <row r="1087" spans="1:12" x14ac:dyDescent="0.25">
      <c r="A1087">
        <v>191896242</v>
      </c>
      <c r="B1087" s="1">
        <v>44956</v>
      </c>
      <c r="C1087" s="1">
        <f ca="1">TODAY()</f>
        <v>45938</v>
      </c>
      <c r="D1087" t="s">
        <v>7</v>
      </c>
      <c r="E1087">
        <v>39</v>
      </c>
      <c r="F1087" t="s">
        <v>6</v>
      </c>
      <c r="G1087" s="8">
        <f t="shared" ca="1" si="103"/>
        <v>982</v>
      </c>
      <c r="H1087">
        <f t="shared" si="104"/>
        <v>2</v>
      </c>
      <c r="I1087" t="str">
        <f t="shared" si="102"/>
        <v>Monday</v>
      </c>
      <c r="L1087">
        <f t="shared" ca="1" si="105"/>
        <v>0</v>
      </c>
    </row>
    <row r="1088" spans="1:12" x14ac:dyDescent="0.25">
      <c r="A1088">
        <v>136407072</v>
      </c>
      <c r="B1088" s="1">
        <v>44956</v>
      </c>
      <c r="C1088" s="1">
        <v>45138</v>
      </c>
      <c r="D1088" t="s">
        <v>7</v>
      </c>
      <c r="E1088">
        <v>39</v>
      </c>
      <c r="F1088" t="s">
        <v>6</v>
      </c>
      <c r="G1088" s="8">
        <f t="shared" si="103"/>
        <v>182</v>
      </c>
      <c r="H1088">
        <f t="shared" si="104"/>
        <v>2</v>
      </c>
      <c r="I1088" t="str">
        <f t="shared" si="102"/>
        <v>Monday</v>
      </c>
      <c r="L1088">
        <f t="shared" si="105"/>
        <v>0</v>
      </c>
    </row>
    <row r="1089" spans="1:12" x14ac:dyDescent="0.25">
      <c r="A1089">
        <v>199439964</v>
      </c>
      <c r="B1089" s="1">
        <v>44956</v>
      </c>
      <c r="C1089" s="1">
        <v>45083</v>
      </c>
      <c r="D1089" t="s">
        <v>7</v>
      </c>
      <c r="E1089">
        <v>39</v>
      </c>
      <c r="F1089" t="s">
        <v>6</v>
      </c>
      <c r="G1089" s="8">
        <f t="shared" si="103"/>
        <v>127</v>
      </c>
      <c r="H1089">
        <f t="shared" si="104"/>
        <v>2</v>
      </c>
      <c r="I1089" t="str">
        <f t="shared" si="102"/>
        <v>Monday</v>
      </c>
      <c r="L1089">
        <f t="shared" si="105"/>
        <v>0</v>
      </c>
    </row>
    <row r="1090" spans="1:12" x14ac:dyDescent="0.25">
      <c r="A1090">
        <v>199255574</v>
      </c>
      <c r="B1090" s="1">
        <v>44956</v>
      </c>
      <c r="C1090" s="1">
        <v>45098</v>
      </c>
      <c r="D1090" t="s">
        <v>7</v>
      </c>
      <c r="E1090">
        <v>39</v>
      </c>
      <c r="F1090" t="s">
        <v>6</v>
      </c>
      <c r="G1090" s="8">
        <f t="shared" si="103"/>
        <v>142</v>
      </c>
      <c r="H1090">
        <f t="shared" si="104"/>
        <v>2</v>
      </c>
      <c r="I1090" t="str">
        <f t="shared" ref="I1090:I1153" si="109">TEXT(B1090,"DDDD")</f>
        <v>Monday</v>
      </c>
      <c r="L1090">
        <f t="shared" si="105"/>
        <v>0</v>
      </c>
    </row>
    <row r="1091" spans="1:12" x14ac:dyDescent="0.25">
      <c r="A1091">
        <v>167938302</v>
      </c>
      <c r="B1091" s="1">
        <v>44956</v>
      </c>
      <c r="C1091" s="1">
        <v>45022</v>
      </c>
      <c r="D1091" t="s">
        <v>7</v>
      </c>
      <c r="E1091">
        <v>39</v>
      </c>
      <c r="F1091" t="s">
        <v>6</v>
      </c>
      <c r="G1091" s="8">
        <f t="shared" ref="G1091:G1154" si="110">IFERROR(DATEDIF(B1091,C1091,"D"),"0")</f>
        <v>66</v>
      </c>
      <c r="H1091">
        <f t="shared" ref="H1091:H1154" si="111">WEEKDAY(B1091,1)</f>
        <v>2</v>
      </c>
      <c r="I1091" t="str">
        <f t="shared" si="109"/>
        <v>Monday</v>
      </c>
      <c r="L1091">
        <f t="shared" ref="L1091:L1154" si="112">IF( OR($G1091=0,$G1091 = 1, $G1091 = 2), 1, 0 )</f>
        <v>0</v>
      </c>
    </row>
    <row r="1092" spans="1:12" x14ac:dyDescent="0.25">
      <c r="A1092">
        <v>154173057</v>
      </c>
      <c r="B1092" s="1">
        <v>44956</v>
      </c>
      <c r="C1092" s="1">
        <v>44961</v>
      </c>
      <c r="D1092" t="s">
        <v>7</v>
      </c>
      <c r="E1092">
        <v>39</v>
      </c>
      <c r="F1092" t="s">
        <v>6</v>
      </c>
      <c r="G1092" s="8">
        <f t="shared" si="110"/>
        <v>5</v>
      </c>
      <c r="H1092">
        <f t="shared" si="111"/>
        <v>2</v>
      </c>
      <c r="I1092" t="str">
        <f t="shared" si="109"/>
        <v>Monday</v>
      </c>
      <c r="L1092">
        <f t="shared" si="112"/>
        <v>0</v>
      </c>
    </row>
    <row r="1093" spans="1:12" x14ac:dyDescent="0.25">
      <c r="A1093">
        <v>153199550</v>
      </c>
      <c r="B1093" s="1">
        <v>44956</v>
      </c>
      <c r="C1093" s="1">
        <v>44959</v>
      </c>
      <c r="D1093" t="s">
        <v>7</v>
      </c>
      <c r="E1093">
        <v>39</v>
      </c>
      <c r="F1093" t="s">
        <v>6</v>
      </c>
      <c r="G1093" s="8">
        <f t="shared" si="110"/>
        <v>3</v>
      </c>
      <c r="H1093">
        <f t="shared" si="111"/>
        <v>2</v>
      </c>
      <c r="I1093" t="str">
        <f t="shared" si="109"/>
        <v>Monday</v>
      </c>
      <c r="L1093">
        <f t="shared" si="112"/>
        <v>0</v>
      </c>
    </row>
    <row r="1094" spans="1:12" x14ac:dyDescent="0.25">
      <c r="A1094">
        <v>199302158</v>
      </c>
      <c r="B1094" s="1">
        <v>44956</v>
      </c>
      <c r="C1094" s="1">
        <v>44959</v>
      </c>
      <c r="D1094" t="s">
        <v>7</v>
      </c>
      <c r="E1094">
        <v>39</v>
      </c>
      <c r="F1094" t="s">
        <v>6</v>
      </c>
      <c r="G1094" s="8">
        <f t="shared" si="110"/>
        <v>3</v>
      </c>
      <c r="H1094">
        <f t="shared" si="111"/>
        <v>2</v>
      </c>
      <c r="I1094" t="str">
        <f t="shared" si="109"/>
        <v>Monday</v>
      </c>
      <c r="L1094">
        <f t="shared" si="112"/>
        <v>0</v>
      </c>
    </row>
    <row r="1095" spans="1:12" x14ac:dyDescent="0.25">
      <c r="A1095">
        <v>187482966</v>
      </c>
      <c r="B1095" s="1">
        <v>44956</v>
      </c>
      <c r="C1095" s="1">
        <v>45147</v>
      </c>
      <c r="D1095" t="s">
        <v>7</v>
      </c>
      <c r="E1095">
        <v>39</v>
      </c>
      <c r="F1095" t="s">
        <v>6</v>
      </c>
      <c r="G1095" s="8">
        <f t="shared" si="110"/>
        <v>191</v>
      </c>
      <c r="H1095">
        <f t="shared" si="111"/>
        <v>2</v>
      </c>
      <c r="I1095" t="str">
        <f t="shared" si="109"/>
        <v>Monday</v>
      </c>
      <c r="L1095">
        <f t="shared" si="112"/>
        <v>0</v>
      </c>
    </row>
    <row r="1096" spans="1:12" x14ac:dyDescent="0.25">
      <c r="A1096">
        <v>168436547</v>
      </c>
      <c r="B1096" s="1">
        <v>44956</v>
      </c>
      <c r="C1096" s="1">
        <v>45127</v>
      </c>
      <c r="D1096" t="s">
        <v>7</v>
      </c>
      <c r="E1096">
        <v>39</v>
      </c>
      <c r="F1096" t="s">
        <v>6</v>
      </c>
      <c r="G1096" s="8">
        <f t="shared" si="110"/>
        <v>171</v>
      </c>
      <c r="H1096">
        <f t="shared" si="111"/>
        <v>2</v>
      </c>
      <c r="I1096" t="str">
        <f t="shared" si="109"/>
        <v>Monday</v>
      </c>
      <c r="L1096">
        <f t="shared" si="112"/>
        <v>0</v>
      </c>
    </row>
    <row r="1097" spans="1:12" x14ac:dyDescent="0.25">
      <c r="A1097">
        <v>195007481</v>
      </c>
      <c r="B1097" s="1">
        <v>44957</v>
      </c>
      <c r="C1097" s="1">
        <f t="shared" ref="C1097:C1099" ca="1" si="113">TODAY()</f>
        <v>45938</v>
      </c>
      <c r="D1097" t="s">
        <v>7</v>
      </c>
      <c r="E1097">
        <v>39</v>
      </c>
      <c r="F1097" t="s">
        <v>6</v>
      </c>
      <c r="G1097" s="8">
        <f t="shared" ca="1" si="110"/>
        <v>981</v>
      </c>
      <c r="H1097">
        <f t="shared" si="111"/>
        <v>3</v>
      </c>
      <c r="I1097" t="str">
        <f t="shared" si="109"/>
        <v>Tuesday</v>
      </c>
      <c r="L1097">
        <f t="shared" ca="1" si="112"/>
        <v>0</v>
      </c>
    </row>
    <row r="1098" spans="1:12" x14ac:dyDescent="0.25">
      <c r="A1098">
        <v>181830574</v>
      </c>
      <c r="B1098" s="1">
        <v>44957</v>
      </c>
      <c r="C1098" s="1">
        <f t="shared" ca="1" si="113"/>
        <v>45938</v>
      </c>
      <c r="D1098" t="s">
        <v>7</v>
      </c>
      <c r="E1098">
        <v>39</v>
      </c>
      <c r="F1098" t="s">
        <v>6</v>
      </c>
      <c r="G1098" s="8">
        <f t="shared" ca="1" si="110"/>
        <v>981</v>
      </c>
      <c r="H1098">
        <f t="shared" si="111"/>
        <v>3</v>
      </c>
      <c r="I1098" t="str">
        <f t="shared" si="109"/>
        <v>Tuesday</v>
      </c>
      <c r="L1098">
        <f t="shared" ca="1" si="112"/>
        <v>0</v>
      </c>
    </row>
    <row r="1099" spans="1:12" x14ac:dyDescent="0.25">
      <c r="A1099">
        <v>198691553</v>
      </c>
      <c r="B1099" s="1">
        <v>44957</v>
      </c>
      <c r="C1099" s="1">
        <f t="shared" ca="1" si="113"/>
        <v>45938</v>
      </c>
      <c r="D1099" t="s">
        <v>7</v>
      </c>
      <c r="E1099">
        <v>39</v>
      </c>
      <c r="F1099" t="s">
        <v>6</v>
      </c>
      <c r="G1099" s="8">
        <f t="shared" ca="1" si="110"/>
        <v>981</v>
      </c>
      <c r="H1099">
        <f t="shared" si="111"/>
        <v>3</v>
      </c>
      <c r="I1099" t="str">
        <f t="shared" si="109"/>
        <v>Tuesday</v>
      </c>
      <c r="L1099">
        <f t="shared" ca="1" si="112"/>
        <v>0</v>
      </c>
    </row>
    <row r="1100" spans="1:12" x14ac:dyDescent="0.25">
      <c r="A1100">
        <v>200001674</v>
      </c>
      <c r="B1100" s="1">
        <v>44957</v>
      </c>
      <c r="C1100" s="1">
        <v>45074</v>
      </c>
      <c r="D1100" t="s">
        <v>7</v>
      </c>
      <c r="E1100">
        <v>39</v>
      </c>
      <c r="F1100" t="s">
        <v>6</v>
      </c>
      <c r="G1100" s="8">
        <f t="shared" si="110"/>
        <v>117</v>
      </c>
      <c r="H1100">
        <f t="shared" si="111"/>
        <v>3</v>
      </c>
      <c r="I1100" t="str">
        <f t="shared" si="109"/>
        <v>Tuesday</v>
      </c>
      <c r="L1100">
        <f t="shared" si="112"/>
        <v>0</v>
      </c>
    </row>
    <row r="1101" spans="1:12" x14ac:dyDescent="0.25">
      <c r="A1101">
        <v>200252155</v>
      </c>
      <c r="B1101" s="1">
        <v>44957</v>
      </c>
      <c r="C1101" s="1">
        <v>45084</v>
      </c>
      <c r="D1101" t="s">
        <v>7</v>
      </c>
      <c r="E1101">
        <v>39</v>
      </c>
      <c r="F1101" t="s">
        <v>6</v>
      </c>
      <c r="G1101" s="8">
        <f t="shared" si="110"/>
        <v>127</v>
      </c>
      <c r="H1101">
        <f t="shared" si="111"/>
        <v>3</v>
      </c>
      <c r="I1101" t="str">
        <f t="shared" si="109"/>
        <v>Tuesday</v>
      </c>
      <c r="L1101">
        <f t="shared" si="112"/>
        <v>0</v>
      </c>
    </row>
    <row r="1102" spans="1:12" x14ac:dyDescent="0.25">
      <c r="A1102">
        <v>188206991</v>
      </c>
      <c r="B1102" s="1">
        <v>44957</v>
      </c>
      <c r="C1102" s="1">
        <v>45033</v>
      </c>
      <c r="D1102" t="s">
        <v>7</v>
      </c>
      <c r="E1102">
        <v>39</v>
      </c>
      <c r="F1102" t="s">
        <v>6</v>
      </c>
      <c r="G1102" s="8">
        <f t="shared" si="110"/>
        <v>76</v>
      </c>
      <c r="H1102">
        <f t="shared" si="111"/>
        <v>3</v>
      </c>
      <c r="I1102" t="str">
        <f t="shared" si="109"/>
        <v>Tuesday</v>
      </c>
      <c r="L1102">
        <f t="shared" si="112"/>
        <v>0</v>
      </c>
    </row>
    <row r="1103" spans="1:12" x14ac:dyDescent="0.25">
      <c r="A1103">
        <v>184330352</v>
      </c>
      <c r="B1103" s="1">
        <v>44957</v>
      </c>
      <c r="C1103" s="1">
        <v>45046</v>
      </c>
      <c r="D1103" t="s">
        <v>7</v>
      </c>
      <c r="E1103">
        <v>39</v>
      </c>
      <c r="F1103" t="s">
        <v>6</v>
      </c>
      <c r="G1103" s="8">
        <f t="shared" si="110"/>
        <v>89</v>
      </c>
      <c r="H1103">
        <f t="shared" si="111"/>
        <v>3</v>
      </c>
      <c r="I1103" t="str">
        <f t="shared" si="109"/>
        <v>Tuesday</v>
      </c>
      <c r="L1103">
        <f t="shared" si="112"/>
        <v>0</v>
      </c>
    </row>
    <row r="1104" spans="1:12" x14ac:dyDescent="0.25">
      <c r="A1104">
        <v>198701510</v>
      </c>
      <c r="B1104" s="1">
        <v>44957</v>
      </c>
      <c r="C1104" s="1">
        <v>45031</v>
      </c>
      <c r="D1104" t="s">
        <v>7</v>
      </c>
      <c r="E1104">
        <v>39</v>
      </c>
      <c r="F1104" t="s">
        <v>6</v>
      </c>
      <c r="G1104" s="8">
        <f t="shared" si="110"/>
        <v>74</v>
      </c>
      <c r="H1104">
        <f t="shared" si="111"/>
        <v>3</v>
      </c>
      <c r="I1104" t="str">
        <f t="shared" si="109"/>
        <v>Tuesday</v>
      </c>
      <c r="L1104">
        <f t="shared" si="112"/>
        <v>0</v>
      </c>
    </row>
    <row r="1105" spans="1:12" x14ac:dyDescent="0.25">
      <c r="A1105">
        <v>164909402</v>
      </c>
      <c r="B1105" s="1">
        <v>44957</v>
      </c>
      <c r="C1105" s="1">
        <v>44984</v>
      </c>
      <c r="D1105" t="s">
        <v>7</v>
      </c>
      <c r="E1105">
        <v>39</v>
      </c>
      <c r="F1105" t="s">
        <v>6</v>
      </c>
      <c r="G1105" s="8">
        <f t="shared" si="110"/>
        <v>27</v>
      </c>
      <c r="H1105">
        <f t="shared" si="111"/>
        <v>3</v>
      </c>
      <c r="I1105" t="str">
        <f t="shared" si="109"/>
        <v>Tuesday</v>
      </c>
      <c r="L1105">
        <f t="shared" si="112"/>
        <v>0</v>
      </c>
    </row>
    <row r="1106" spans="1:12" x14ac:dyDescent="0.25">
      <c r="A1106">
        <v>126737063</v>
      </c>
      <c r="B1106" s="1">
        <v>44957</v>
      </c>
      <c r="C1106" s="1">
        <v>45156</v>
      </c>
      <c r="D1106" t="s">
        <v>7</v>
      </c>
      <c r="E1106">
        <v>39</v>
      </c>
      <c r="F1106" t="s">
        <v>6</v>
      </c>
      <c r="G1106" s="8">
        <f t="shared" si="110"/>
        <v>199</v>
      </c>
      <c r="H1106">
        <f t="shared" si="111"/>
        <v>3</v>
      </c>
      <c r="I1106" t="str">
        <f t="shared" si="109"/>
        <v>Tuesday</v>
      </c>
      <c r="L1106">
        <f t="shared" si="112"/>
        <v>0</v>
      </c>
    </row>
    <row r="1107" spans="1:12" x14ac:dyDescent="0.25">
      <c r="A1107">
        <v>194472898</v>
      </c>
      <c r="B1107" s="1">
        <v>44958</v>
      </c>
      <c r="C1107" s="1">
        <f t="shared" ref="C1107:C1111" ca="1" si="114">TODAY()</f>
        <v>45938</v>
      </c>
      <c r="D1107" t="s">
        <v>7</v>
      </c>
      <c r="E1107">
        <v>39</v>
      </c>
      <c r="F1107" t="s">
        <v>6</v>
      </c>
      <c r="G1107" s="8">
        <f t="shared" ca="1" si="110"/>
        <v>980</v>
      </c>
      <c r="H1107">
        <f t="shared" si="111"/>
        <v>4</v>
      </c>
      <c r="I1107" t="str">
        <f t="shared" si="109"/>
        <v>Wednesday</v>
      </c>
      <c r="L1107">
        <f t="shared" ca="1" si="112"/>
        <v>0</v>
      </c>
    </row>
    <row r="1108" spans="1:12" x14ac:dyDescent="0.25">
      <c r="A1108">
        <v>200962065</v>
      </c>
      <c r="B1108" s="1">
        <v>44958</v>
      </c>
      <c r="C1108" s="1">
        <f t="shared" ca="1" si="114"/>
        <v>45938</v>
      </c>
      <c r="D1108" t="s">
        <v>7</v>
      </c>
      <c r="E1108">
        <v>39</v>
      </c>
      <c r="F1108" t="s">
        <v>6</v>
      </c>
      <c r="G1108" s="8">
        <f t="shared" ca="1" si="110"/>
        <v>980</v>
      </c>
      <c r="H1108">
        <f t="shared" si="111"/>
        <v>4</v>
      </c>
      <c r="I1108" t="str">
        <f t="shared" si="109"/>
        <v>Wednesday</v>
      </c>
      <c r="L1108">
        <f t="shared" ca="1" si="112"/>
        <v>0</v>
      </c>
    </row>
    <row r="1109" spans="1:12" x14ac:dyDescent="0.25">
      <c r="A1109">
        <v>196821289</v>
      </c>
      <c r="B1109" s="1">
        <v>44958</v>
      </c>
      <c r="C1109" s="1">
        <f t="shared" ca="1" si="114"/>
        <v>45938</v>
      </c>
      <c r="D1109" t="s">
        <v>7</v>
      </c>
      <c r="E1109">
        <v>39</v>
      </c>
      <c r="F1109" t="s">
        <v>6</v>
      </c>
      <c r="G1109" s="8">
        <f t="shared" ca="1" si="110"/>
        <v>980</v>
      </c>
      <c r="H1109">
        <f t="shared" si="111"/>
        <v>4</v>
      </c>
      <c r="I1109" t="str">
        <f t="shared" si="109"/>
        <v>Wednesday</v>
      </c>
      <c r="L1109">
        <f t="shared" ca="1" si="112"/>
        <v>0</v>
      </c>
    </row>
    <row r="1110" spans="1:12" x14ac:dyDescent="0.25">
      <c r="A1110">
        <v>200867442</v>
      </c>
      <c r="B1110" s="1">
        <v>44958</v>
      </c>
      <c r="C1110" s="1">
        <f t="shared" ca="1" si="114"/>
        <v>45938</v>
      </c>
      <c r="D1110" t="s">
        <v>7</v>
      </c>
      <c r="E1110">
        <v>39</v>
      </c>
      <c r="F1110" t="s">
        <v>6</v>
      </c>
      <c r="G1110" s="8">
        <f t="shared" ca="1" si="110"/>
        <v>980</v>
      </c>
      <c r="H1110">
        <f t="shared" si="111"/>
        <v>4</v>
      </c>
      <c r="I1110" t="str">
        <f t="shared" si="109"/>
        <v>Wednesday</v>
      </c>
      <c r="L1110">
        <f t="shared" ca="1" si="112"/>
        <v>0</v>
      </c>
    </row>
    <row r="1111" spans="1:12" x14ac:dyDescent="0.25">
      <c r="A1111">
        <v>187855576</v>
      </c>
      <c r="B1111" s="1">
        <v>44958</v>
      </c>
      <c r="C1111" s="1">
        <f t="shared" ca="1" si="114"/>
        <v>45938</v>
      </c>
      <c r="D1111" t="s">
        <v>7</v>
      </c>
      <c r="E1111">
        <v>39</v>
      </c>
      <c r="F1111" t="s">
        <v>6</v>
      </c>
      <c r="G1111" s="8">
        <f t="shared" ca="1" si="110"/>
        <v>980</v>
      </c>
      <c r="H1111">
        <f t="shared" si="111"/>
        <v>4</v>
      </c>
      <c r="I1111" t="str">
        <f t="shared" si="109"/>
        <v>Wednesday</v>
      </c>
      <c r="L1111">
        <f t="shared" ca="1" si="112"/>
        <v>0</v>
      </c>
    </row>
    <row r="1112" spans="1:12" x14ac:dyDescent="0.25">
      <c r="A1112">
        <v>198475060</v>
      </c>
      <c r="B1112" s="1">
        <v>44958</v>
      </c>
      <c r="C1112" s="1">
        <v>44959</v>
      </c>
      <c r="D1112" t="s">
        <v>8</v>
      </c>
      <c r="E1112">
        <v>39</v>
      </c>
      <c r="F1112" t="s">
        <v>6</v>
      </c>
      <c r="G1112" s="8">
        <f t="shared" si="110"/>
        <v>1</v>
      </c>
      <c r="H1112">
        <f t="shared" si="111"/>
        <v>4</v>
      </c>
      <c r="I1112" t="str">
        <f t="shared" si="109"/>
        <v>Wednesday</v>
      </c>
      <c r="L1112">
        <f t="shared" si="112"/>
        <v>1</v>
      </c>
    </row>
    <row r="1113" spans="1:12" x14ac:dyDescent="0.25">
      <c r="A1113">
        <v>137201021</v>
      </c>
      <c r="B1113" s="1">
        <v>44958</v>
      </c>
      <c r="C1113" s="1">
        <v>45106</v>
      </c>
      <c r="D1113" t="s">
        <v>7</v>
      </c>
      <c r="E1113">
        <v>39</v>
      </c>
      <c r="F1113" t="s">
        <v>6</v>
      </c>
      <c r="G1113" s="8">
        <f t="shared" si="110"/>
        <v>148</v>
      </c>
      <c r="H1113">
        <f t="shared" si="111"/>
        <v>4</v>
      </c>
      <c r="I1113" t="str">
        <f t="shared" si="109"/>
        <v>Wednesday</v>
      </c>
      <c r="L1113">
        <f t="shared" si="112"/>
        <v>0</v>
      </c>
    </row>
    <row r="1114" spans="1:12" x14ac:dyDescent="0.25">
      <c r="A1114">
        <v>192942271</v>
      </c>
      <c r="B1114" s="1">
        <v>44958</v>
      </c>
      <c r="C1114" s="1">
        <v>45104</v>
      </c>
      <c r="D1114" t="s">
        <v>7</v>
      </c>
      <c r="E1114">
        <v>39</v>
      </c>
      <c r="F1114" t="s">
        <v>6</v>
      </c>
      <c r="G1114" s="8">
        <f t="shared" si="110"/>
        <v>146</v>
      </c>
      <c r="H1114">
        <f t="shared" si="111"/>
        <v>4</v>
      </c>
      <c r="I1114" t="str">
        <f t="shared" si="109"/>
        <v>Wednesday</v>
      </c>
      <c r="L1114">
        <f t="shared" si="112"/>
        <v>0</v>
      </c>
    </row>
    <row r="1115" spans="1:12" x14ac:dyDescent="0.25">
      <c r="A1115">
        <v>155088727</v>
      </c>
      <c r="B1115" s="1">
        <v>44958</v>
      </c>
      <c r="C1115" s="1">
        <v>45071</v>
      </c>
      <c r="D1115" t="s">
        <v>7</v>
      </c>
      <c r="E1115">
        <v>39</v>
      </c>
      <c r="F1115" t="s">
        <v>6</v>
      </c>
      <c r="G1115" s="8">
        <f t="shared" si="110"/>
        <v>113</v>
      </c>
      <c r="H1115">
        <f t="shared" si="111"/>
        <v>4</v>
      </c>
      <c r="I1115" t="str">
        <f t="shared" si="109"/>
        <v>Wednesday</v>
      </c>
      <c r="L1115">
        <f t="shared" si="112"/>
        <v>0</v>
      </c>
    </row>
    <row r="1116" spans="1:12" x14ac:dyDescent="0.25">
      <c r="A1116">
        <v>145416349</v>
      </c>
      <c r="B1116" s="1">
        <v>44958</v>
      </c>
      <c r="C1116" s="1">
        <v>45047</v>
      </c>
      <c r="D1116" t="s">
        <v>7</v>
      </c>
      <c r="E1116">
        <v>39</v>
      </c>
      <c r="F1116" t="s">
        <v>6</v>
      </c>
      <c r="G1116" s="8">
        <f t="shared" si="110"/>
        <v>89</v>
      </c>
      <c r="H1116">
        <f t="shared" si="111"/>
        <v>4</v>
      </c>
      <c r="I1116" t="str">
        <f t="shared" si="109"/>
        <v>Wednesday</v>
      </c>
      <c r="L1116">
        <f t="shared" si="112"/>
        <v>0</v>
      </c>
    </row>
    <row r="1117" spans="1:12" x14ac:dyDescent="0.25">
      <c r="A1117">
        <v>154064672</v>
      </c>
      <c r="B1117" s="1">
        <v>44958</v>
      </c>
      <c r="C1117" s="1">
        <v>45041</v>
      </c>
      <c r="D1117" t="s">
        <v>7</v>
      </c>
      <c r="E1117">
        <v>39</v>
      </c>
      <c r="F1117" t="s">
        <v>6</v>
      </c>
      <c r="G1117" s="8">
        <f t="shared" si="110"/>
        <v>83</v>
      </c>
      <c r="H1117">
        <f t="shared" si="111"/>
        <v>4</v>
      </c>
      <c r="I1117" t="str">
        <f t="shared" si="109"/>
        <v>Wednesday</v>
      </c>
      <c r="L1117">
        <f t="shared" si="112"/>
        <v>0</v>
      </c>
    </row>
    <row r="1118" spans="1:12" x14ac:dyDescent="0.25">
      <c r="A1118">
        <v>174670793</v>
      </c>
      <c r="B1118" s="1">
        <v>44958</v>
      </c>
      <c r="C1118" s="1">
        <v>45039</v>
      </c>
      <c r="D1118" t="s">
        <v>7</v>
      </c>
      <c r="E1118">
        <v>39</v>
      </c>
      <c r="F1118" t="s">
        <v>6</v>
      </c>
      <c r="G1118" s="8">
        <f t="shared" si="110"/>
        <v>81</v>
      </c>
      <c r="H1118">
        <f t="shared" si="111"/>
        <v>4</v>
      </c>
      <c r="I1118" t="str">
        <f t="shared" si="109"/>
        <v>Wednesday</v>
      </c>
      <c r="L1118">
        <f t="shared" si="112"/>
        <v>0</v>
      </c>
    </row>
    <row r="1119" spans="1:12" x14ac:dyDescent="0.25">
      <c r="A1119">
        <v>200600365</v>
      </c>
      <c r="B1119" s="1">
        <v>44958</v>
      </c>
      <c r="C1119" s="1">
        <v>45029</v>
      </c>
      <c r="D1119" t="s">
        <v>7</v>
      </c>
      <c r="E1119">
        <v>39</v>
      </c>
      <c r="F1119" t="s">
        <v>6</v>
      </c>
      <c r="G1119" s="8">
        <f t="shared" si="110"/>
        <v>71</v>
      </c>
      <c r="H1119">
        <f t="shared" si="111"/>
        <v>4</v>
      </c>
      <c r="I1119" t="str">
        <f t="shared" si="109"/>
        <v>Wednesday</v>
      </c>
      <c r="L1119">
        <f t="shared" si="112"/>
        <v>0</v>
      </c>
    </row>
    <row r="1120" spans="1:12" x14ac:dyDescent="0.25">
      <c r="A1120">
        <v>196253752</v>
      </c>
      <c r="B1120" s="1">
        <v>44958</v>
      </c>
      <c r="C1120" s="1">
        <v>44976</v>
      </c>
      <c r="D1120" t="s">
        <v>7</v>
      </c>
      <c r="E1120">
        <v>39</v>
      </c>
      <c r="F1120" t="s">
        <v>6</v>
      </c>
      <c r="G1120" s="8">
        <f t="shared" si="110"/>
        <v>18</v>
      </c>
      <c r="H1120">
        <f t="shared" si="111"/>
        <v>4</v>
      </c>
      <c r="I1120" t="str">
        <f t="shared" si="109"/>
        <v>Wednesday</v>
      </c>
      <c r="L1120">
        <f t="shared" si="112"/>
        <v>0</v>
      </c>
    </row>
    <row r="1121" spans="1:12" x14ac:dyDescent="0.25">
      <c r="A1121">
        <v>148710722</v>
      </c>
      <c r="B1121" s="1">
        <v>44958</v>
      </c>
      <c r="C1121" s="1">
        <v>44960</v>
      </c>
      <c r="D1121" t="s">
        <v>7</v>
      </c>
      <c r="E1121">
        <v>39</v>
      </c>
      <c r="F1121" t="s">
        <v>6</v>
      </c>
      <c r="G1121" s="8">
        <f t="shared" si="110"/>
        <v>2</v>
      </c>
      <c r="H1121">
        <f t="shared" si="111"/>
        <v>4</v>
      </c>
      <c r="I1121" t="str">
        <f t="shared" si="109"/>
        <v>Wednesday</v>
      </c>
      <c r="L1121">
        <f t="shared" si="112"/>
        <v>1</v>
      </c>
    </row>
    <row r="1122" spans="1:12" x14ac:dyDescent="0.25">
      <c r="A1122">
        <v>201015936</v>
      </c>
      <c r="B1122" s="1">
        <v>44958</v>
      </c>
      <c r="C1122" s="1">
        <v>44971</v>
      </c>
      <c r="D1122" t="s">
        <v>7</v>
      </c>
      <c r="E1122">
        <v>39</v>
      </c>
      <c r="F1122" t="s">
        <v>6</v>
      </c>
      <c r="G1122" s="8">
        <f t="shared" si="110"/>
        <v>13</v>
      </c>
      <c r="H1122">
        <f t="shared" si="111"/>
        <v>4</v>
      </c>
      <c r="I1122" t="str">
        <f t="shared" si="109"/>
        <v>Wednesday</v>
      </c>
      <c r="L1122">
        <f t="shared" si="112"/>
        <v>0</v>
      </c>
    </row>
    <row r="1123" spans="1:12" x14ac:dyDescent="0.25">
      <c r="A1123">
        <v>200766423</v>
      </c>
      <c r="B1123" s="1">
        <v>44958</v>
      </c>
      <c r="C1123" s="1">
        <v>44963</v>
      </c>
      <c r="D1123" t="s">
        <v>7</v>
      </c>
      <c r="E1123">
        <v>39</v>
      </c>
      <c r="F1123" t="s">
        <v>6</v>
      </c>
      <c r="G1123" s="8">
        <f t="shared" si="110"/>
        <v>5</v>
      </c>
      <c r="H1123">
        <f t="shared" si="111"/>
        <v>4</v>
      </c>
      <c r="I1123" t="str">
        <f t="shared" si="109"/>
        <v>Wednesday</v>
      </c>
      <c r="L1123">
        <f t="shared" si="112"/>
        <v>0</v>
      </c>
    </row>
    <row r="1124" spans="1:12" x14ac:dyDescent="0.25">
      <c r="A1124">
        <v>188152753</v>
      </c>
      <c r="B1124" s="1">
        <v>44958</v>
      </c>
      <c r="C1124" s="1">
        <v>44995</v>
      </c>
      <c r="D1124" t="s">
        <v>7</v>
      </c>
      <c r="E1124">
        <v>39</v>
      </c>
      <c r="F1124" t="s">
        <v>6</v>
      </c>
      <c r="G1124" s="8">
        <f t="shared" si="110"/>
        <v>37</v>
      </c>
      <c r="H1124">
        <f t="shared" si="111"/>
        <v>4</v>
      </c>
      <c r="I1124" t="str">
        <f t="shared" si="109"/>
        <v>Wednesday</v>
      </c>
      <c r="L1124">
        <f t="shared" si="112"/>
        <v>0</v>
      </c>
    </row>
    <row r="1125" spans="1:12" x14ac:dyDescent="0.25">
      <c r="A1125">
        <v>194406214</v>
      </c>
      <c r="B1125" s="1">
        <v>44958</v>
      </c>
      <c r="C1125" s="1">
        <v>45149</v>
      </c>
      <c r="D1125" t="s">
        <v>7</v>
      </c>
      <c r="E1125">
        <v>39</v>
      </c>
      <c r="F1125" t="s">
        <v>6</v>
      </c>
      <c r="G1125" s="8">
        <f t="shared" si="110"/>
        <v>191</v>
      </c>
      <c r="H1125">
        <f t="shared" si="111"/>
        <v>4</v>
      </c>
      <c r="I1125" t="str">
        <f t="shared" si="109"/>
        <v>Wednesday</v>
      </c>
      <c r="L1125">
        <f t="shared" si="112"/>
        <v>0</v>
      </c>
    </row>
    <row r="1126" spans="1:12" x14ac:dyDescent="0.25">
      <c r="A1126">
        <v>199388324</v>
      </c>
      <c r="B1126" s="1">
        <v>44959</v>
      </c>
      <c r="C1126" s="1">
        <f t="shared" ref="C1126:C1128" ca="1" si="115">TODAY()</f>
        <v>45938</v>
      </c>
      <c r="D1126" t="s">
        <v>7</v>
      </c>
      <c r="E1126">
        <v>39</v>
      </c>
      <c r="F1126" t="s">
        <v>6</v>
      </c>
      <c r="G1126" s="8">
        <f t="shared" ca="1" si="110"/>
        <v>979</v>
      </c>
      <c r="H1126">
        <f t="shared" si="111"/>
        <v>5</v>
      </c>
      <c r="I1126" t="str">
        <f t="shared" si="109"/>
        <v>Thursday</v>
      </c>
      <c r="L1126">
        <f t="shared" ca="1" si="112"/>
        <v>0</v>
      </c>
    </row>
    <row r="1127" spans="1:12" x14ac:dyDescent="0.25">
      <c r="A1127">
        <v>202030516</v>
      </c>
      <c r="B1127" s="1">
        <v>44959</v>
      </c>
      <c r="C1127" s="1">
        <f t="shared" ca="1" si="115"/>
        <v>45938</v>
      </c>
      <c r="D1127" t="s">
        <v>7</v>
      </c>
      <c r="E1127">
        <v>39</v>
      </c>
      <c r="F1127" t="s">
        <v>6</v>
      </c>
      <c r="G1127" s="8">
        <f t="shared" ca="1" si="110"/>
        <v>979</v>
      </c>
      <c r="H1127">
        <f t="shared" si="111"/>
        <v>5</v>
      </c>
      <c r="I1127" t="str">
        <f t="shared" si="109"/>
        <v>Thursday</v>
      </c>
      <c r="L1127">
        <f t="shared" ca="1" si="112"/>
        <v>0</v>
      </c>
    </row>
    <row r="1128" spans="1:12" x14ac:dyDescent="0.25">
      <c r="A1128">
        <v>196926212</v>
      </c>
      <c r="B1128" s="1">
        <v>44959</v>
      </c>
      <c r="C1128" s="1">
        <f t="shared" ca="1" si="115"/>
        <v>45938</v>
      </c>
      <c r="D1128" t="s">
        <v>7</v>
      </c>
      <c r="E1128">
        <v>39</v>
      </c>
      <c r="F1128" t="s">
        <v>6</v>
      </c>
      <c r="G1128" s="8">
        <f t="shared" ca="1" si="110"/>
        <v>979</v>
      </c>
      <c r="H1128">
        <f t="shared" si="111"/>
        <v>5</v>
      </c>
      <c r="I1128" t="str">
        <f t="shared" si="109"/>
        <v>Thursday</v>
      </c>
      <c r="L1128">
        <f t="shared" ca="1" si="112"/>
        <v>0</v>
      </c>
    </row>
    <row r="1129" spans="1:12" x14ac:dyDescent="0.25">
      <c r="A1129">
        <v>199374328</v>
      </c>
      <c r="B1129" s="1">
        <v>44959</v>
      </c>
      <c r="C1129" s="1">
        <v>45113</v>
      </c>
      <c r="D1129" t="s">
        <v>7</v>
      </c>
      <c r="E1129">
        <v>39</v>
      </c>
      <c r="F1129" t="s">
        <v>6</v>
      </c>
      <c r="G1129" s="8">
        <f t="shared" si="110"/>
        <v>154</v>
      </c>
      <c r="H1129">
        <f t="shared" si="111"/>
        <v>5</v>
      </c>
      <c r="I1129" t="str">
        <f t="shared" si="109"/>
        <v>Thursday</v>
      </c>
      <c r="L1129">
        <f t="shared" si="112"/>
        <v>0</v>
      </c>
    </row>
    <row r="1130" spans="1:12" x14ac:dyDescent="0.25">
      <c r="A1130">
        <v>201313318</v>
      </c>
      <c r="B1130" s="1">
        <v>44959</v>
      </c>
      <c r="C1130" s="1">
        <v>45076</v>
      </c>
      <c r="D1130" t="s">
        <v>7</v>
      </c>
      <c r="E1130">
        <v>39</v>
      </c>
      <c r="F1130" t="s">
        <v>6</v>
      </c>
      <c r="G1130" s="8">
        <f t="shared" si="110"/>
        <v>117</v>
      </c>
      <c r="H1130">
        <f t="shared" si="111"/>
        <v>5</v>
      </c>
      <c r="I1130" t="str">
        <f t="shared" si="109"/>
        <v>Thursday</v>
      </c>
      <c r="L1130">
        <f t="shared" si="112"/>
        <v>0</v>
      </c>
    </row>
    <row r="1131" spans="1:12" x14ac:dyDescent="0.25">
      <c r="A1131">
        <v>200960179</v>
      </c>
      <c r="B1131" s="1">
        <v>44959</v>
      </c>
      <c r="C1131" s="1">
        <v>45077</v>
      </c>
      <c r="D1131" t="s">
        <v>7</v>
      </c>
      <c r="E1131">
        <v>39</v>
      </c>
      <c r="F1131" t="s">
        <v>6</v>
      </c>
      <c r="G1131" s="8">
        <f t="shared" si="110"/>
        <v>118</v>
      </c>
      <c r="H1131">
        <f t="shared" si="111"/>
        <v>5</v>
      </c>
      <c r="I1131" t="str">
        <f t="shared" si="109"/>
        <v>Thursday</v>
      </c>
      <c r="L1131">
        <f t="shared" si="112"/>
        <v>0</v>
      </c>
    </row>
    <row r="1132" spans="1:12" x14ac:dyDescent="0.25">
      <c r="A1132">
        <v>180890046</v>
      </c>
      <c r="B1132" s="1">
        <v>44959</v>
      </c>
      <c r="C1132" s="1">
        <v>45073</v>
      </c>
      <c r="D1132" t="s">
        <v>7</v>
      </c>
      <c r="E1132">
        <v>39</v>
      </c>
      <c r="F1132" t="s">
        <v>6</v>
      </c>
      <c r="G1132" s="8">
        <f t="shared" si="110"/>
        <v>114</v>
      </c>
      <c r="H1132">
        <f t="shared" si="111"/>
        <v>5</v>
      </c>
      <c r="I1132" t="str">
        <f t="shared" si="109"/>
        <v>Thursday</v>
      </c>
      <c r="L1132">
        <f t="shared" si="112"/>
        <v>0</v>
      </c>
    </row>
    <row r="1133" spans="1:12" x14ac:dyDescent="0.25">
      <c r="A1133">
        <v>159227956</v>
      </c>
      <c r="B1133" s="1">
        <v>44959</v>
      </c>
      <c r="C1133" s="1">
        <v>45055</v>
      </c>
      <c r="D1133" t="s">
        <v>7</v>
      </c>
      <c r="E1133">
        <v>39</v>
      </c>
      <c r="F1133" t="s">
        <v>6</v>
      </c>
      <c r="G1133" s="8">
        <f t="shared" si="110"/>
        <v>96</v>
      </c>
      <c r="H1133">
        <f t="shared" si="111"/>
        <v>5</v>
      </c>
      <c r="I1133" t="str">
        <f t="shared" si="109"/>
        <v>Thursday</v>
      </c>
      <c r="L1133">
        <f t="shared" si="112"/>
        <v>0</v>
      </c>
    </row>
    <row r="1134" spans="1:12" x14ac:dyDescent="0.25">
      <c r="A1134">
        <v>182325407</v>
      </c>
      <c r="B1134" s="1">
        <v>44959</v>
      </c>
      <c r="C1134" s="1">
        <v>45019</v>
      </c>
      <c r="D1134" t="s">
        <v>7</v>
      </c>
      <c r="E1134">
        <v>39</v>
      </c>
      <c r="F1134" t="s">
        <v>6</v>
      </c>
      <c r="G1134" s="8">
        <f t="shared" si="110"/>
        <v>60</v>
      </c>
      <c r="H1134">
        <f t="shared" si="111"/>
        <v>5</v>
      </c>
      <c r="I1134" t="str">
        <f t="shared" si="109"/>
        <v>Thursday</v>
      </c>
      <c r="L1134">
        <f t="shared" si="112"/>
        <v>0</v>
      </c>
    </row>
    <row r="1135" spans="1:12" x14ac:dyDescent="0.25">
      <c r="A1135">
        <v>194828965</v>
      </c>
      <c r="B1135" s="1">
        <v>44959</v>
      </c>
      <c r="C1135" s="1">
        <v>45018</v>
      </c>
      <c r="D1135" t="s">
        <v>7</v>
      </c>
      <c r="E1135">
        <v>39</v>
      </c>
      <c r="F1135" t="s">
        <v>6</v>
      </c>
      <c r="G1135" s="8">
        <f t="shared" si="110"/>
        <v>59</v>
      </c>
      <c r="H1135">
        <f t="shared" si="111"/>
        <v>5</v>
      </c>
      <c r="I1135" t="str">
        <f t="shared" si="109"/>
        <v>Thursday</v>
      </c>
      <c r="L1135">
        <f t="shared" si="112"/>
        <v>0</v>
      </c>
    </row>
    <row r="1136" spans="1:12" x14ac:dyDescent="0.25">
      <c r="A1136">
        <v>202139613</v>
      </c>
      <c r="B1136" s="1">
        <v>44959</v>
      </c>
      <c r="C1136" s="1">
        <v>44991</v>
      </c>
      <c r="D1136" t="s">
        <v>7</v>
      </c>
      <c r="E1136">
        <v>39</v>
      </c>
      <c r="F1136" t="s">
        <v>6</v>
      </c>
      <c r="G1136" s="8">
        <f t="shared" si="110"/>
        <v>32</v>
      </c>
      <c r="H1136">
        <f t="shared" si="111"/>
        <v>5</v>
      </c>
      <c r="I1136" t="str">
        <f t="shared" si="109"/>
        <v>Thursday</v>
      </c>
      <c r="L1136">
        <f t="shared" si="112"/>
        <v>0</v>
      </c>
    </row>
    <row r="1137" spans="1:12" x14ac:dyDescent="0.25">
      <c r="A1137">
        <v>202137510</v>
      </c>
      <c r="B1137" s="1">
        <v>44959</v>
      </c>
      <c r="C1137" s="1">
        <v>44995</v>
      </c>
      <c r="D1137" t="s">
        <v>7</v>
      </c>
      <c r="E1137">
        <v>39</v>
      </c>
      <c r="F1137" t="s">
        <v>6</v>
      </c>
      <c r="G1137" s="8">
        <f t="shared" si="110"/>
        <v>36</v>
      </c>
      <c r="H1137">
        <f t="shared" si="111"/>
        <v>5</v>
      </c>
      <c r="I1137" t="str">
        <f t="shared" si="109"/>
        <v>Thursday</v>
      </c>
      <c r="L1137">
        <f t="shared" si="112"/>
        <v>0</v>
      </c>
    </row>
    <row r="1138" spans="1:12" x14ac:dyDescent="0.25">
      <c r="A1138">
        <v>201182176</v>
      </c>
      <c r="B1138" s="1">
        <v>44959</v>
      </c>
      <c r="C1138" s="1">
        <v>44987</v>
      </c>
      <c r="D1138" t="s">
        <v>7</v>
      </c>
      <c r="E1138">
        <v>39</v>
      </c>
      <c r="F1138" t="s">
        <v>6</v>
      </c>
      <c r="G1138" s="8">
        <f t="shared" si="110"/>
        <v>28</v>
      </c>
      <c r="H1138">
        <f t="shared" si="111"/>
        <v>5</v>
      </c>
      <c r="I1138" t="str">
        <f t="shared" si="109"/>
        <v>Thursday</v>
      </c>
      <c r="L1138">
        <f t="shared" si="112"/>
        <v>0</v>
      </c>
    </row>
    <row r="1139" spans="1:12" x14ac:dyDescent="0.25">
      <c r="A1139">
        <v>202010803</v>
      </c>
      <c r="B1139" s="1">
        <v>44959</v>
      </c>
      <c r="C1139" s="1">
        <v>44986</v>
      </c>
      <c r="D1139" t="s">
        <v>7</v>
      </c>
      <c r="E1139">
        <v>39</v>
      </c>
      <c r="F1139" t="s">
        <v>6</v>
      </c>
      <c r="G1139" s="8">
        <f t="shared" si="110"/>
        <v>27</v>
      </c>
      <c r="H1139">
        <f t="shared" si="111"/>
        <v>5</v>
      </c>
      <c r="I1139" t="str">
        <f t="shared" si="109"/>
        <v>Thursday</v>
      </c>
      <c r="L1139">
        <f t="shared" si="112"/>
        <v>0</v>
      </c>
    </row>
    <row r="1140" spans="1:12" x14ac:dyDescent="0.25">
      <c r="A1140">
        <v>131734107</v>
      </c>
      <c r="B1140" s="1">
        <v>44960</v>
      </c>
      <c r="C1140" s="1">
        <v>45172</v>
      </c>
      <c r="D1140" t="s">
        <v>7</v>
      </c>
      <c r="E1140">
        <v>39</v>
      </c>
      <c r="F1140" t="s">
        <v>6</v>
      </c>
      <c r="G1140" s="8">
        <f t="shared" si="110"/>
        <v>212</v>
      </c>
      <c r="H1140">
        <f t="shared" si="111"/>
        <v>6</v>
      </c>
      <c r="I1140" t="str">
        <f t="shared" si="109"/>
        <v>Friday</v>
      </c>
      <c r="L1140">
        <f t="shared" si="112"/>
        <v>0</v>
      </c>
    </row>
    <row r="1141" spans="1:12" x14ac:dyDescent="0.25">
      <c r="A1141">
        <v>202277130</v>
      </c>
      <c r="B1141" s="1">
        <v>44960</v>
      </c>
      <c r="C1141" s="1">
        <v>45017</v>
      </c>
      <c r="D1141" t="s">
        <v>7</v>
      </c>
      <c r="E1141">
        <v>39</v>
      </c>
      <c r="F1141" t="s">
        <v>6</v>
      </c>
      <c r="G1141" s="8">
        <f t="shared" si="110"/>
        <v>57</v>
      </c>
      <c r="H1141">
        <f t="shared" si="111"/>
        <v>6</v>
      </c>
      <c r="I1141" t="str">
        <f t="shared" si="109"/>
        <v>Friday</v>
      </c>
      <c r="L1141">
        <f t="shared" si="112"/>
        <v>0</v>
      </c>
    </row>
    <row r="1142" spans="1:12" x14ac:dyDescent="0.25">
      <c r="A1142">
        <v>137196428</v>
      </c>
      <c r="B1142" s="1">
        <v>44960</v>
      </c>
      <c r="C1142" s="1">
        <v>44994</v>
      </c>
      <c r="D1142" t="s">
        <v>7</v>
      </c>
      <c r="E1142">
        <v>39</v>
      </c>
      <c r="F1142" t="s">
        <v>6</v>
      </c>
      <c r="G1142" s="8">
        <f t="shared" si="110"/>
        <v>34</v>
      </c>
      <c r="H1142">
        <f t="shared" si="111"/>
        <v>6</v>
      </c>
      <c r="I1142" t="str">
        <f t="shared" si="109"/>
        <v>Friday</v>
      </c>
      <c r="L1142">
        <f t="shared" si="112"/>
        <v>0</v>
      </c>
    </row>
    <row r="1143" spans="1:12" x14ac:dyDescent="0.25">
      <c r="A1143">
        <v>153568282</v>
      </c>
      <c r="B1143" s="1">
        <v>44960</v>
      </c>
      <c r="C1143" s="1">
        <v>44973</v>
      </c>
      <c r="D1143" t="s">
        <v>7</v>
      </c>
      <c r="E1143">
        <v>39</v>
      </c>
      <c r="F1143" t="s">
        <v>6</v>
      </c>
      <c r="G1143" s="8">
        <f t="shared" si="110"/>
        <v>13</v>
      </c>
      <c r="H1143">
        <f t="shared" si="111"/>
        <v>6</v>
      </c>
      <c r="I1143" t="str">
        <f t="shared" si="109"/>
        <v>Friday</v>
      </c>
      <c r="L1143">
        <f t="shared" si="112"/>
        <v>0</v>
      </c>
    </row>
    <row r="1144" spans="1:12" x14ac:dyDescent="0.25">
      <c r="A1144">
        <v>199895190</v>
      </c>
      <c r="B1144" s="1">
        <v>44960</v>
      </c>
      <c r="C1144" s="1">
        <v>44998</v>
      </c>
      <c r="D1144" t="s">
        <v>7</v>
      </c>
      <c r="E1144">
        <v>39</v>
      </c>
      <c r="F1144" t="s">
        <v>6</v>
      </c>
      <c r="G1144" s="8">
        <f t="shared" si="110"/>
        <v>38</v>
      </c>
      <c r="H1144">
        <f t="shared" si="111"/>
        <v>6</v>
      </c>
      <c r="I1144" t="str">
        <f t="shared" si="109"/>
        <v>Friday</v>
      </c>
      <c r="L1144">
        <f t="shared" si="112"/>
        <v>0</v>
      </c>
    </row>
    <row r="1145" spans="1:12" x14ac:dyDescent="0.25">
      <c r="A1145">
        <v>200894076</v>
      </c>
      <c r="B1145" s="1">
        <v>44960</v>
      </c>
      <c r="C1145" s="1">
        <v>45015</v>
      </c>
      <c r="D1145" t="s">
        <v>7</v>
      </c>
      <c r="E1145">
        <v>39</v>
      </c>
      <c r="F1145" t="s">
        <v>6</v>
      </c>
      <c r="G1145" s="8">
        <f t="shared" si="110"/>
        <v>55</v>
      </c>
      <c r="H1145">
        <f t="shared" si="111"/>
        <v>6</v>
      </c>
      <c r="I1145" t="str">
        <f t="shared" si="109"/>
        <v>Friday</v>
      </c>
      <c r="L1145">
        <f t="shared" si="112"/>
        <v>0</v>
      </c>
    </row>
    <row r="1146" spans="1:12" x14ac:dyDescent="0.25">
      <c r="A1146">
        <v>201162862</v>
      </c>
      <c r="B1146" s="1">
        <v>44960</v>
      </c>
      <c r="C1146" s="1">
        <v>44995</v>
      </c>
      <c r="D1146" t="s">
        <v>7</v>
      </c>
      <c r="E1146">
        <v>39</v>
      </c>
      <c r="F1146" t="s">
        <v>6</v>
      </c>
      <c r="G1146" s="8">
        <f t="shared" si="110"/>
        <v>35</v>
      </c>
      <c r="H1146">
        <f t="shared" si="111"/>
        <v>6</v>
      </c>
      <c r="I1146" t="str">
        <f t="shared" si="109"/>
        <v>Friday</v>
      </c>
      <c r="L1146">
        <f t="shared" si="112"/>
        <v>0</v>
      </c>
    </row>
    <row r="1147" spans="1:12" x14ac:dyDescent="0.25">
      <c r="A1147">
        <v>198748705</v>
      </c>
      <c r="B1147" s="1">
        <v>44960</v>
      </c>
      <c r="C1147" s="1">
        <v>45011</v>
      </c>
      <c r="D1147" t="s">
        <v>7</v>
      </c>
      <c r="E1147">
        <v>39</v>
      </c>
      <c r="F1147" t="s">
        <v>6</v>
      </c>
      <c r="G1147" s="8">
        <f t="shared" si="110"/>
        <v>51</v>
      </c>
      <c r="H1147">
        <f t="shared" si="111"/>
        <v>6</v>
      </c>
      <c r="I1147" t="str">
        <f t="shared" si="109"/>
        <v>Friday</v>
      </c>
      <c r="L1147">
        <f t="shared" si="112"/>
        <v>0</v>
      </c>
    </row>
    <row r="1148" spans="1:12" x14ac:dyDescent="0.25">
      <c r="A1148">
        <v>202308735</v>
      </c>
      <c r="B1148" s="1">
        <v>44960</v>
      </c>
      <c r="C1148" s="1">
        <v>45159</v>
      </c>
      <c r="D1148" t="s">
        <v>7</v>
      </c>
      <c r="E1148">
        <v>39</v>
      </c>
      <c r="F1148" t="s">
        <v>6</v>
      </c>
      <c r="G1148" s="8">
        <f t="shared" si="110"/>
        <v>199</v>
      </c>
      <c r="H1148">
        <f t="shared" si="111"/>
        <v>6</v>
      </c>
      <c r="I1148" t="str">
        <f t="shared" si="109"/>
        <v>Friday</v>
      </c>
      <c r="L1148">
        <f t="shared" si="112"/>
        <v>0</v>
      </c>
    </row>
    <row r="1149" spans="1:12" x14ac:dyDescent="0.25">
      <c r="A1149">
        <v>202276540</v>
      </c>
      <c r="B1149" s="1">
        <v>44960</v>
      </c>
      <c r="C1149" s="1">
        <v>45110</v>
      </c>
      <c r="D1149" t="s">
        <v>7</v>
      </c>
      <c r="E1149">
        <v>39</v>
      </c>
      <c r="F1149" t="s">
        <v>6</v>
      </c>
      <c r="G1149" s="8">
        <f t="shared" si="110"/>
        <v>150</v>
      </c>
      <c r="H1149">
        <f t="shared" si="111"/>
        <v>6</v>
      </c>
      <c r="I1149" t="str">
        <f t="shared" si="109"/>
        <v>Friday</v>
      </c>
      <c r="L1149">
        <f t="shared" si="112"/>
        <v>0</v>
      </c>
    </row>
    <row r="1150" spans="1:12" x14ac:dyDescent="0.25">
      <c r="A1150">
        <v>202401357</v>
      </c>
      <c r="B1150" s="1">
        <v>44961</v>
      </c>
      <c r="C1150" s="1">
        <f t="shared" ref="C1150" ca="1" si="116">TODAY()</f>
        <v>45938</v>
      </c>
      <c r="D1150" t="s">
        <v>7</v>
      </c>
      <c r="E1150">
        <v>39</v>
      </c>
      <c r="F1150" t="s">
        <v>6</v>
      </c>
      <c r="G1150" s="8">
        <f t="shared" ca="1" si="110"/>
        <v>977</v>
      </c>
      <c r="H1150">
        <f t="shared" si="111"/>
        <v>7</v>
      </c>
      <c r="I1150" t="str">
        <f t="shared" si="109"/>
        <v>Saturday</v>
      </c>
      <c r="L1150">
        <f t="shared" ca="1" si="112"/>
        <v>0</v>
      </c>
    </row>
    <row r="1151" spans="1:12" x14ac:dyDescent="0.25">
      <c r="A1151">
        <v>184539258</v>
      </c>
      <c r="B1151" s="1">
        <v>44961</v>
      </c>
      <c r="C1151" s="1">
        <v>45048</v>
      </c>
      <c r="D1151" t="s">
        <v>7</v>
      </c>
      <c r="E1151">
        <v>39</v>
      </c>
      <c r="F1151" t="s">
        <v>6</v>
      </c>
      <c r="G1151" s="8">
        <f t="shared" si="110"/>
        <v>87</v>
      </c>
      <c r="H1151">
        <f t="shared" si="111"/>
        <v>7</v>
      </c>
      <c r="I1151" t="str">
        <f t="shared" si="109"/>
        <v>Saturday</v>
      </c>
      <c r="L1151">
        <f t="shared" si="112"/>
        <v>0</v>
      </c>
    </row>
    <row r="1152" spans="1:12" x14ac:dyDescent="0.25">
      <c r="A1152">
        <v>202349754</v>
      </c>
      <c r="B1152" s="1">
        <v>44961</v>
      </c>
      <c r="C1152" s="1">
        <v>45054</v>
      </c>
      <c r="D1152" t="s">
        <v>7</v>
      </c>
      <c r="E1152">
        <v>39</v>
      </c>
      <c r="F1152" t="s">
        <v>6</v>
      </c>
      <c r="G1152" s="8">
        <f t="shared" si="110"/>
        <v>93</v>
      </c>
      <c r="H1152">
        <f t="shared" si="111"/>
        <v>7</v>
      </c>
      <c r="I1152" t="str">
        <f t="shared" si="109"/>
        <v>Saturday</v>
      </c>
      <c r="L1152">
        <f t="shared" si="112"/>
        <v>0</v>
      </c>
    </row>
    <row r="1153" spans="1:12" x14ac:dyDescent="0.25">
      <c r="A1153">
        <v>202410436</v>
      </c>
      <c r="B1153" s="1">
        <v>44961</v>
      </c>
      <c r="C1153" s="1">
        <v>44982</v>
      </c>
      <c r="D1153" t="s">
        <v>7</v>
      </c>
      <c r="E1153">
        <v>39</v>
      </c>
      <c r="F1153" t="s">
        <v>6</v>
      </c>
      <c r="G1153" s="8">
        <f t="shared" si="110"/>
        <v>21</v>
      </c>
      <c r="H1153">
        <f t="shared" si="111"/>
        <v>7</v>
      </c>
      <c r="I1153" t="str">
        <f t="shared" si="109"/>
        <v>Saturday</v>
      </c>
      <c r="L1153">
        <f t="shared" si="112"/>
        <v>0</v>
      </c>
    </row>
    <row r="1154" spans="1:12" x14ac:dyDescent="0.25">
      <c r="A1154">
        <v>197151544</v>
      </c>
      <c r="B1154" s="1">
        <v>44961</v>
      </c>
      <c r="C1154" s="1">
        <v>45006</v>
      </c>
      <c r="D1154" t="s">
        <v>7</v>
      </c>
      <c r="E1154">
        <v>39</v>
      </c>
      <c r="F1154" t="s">
        <v>6</v>
      </c>
      <c r="G1154" s="8">
        <f t="shared" si="110"/>
        <v>45</v>
      </c>
      <c r="H1154">
        <f t="shared" si="111"/>
        <v>7</v>
      </c>
      <c r="I1154" t="str">
        <f t="shared" ref="I1154:I1217" si="117">TEXT(B1154,"DDDD")</f>
        <v>Saturday</v>
      </c>
      <c r="L1154">
        <f t="shared" si="112"/>
        <v>0</v>
      </c>
    </row>
    <row r="1155" spans="1:12" x14ac:dyDescent="0.25">
      <c r="A1155">
        <v>202305934</v>
      </c>
      <c r="B1155" s="1">
        <v>44961</v>
      </c>
      <c r="C1155" s="1">
        <v>45004</v>
      </c>
      <c r="D1155" t="s">
        <v>7</v>
      </c>
      <c r="E1155">
        <v>39</v>
      </c>
      <c r="F1155" t="s">
        <v>6</v>
      </c>
      <c r="G1155" s="8">
        <f t="shared" ref="G1155:G1218" si="118">IFERROR(DATEDIF(B1155,C1155,"D"),"0")</f>
        <v>43</v>
      </c>
      <c r="H1155">
        <f t="shared" ref="H1155:H1218" si="119">WEEKDAY(B1155,1)</f>
        <v>7</v>
      </c>
      <c r="I1155" t="str">
        <f t="shared" si="117"/>
        <v>Saturday</v>
      </c>
      <c r="L1155">
        <f t="shared" ref="L1155:L1218" si="120">IF( OR($G1155=0,$G1155 = 1, $G1155 = 2), 1, 0 )</f>
        <v>0</v>
      </c>
    </row>
    <row r="1156" spans="1:12" x14ac:dyDescent="0.25">
      <c r="A1156">
        <v>202304812</v>
      </c>
      <c r="B1156" s="1">
        <v>44962</v>
      </c>
      <c r="C1156" s="1">
        <f t="shared" ref="C1156:C1160" ca="1" si="121">TODAY()</f>
        <v>45938</v>
      </c>
      <c r="D1156" t="s">
        <v>7</v>
      </c>
      <c r="E1156">
        <v>39</v>
      </c>
      <c r="F1156" t="s">
        <v>6</v>
      </c>
      <c r="G1156" s="8">
        <f t="shared" ca="1" si="118"/>
        <v>976</v>
      </c>
      <c r="H1156">
        <f t="shared" si="119"/>
        <v>1</v>
      </c>
      <c r="I1156" t="str">
        <f t="shared" si="117"/>
        <v>Sunday</v>
      </c>
      <c r="L1156">
        <f t="shared" ca="1" si="120"/>
        <v>0</v>
      </c>
    </row>
    <row r="1157" spans="1:12" x14ac:dyDescent="0.25">
      <c r="A1157">
        <v>160030890</v>
      </c>
      <c r="B1157" s="1">
        <v>44962</v>
      </c>
      <c r="C1157" s="1">
        <f t="shared" ca="1" si="121"/>
        <v>45938</v>
      </c>
      <c r="D1157" t="s">
        <v>7</v>
      </c>
      <c r="E1157">
        <v>39</v>
      </c>
      <c r="F1157" t="s">
        <v>6</v>
      </c>
      <c r="G1157" s="8">
        <f t="shared" ca="1" si="118"/>
        <v>976</v>
      </c>
      <c r="H1157">
        <f t="shared" si="119"/>
        <v>1</v>
      </c>
      <c r="I1157" t="str">
        <f t="shared" si="117"/>
        <v>Sunday</v>
      </c>
      <c r="L1157">
        <f t="shared" ca="1" si="120"/>
        <v>0</v>
      </c>
    </row>
    <row r="1158" spans="1:12" x14ac:dyDescent="0.25">
      <c r="A1158">
        <v>202524608</v>
      </c>
      <c r="B1158" s="1">
        <v>44962</v>
      </c>
      <c r="C1158" s="1">
        <f t="shared" ca="1" si="121"/>
        <v>45938</v>
      </c>
      <c r="D1158" t="s">
        <v>7</v>
      </c>
      <c r="E1158">
        <v>39</v>
      </c>
      <c r="F1158" t="s">
        <v>6</v>
      </c>
      <c r="G1158" s="8">
        <f t="shared" ca="1" si="118"/>
        <v>976</v>
      </c>
      <c r="H1158">
        <f t="shared" si="119"/>
        <v>1</v>
      </c>
      <c r="I1158" t="str">
        <f t="shared" si="117"/>
        <v>Sunday</v>
      </c>
      <c r="L1158">
        <f t="shared" ca="1" si="120"/>
        <v>0</v>
      </c>
    </row>
    <row r="1159" spans="1:12" x14ac:dyDescent="0.25">
      <c r="A1159">
        <v>198447368</v>
      </c>
      <c r="B1159" s="1">
        <v>44962</v>
      </c>
      <c r="C1159" s="1">
        <f t="shared" ca="1" si="121"/>
        <v>45938</v>
      </c>
      <c r="D1159" t="s">
        <v>7</v>
      </c>
      <c r="E1159">
        <v>39</v>
      </c>
      <c r="F1159" t="s">
        <v>6</v>
      </c>
      <c r="G1159" s="8">
        <f t="shared" ca="1" si="118"/>
        <v>976</v>
      </c>
      <c r="H1159">
        <f t="shared" si="119"/>
        <v>1</v>
      </c>
      <c r="I1159" t="str">
        <f t="shared" si="117"/>
        <v>Sunday</v>
      </c>
      <c r="L1159">
        <f t="shared" ca="1" si="120"/>
        <v>0</v>
      </c>
    </row>
    <row r="1160" spans="1:12" x14ac:dyDescent="0.25">
      <c r="A1160">
        <v>202458624</v>
      </c>
      <c r="B1160" s="1">
        <v>44962</v>
      </c>
      <c r="C1160" s="1">
        <f t="shared" ca="1" si="121"/>
        <v>45938</v>
      </c>
      <c r="D1160" t="s">
        <v>7</v>
      </c>
      <c r="E1160">
        <v>39</v>
      </c>
      <c r="F1160" t="s">
        <v>6</v>
      </c>
      <c r="G1160" s="8">
        <f t="shared" ca="1" si="118"/>
        <v>976</v>
      </c>
      <c r="H1160">
        <f t="shared" si="119"/>
        <v>1</v>
      </c>
      <c r="I1160" t="str">
        <f t="shared" si="117"/>
        <v>Sunday</v>
      </c>
      <c r="L1160">
        <f t="shared" ca="1" si="120"/>
        <v>0</v>
      </c>
    </row>
    <row r="1161" spans="1:12" x14ac:dyDescent="0.25">
      <c r="A1161">
        <v>132256211</v>
      </c>
      <c r="B1161" s="1">
        <v>44962</v>
      </c>
      <c r="C1161" s="1">
        <v>44997</v>
      </c>
      <c r="D1161" t="s">
        <v>7</v>
      </c>
      <c r="E1161">
        <v>39</v>
      </c>
      <c r="F1161" t="s">
        <v>6</v>
      </c>
      <c r="G1161" s="8">
        <f t="shared" si="118"/>
        <v>35</v>
      </c>
      <c r="H1161">
        <f t="shared" si="119"/>
        <v>1</v>
      </c>
      <c r="I1161" t="str">
        <f t="shared" si="117"/>
        <v>Sunday</v>
      </c>
      <c r="L1161">
        <f t="shared" si="120"/>
        <v>0</v>
      </c>
    </row>
    <row r="1162" spans="1:12" x14ac:dyDescent="0.25">
      <c r="A1162">
        <v>202504135</v>
      </c>
      <c r="B1162" s="1">
        <v>44962</v>
      </c>
      <c r="C1162" s="1">
        <v>45089</v>
      </c>
      <c r="D1162" t="s">
        <v>7</v>
      </c>
      <c r="E1162">
        <v>39</v>
      </c>
      <c r="F1162" t="s">
        <v>6</v>
      </c>
      <c r="G1162" s="8">
        <f t="shared" si="118"/>
        <v>127</v>
      </c>
      <c r="H1162">
        <f t="shared" si="119"/>
        <v>1</v>
      </c>
      <c r="I1162" t="str">
        <f t="shared" si="117"/>
        <v>Sunday</v>
      </c>
      <c r="L1162">
        <f t="shared" si="120"/>
        <v>0</v>
      </c>
    </row>
    <row r="1163" spans="1:12" x14ac:dyDescent="0.25">
      <c r="A1163">
        <v>192182455</v>
      </c>
      <c r="B1163" s="1">
        <v>44962</v>
      </c>
      <c r="C1163" s="1">
        <v>45052</v>
      </c>
      <c r="D1163" t="s">
        <v>7</v>
      </c>
      <c r="E1163">
        <v>39</v>
      </c>
      <c r="F1163" t="s">
        <v>6</v>
      </c>
      <c r="G1163" s="8">
        <f t="shared" si="118"/>
        <v>90</v>
      </c>
      <c r="H1163">
        <f t="shared" si="119"/>
        <v>1</v>
      </c>
      <c r="I1163" t="str">
        <f t="shared" si="117"/>
        <v>Sunday</v>
      </c>
      <c r="L1163">
        <f t="shared" si="120"/>
        <v>0</v>
      </c>
    </row>
    <row r="1164" spans="1:12" x14ac:dyDescent="0.25">
      <c r="A1164">
        <v>202505276</v>
      </c>
      <c r="B1164" s="1">
        <v>44962</v>
      </c>
      <c r="C1164" s="1">
        <v>44999</v>
      </c>
      <c r="D1164" t="s">
        <v>7</v>
      </c>
      <c r="E1164">
        <v>39</v>
      </c>
      <c r="F1164" t="s">
        <v>6</v>
      </c>
      <c r="G1164" s="8">
        <f t="shared" si="118"/>
        <v>37</v>
      </c>
      <c r="H1164">
        <f t="shared" si="119"/>
        <v>1</v>
      </c>
      <c r="I1164" t="str">
        <f t="shared" si="117"/>
        <v>Sunday</v>
      </c>
      <c r="L1164">
        <f t="shared" si="120"/>
        <v>0</v>
      </c>
    </row>
    <row r="1165" spans="1:12" x14ac:dyDescent="0.25">
      <c r="A1165">
        <v>152050632</v>
      </c>
      <c r="B1165" s="1">
        <v>44963</v>
      </c>
      <c r="C1165" s="1">
        <f t="shared" ref="C1165:C1170" ca="1" si="122">TODAY()</f>
        <v>45938</v>
      </c>
      <c r="D1165" t="s">
        <v>7</v>
      </c>
      <c r="E1165">
        <v>39</v>
      </c>
      <c r="F1165" t="s">
        <v>6</v>
      </c>
      <c r="G1165" s="8">
        <f t="shared" ca="1" si="118"/>
        <v>975</v>
      </c>
      <c r="H1165">
        <f t="shared" si="119"/>
        <v>2</v>
      </c>
      <c r="I1165" t="str">
        <f t="shared" si="117"/>
        <v>Monday</v>
      </c>
      <c r="L1165">
        <f t="shared" ca="1" si="120"/>
        <v>0</v>
      </c>
    </row>
    <row r="1166" spans="1:12" x14ac:dyDescent="0.25">
      <c r="A1166">
        <v>201313284</v>
      </c>
      <c r="B1166" s="1">
        <v>44963</v>
      </c>
      <c r="C1166" s="1">
        <f t="shared" ca="1" si="122"/>
        <v>45938</v>
      </c>
      <c r="D1166" t="s">
        <v>7</v>
      </c>
      <c r="E1166">
        <v>39</v>
      </c>
      <c r="F1166" t="s">
        <v>6</v>
      </c>
      <c r="G1166" s="8">
        <f t="shared" ca="1" si="118"/>
        <v>975</v>
      </c>
      <c r="H1166">
        <f t="shared" si="119"/>
        <v>2</v>
      </c>
      <c r="I1166" t="str">
        <f t="shared" si="117"/>
        <v>Monday</v>
      </c>
      <c r="L1166">
        <f t="shared" ca="1" si="120"/>
        <v>0</v>
      </c>
    </row>
    <row r="1167" spans="1:12" x14ac:dyDescent="0.25">
      <c r="A1167">
        <v>202118292</v>
      </c>
      <c r="B1167" s="1">
        <v>44963</v>
      </c>
      <c r="C1167" s="1">
        <f t="shared" ca="1" si="122"/>
        <v>45938</v>
      </c>
      <c r="D1167" t="s">
        <v>7</v>
      </c>
      <c r="E1167">
        <v>39</v>
      </c>
      <c r="F1167" t="s">
        <v>6</v>
      </c>
      <c r="G1167" s="8">
        <f t="shared" ca="1" si="118"/>
        <v>975</v>
      </c>
      <c r="H1167">
        <f t="shared" si="119"/>
        <v>2</v>
      </c>
      <c r="I1167" t="str">
        <f t="shared" si="117"/>
        <v>Monday</v>
      </c>
      <c r="L1167">
        <f t="shared" ca="1" si="120"/>
        <v>0</v>
      </c>
    </row>
    <row r="1168" spans="1:12" x14ac:dyDescent="0.25">
      <c r="A1168">
        <v>202298964</v>
      </c>
      <c r="B1168" s="1">
        <v>44963</v>
      </c>
      <c r="C1168" s="1">
        <f t="shared" ca="1" si="122"/>
        <v>45938</v>
      </c>
      <c r="D1168" t="s">
        <v>7</v>
      </c>
      <c r="E1168">
        <v>39</v>
      </c>
      <c r="F1168" t="s">
        <v>6</v>
      </c>
      <c r="G1168" s="8">
        <f t="shared" ca="1" si="118"/>
        <v>975</v>
      </c>
      <c r="H1168">
        <f t="shared" si="119"/>
        <v>2</v>
      </c>
      <c r="I1168" t="str">
        <f t="shared" si="117"/>
        <v>Monday</v>
      </c>
      <c r="L1168">
        <f t="shared" ca="1" si="120"/>
        <v>0</v>
      </c>
    </row>
    <row r="1169" spans="1:12" x14ac:dyDescent="0.25">
      <c r="A1169">
        <v>202496216</v>
      </c>
      <c r="B1169" s="1">
        <v>44963</v>
      </c>
      <c r="C1169" s="1">
        <f t="shared" ca="1" si="122"/>
        <v>45938</v>
      </c>
      <c r="D1169" t="s">
        <v>7</v>
      </c>
      <c r="E1169">
        <v>39</v>
      </c>
      <c r="F1169" t="s">
        <v>6</v>
      </c>
      <c r="G1169" s="8">
        <f t="shared" ca="1" si="118"/>
        <v>975</v>
      </c>
      <c r="H1169">
        <f t="shared" si="119"/>
        <v>2</v>
      </c>
      <c r="I1169" t="str">
        <f t="shared" si="117"/>
        <v>Monday</v>
      </c>
      <c r="L1169">
        <f t="shared" ca="1" si="120"/>
        <v>0</v>
      </c>
    </row>
    <row r="1170" spans="1:12" x14ac:dyDescent="0.25">
      <c r="A1170">
        <v>152354478</v>
      </c>
      <c r="B1170" s="1">
        <v>44963</v>
      </c>
      <c r="C1170" s="1">
        <f t="shared" ca="1" si="122"/>
        <v>45938</v>
      </c>
      <c r="D1170" t="s">
        <v>7</v>
      </c>
      <c r="E1170">
        <v>39</v>
      </c>
      <c r="F1170" t="s">
        <v>6</v>
      </c>
      <c r="G1170" s="8">
        <f t="shared" ca="1" si="118"/>
        <v>975</v>
      </c>
      <c r="H1170">
        <f t="shared" si="119"/>
        <v>2</v>
      </c>
      <c r="I1170" t="str">
        <f t="shared" si="117"/>
        <v>Monday</v>
      </c>
      <c r="L1170">
        <f t="shared" ca="1" si="120"/>
        <v>0</v>
      </c>
    </row>
    <row r="1171" spans="1:12" x14ac:dyDescent="0.25">
      <c r="A1171">
        <v>200490112</v>
      </c>
      <c r="B1171" s="1">
        <v>44963</v>
      </c>
      <c r="C1171" s="1">
        <v>44964</v>
      </c>
      <c r="D1171" t="s">
        <v>8</v>
      </c>
      <c r="E1171">
        <v>39</v>
      </c>
      <c r="F1171" t="s">
        <v>6</v>
      </c>
      <c r="G1171" s="8">
        <f t="shared" si="118"/>
        <v>1</v>
      </c>
      <c r="H1171">
        <f t="shared" si="119"/>
        <v>2</v>
      </c>
      <c r="I1171" t="str">
        <f t="shared" si="117"/>
        <v>Monday</v>
      </c>
      <c r="L1171">
        <f t="shared" si="120"/>
        <v>1</v>
      </c>
    </row>
    <row r="1172" spans="1:12" x14ac:dyDescent="0.25">
      <c r="A1172">
        <v>131310280</v>
      </c>
      <c r="B1172" s="1">
        <v>44963</v>
      </c>
      <c r="C1172" s="1">
        <v>44974</v>
      </c>
      <c r="D1172" t="s">
        <v>7</v>
      </c>
      <c r="E1172">
        <v>39</v>
      </c>
      <c r="F1172" t="s">
        <v>6</v>
      </c>
      <c r="G1172" s="8">
        <f t="shared" si="118"/>
        <v>11</v>
      </c>
      <c r="H1172">
        <f t="shared" si="119"/>
        <v>2</v>
      </c>
      <c r="I1172" t="str">
        <f t="shared" si="117"/>
        <v>Monday</v>
      </c>
      <c r="L1172">
        <f t="shared" si="120"/>
        <v>0</v>
      </c>
    </row>
    <row r="1173" spans="1:12" x14ac:dyDescent="0.25">
      <c r="A1173">
        <v>154161250</v>
      </c>
      <c r="B1173" s="1">
        <v>44963</v>
      </c>
      <c r="C1173" s="1">
        <v>45006</v>
      </c>
      <c r="D1173" t="s">
        <v>7</v>
      </c>
      <c r="E1173">
        <v>39</v>
      </c>
      <c r="F1173" t="s">
        <v>6</v>
      </c>
      <c r="G1173" s="8">
        <f t="shared" si="118"/>
        <v>43</v>
      </c>
      <c r="H1173">
        <f t="shared" si="119"/>
        <v>2</v>
      </c>
      <c r="I1173" t="str">
        <f t="shared" si="117"/>
        <v>Monday</v>
      </c>
      <c r="L1173">
        <f t="shared" si="120"/>
        <v>0</v>
      </c>
    </row>
    <row r="1174" spans="1:12" x14ac:dyDescent="0.25">
      <c r="A1174">
        <v>150521180</v>
      </c>
      <c r="B1174" s="1">
        <v>44963</v>
      </c>
      <c r="C1174" s="1">
        <v>45082</v>
      </c>
      <c r="D1174" t="s">
        <v>7</v>
      </c>
      <c r="E1174">
        <v>39</v>
      </c>
      <c r="F1174" t="s">
        <v>6</v>
      </c>
      <c r="G1174" s="8">
        <f t="shared" si="118"/>
        <v>119</v>
      </c>
      <c r="H1174">
        <f t="shared" si="119"/>
        <v>2</v>
      </c>
      <c r="I1174" t="str">
        <f t="shared" si="117"/>
        <v>Monday</v>
      </c>
      <c r="L1174">
        <f t="shared" si="120"/>
        <v>0</v>
      </c>
    </row>
    <row r="1175" spans="1:12" x14ac:dyDescent="0.25">
      <c r="A1175">
        <v>195280988</v>
      </c>
      <c r="B1175" s="1">
        <v>44963</v>
      </c>
      <c r="C1175" s="1">
        <v>45098</v>
      </c>
      <c r="D1175" t="s">
        <v>7</v>
      </c>
      <c r="E1175">
        <v>39</v>
      </c>
      <c r="F1175" t="s">
        <v>6</v>
      </c>
      <c r="G1175" s="8">
        <f t="shared" si="118"/>
        <v>135</v>
      </c>
      <c r="H1175">
        <f t="shared" si="119"/>
        <v>2</v>
      </c>
      <c r="I1175" t="str">
        <f t="shared" si="117"/>
        <v>Monday</v>
      </c>
      <c r="L1175">
        <f t="shared" si="120"/>
        <v>0</v>
      </c>
    </row>
    <row r="1176" spans="1:12" x14ac:dyDescent="0.25">
      <c r="A1176">
        <v>201231494</v>
      </c>
      <c r="B1176" s="1">
        <v>44963</v>
      </c>
      <c r="C1176" s="1">
        <v>45055</v>
      </c>
      <c r="D1176" t="s">
        <v>7</v>
      </c>
      <c r="E1176">
        <v>39</v>
      </c>
      <c r="F1176" t="s">
        <v>6</v>
      </c>
      <c r="G1176" s="8">
        <f t="shared" si="118"/>
        <v>92</v>
      </c>
      <c r="H1176">
        <f t="shared" si="119"/>
        <v>2</v>
      </c>
      <c r="I1176" t="str">
        <f t="shared" si="117"/>
        <v>Monday</v>
      </c>
      <c r="L1176">
        <f t="shared" si="120"/>
        <v>0</v>
      </c>
    </row>
    <row r="1177" spans="1:12" x14ac:dyDescent="0.25">
      <c r="A1177">
        <v>199554496</v>
      </c>
      <c r="B1177" s="1">
        <v>44963</v>
      </c>
      <c r="C1177" s="1">
        <v>44965</v>
      </c>
      <c r="D1177" t="s">
        <v>7</v>
      </c>
      <c r="E1177">
        <v>39</v>
      </c>
      <c r="F1177" t="s">
        <v>6</v>
      </c>
      <c r="G1177" s="8">
        <f t="shared" si="118"/>
        <v>2</v>
      </c>
      <c r="H1177">
        <f t="shared" si="119"/>
        <v>2</v>
      </c>
      <c r="I1177" t="str">
        <f t="shared" si="117"/>
        <v>Monday</v>
      </c>
      <c r="L1177">
        <f t="shared" si="120"/>
        <v>1</v>
      </c>
    </row>
    <row r="1178" spans="1:12" x14ac:dyDescent="0.25">
      <c r="A1178">
        <v>125747106</v>
      </c>
      <c r="B1178" s="1">
        <v>44963</v>
      </c>
      <c r="C1178" s="1">
        <v>44989</v>
      </c>
      <c r="D1178" t="s">
        <v>7</v>
      </c>
      <c r="E1178">
        <v>39</v>
      </c>
      <c r="F1178" t="s">
        <v>6</v>
      </c>
      <c r="G1178" s="8">
        <f t="shared" si="118"/>
        <v>26</v>
      </c>
      <c r="H1178">
        <f t="shared" si="119"/>
        <v>2</v>
      </c>
      <c r="I1178" t="str">
        <f t="shared" si="117"/>
        <v>Monday</v>
      </c>
      <c r="L1178">
        <f t="shared" si="120"/>
        <v>0</v>
      </c>
    </row>
    <row r="1179" spans="1:12" x14ac:dyDescent="0.25">
      <c r="A1179">
        <v>195345030</v>
      </c>
      <c r="B1179" s="1">
        <v>44963</v>
      </c>
      <c r="C1179" s="1">
        <v>44989</v>
      </c>
      <c r="D1179" t="s">
        <v>7</v>
      </c>
      <c r="E1179">
        <v>39</v>
      </c>
      <c r="F1179" t="s">
        <v>6</v>
      </c>
      <c r="G1179" s="8">
        <f t="shared" si="118"/>
        <v>26</v>
      </c>
      <c r="H1179">
        <f t="shared" si="119"/>
        <v>2</v>
      </c>
      <c r="I1179" t="str">
        <f t="shared" si="117"/>
        <v>Monday</v>
      </c>
      <c r="L1179">
        <f t="shared" si="120"/>
        <v>0</v>
      </c>
    </row>
    <row r="1180" spans="1:12" x14ac:dyDescent="0.25">
      <c r="A1180">
        <v>202269874</v>
      </c>
      <c r="B1180" s="1">
        <v>44963</v>
      </c>
      <c r="C1180" s="1">
        <v>45010</v>
      </c>
      <c r="D1180" t="s">
        <v>7</v>
      </c>
      <c r="E1180">
        <v>39</v>
      </c>
      <c r="F1180" t="s">
        <v>6</v>
      </c>
      <c r="G1180" s="8">
        <f t="shared" si="118"/>
        <v>47</v>
      </c>
      <c r="H1180">
        <f t="shared" si="119"/>
        <v>2</v>
      </c>
      <c r="I1180" t="str">
        <f t="shared" si="117"/>
        <v>Monday</v>
      </c>
      <c r="L1180">
        <f t="shared" si="120"/>
        <v>0</v>
      </c>
    </row>
    <row r="1181" spans="1:12" x14ac:dyDescent="0.25">
      <c r="A1181">
        <v>191036527</v>
      </c>
      <c r="B1181" s="1">
        <v>44963</v>
      </c>
      <c r="C1181" s="1">
        <v>44992</v>
      </c>
      <c r="D1181" t="s">
        <v>7</v>
      </c>
      <c r="E1181">
        <v>39</v>
      </c>
      <c r="F1181" t="s">
        <v>6</v>
      </c>
      <c r="G1181" s="8">
        <f t="shared" si="118"/>
        <v>29</v>
      </c>
      <c r="H1181">
        <f t="shared" si="119"/>
        <v>2</v>
      </c>
      <c r="I1181" t="str">
        <f t="shared" si="117"/>
        <v>Monday</v>
      </c>
      <c r="L1181">
        <f t="shared" si="120"/>
        <v>0</v>
      </c>
    </row>
    <row r="1182" spans="1:12" x14ac:dyDescent="0.25">
      <c r="A1182">
        <v>202633556</v>
      </c>
      <c r="B1182" s="1">
        <v>44963</v>
      </c>
      <c r="C1182" s="1">
        <v>44979</v>
      </c>
      <c r="D1182" t="s">
        <v>7</v>
      </c>
      <c r="E1182">
        <v>39</v>
      </c>
      <c r="F1182" t="s">
        <v>6</v>
      </c>
      <c r="G1182" s="8">
        <f t="shared" si="118"/>
        <v>16</v>
      </c>
      <c r="H1182">
        <f t="shared" si="119"/>
        <v>2</v>
      </c>
      <c r="I1182" t="str">
        <f t="shared" si="117"/>
        <v>Monday</v>
      </c>
      <c r="L1182">
        <f t="shared" si="120"/>
        <v>0</v>
      </c>
    </row>
    <row r="1183" spans="1:12" x14ac:dyDescent="0.25">
      <c r="A1183">
        <v>202750328</v>
      </c>
      <c r="B1183" s="1">
        <v>44963</v>
      </c>
      <c r="C1183" s="1">
        <v>45140</v>
      </c>
      <c r="D1183" t="s">
        <v>7</v>
      </c>
      <c r="E1183">
        <v>39</v>
      </c>
      <c r="F1183" t="s">
        <v>6</v>
      </c>
      <c r="G1183" s="8">
        <f t="shared" si="118"/>
        <v>177</v>
      </c>
      <c r="H1183">
        <f t="shared" si="119"/>
        <v>2</v>
      </c>
      <c r="I1183" t="str">
        <f t="shared" si="117"/>
        <v>Monday</v>
      </c>
      <c r="L1183">
        <f t="shared" si="120"/>
        <v>0</v>
      </c>
    </row>
    <row r="1184" spans="1:12" x14ac:dyDescent="0.25">
      <c r="A1184">
        <v>192781688</v>
      </c>
      <c r="B1184" s="1">
        <v>44964</v>
      </c>
      <c r="C1184" s="1">
        <f t="shared" ref="C1184:C1187" ca="1" si="123">TODAY()</f>
        <v>45938</v>
      </c>
      <c r="D1184" t="s">
        <v>7</v>
      </c>
      <c r="E1184">
        <v>39</v>
      </c>
      <c r="F1184" t="s">
        <v>6</v>
      </c>
      <c r="G1184" s="8">
        <f t="shared" ca="1" si="118"/>
        <v>974</v>
      </c>
      <c r="H1184">
        <f t="shared" si="119"/>
        <v>3</v>
      </c>
      <c r="I1184" t="str">
        <f t="shared" si="117"/>
        <v>Tuesday</v>
      </c>
      <c r="L1184">
        <f t="shared" ca="1" si="120"/>
        <v>0</v>
      </c>
    </row>
    <row r="1185" spans="1:12" x14ac:dyDescent="0.25">
      <c r="A1185">
        <v>196859472</v>
      </c>
      <c r="B1185" s="1">
        <v>44964</v>
      </c>
      <c r="C1185" s="1">
        <f t="shared" ca="1" si="123"/>
        <v>45938</v>
      </c>
      <c r="D1185" t="s">
        <v>7</v>
      </c>
      <c r="E1185">
        <v>39</v>
      </c>
      <c r="F1185" t="s">
        <v>6</v>
      </c>
      <c r="G1185" s="8">
        <f t="shared" ca="1" si="118"/>
        <v>974</v>
      </c>
      <c r="H1185">
        <f t="shared" si="119"/>
        <v>3</v>
      </c>
      <c r="I1185" t="str">
        <f t="shared" si="117"/>
        <v>Tuesday</v>
      </c>
      <c r="L1185">
        <f t="shared" ca="1" si="120"/>
        <v>0</v>
      </c>
    </row>
    <row r="1186" spans="1:12" x14ac:dyDescent="0.25">
      <c r="A1186">
        <v>200333728</v>
      </c>
      <c r="B1186" s="1">
        <v>44964</v>
      </c>
      <c r="C1186" s="1">
        <f t="shared" ca="1" si="123"/>
        <v>45938</v>
      </c>
      <c r="D1186" t="s">
        <v>7</v>
      </c>
      <c r="E1186">
        <v>39</v>
      </c>
      <c r="F1186" t="s">
        <v>6</v>
      </c>
      <c r="G1186" s="8">
        <f t="shared" ca="1" si="118"/>
        <v>974</v>
      </c>
      <c r="H1186">
        <f t="shared" si="119"/>
        <v>3</v>
      </c>
      <c r="I1186" t="str">
        <f t="shared" si="117"/>
        <v>Tuesday</v>
      </c>
      <c r="L1186">
        <f t="shared" ca="1" si="120"/>
        <v>0</v>
      </c>
    </row>
    <row r="1187" spans="1:12" x14ac:dyDescent="0.25">
      <c r="A1187">
        <v>129896329</v>
      </c>
      <c r="B1187" s="1">
        <v>44964</v>
      </c>
      <c r="C1187" s="1">
        <f t="shared" ca="1" si="123"/>
        <v>45938</v>
      </c>
      <c r="D1187" t="s">
        <v>7</v>
      </c>
      <c r="E1187">
        <v>39</v>
      </c>
      <c r="F1187" t="s">
        <v>6</v>
      </c>
      <c r="G1187" s="8">
        <f t="shared" ca="1" si="118"/>
        <v>974</v>
      </c>
      <c r="H1187">
        <f t="shared" si="119"/>
        <v>3</v>
      </c>
      <c r="I1187" t="str">
        <f t="shared" si="117"/>
        <v>Tuesday</v>
      </c>
      <c r="L1187">
        <f t="shared" ca="1" si="120"/>
        <v>0</v>
      </c>
    </row>
    <row r="1188" spans="1:12" x14ac:dyDescent="0.25">
      <c r="A1188">
        <v>168202891</v>
      </c>
      <c r="B1188" s="1">
        <v>44964</v>
      </c>
      <c r="C1188" s="1">
        <v>44964</v>
      </c>
      <c r="D1188" t="s">
        <v>8</v>
      </c>
      <c r="E1188">
        <v>39</v>
      </c>
      <c r="F1188" t="s">
        <v>6</v>
      </c>
      <c r="G1188" s="8">
        <f t="shared" si="118"/>
        <v>0</v>
      </c>
      <c r="H1188">
        <f t="shared" si="119"/>
        <v>3</v>
      </c>
      <c r="I1188" t="str">
        <f t="shared" si="117"/>
        <v>Tuesday</v>
      </c>
      <c r="L1188">
        <f t="shared" si="120"/>
        <v>1</v>
      </c>
    </row>
    <row r="1189" spans="1:12" x14ac:dyDescent="0.25">
      <c r="A1189">
        <v>202924219</v>
      </c>
      <c r="B1189" s="1">
        <v>44964</v>
      </c>
      <c r="C1189" s="1">
        <v>45097</v>
      </c>
      <c r="D1189" t="s">
        <v>7</v>
      </c>
      <c r="E1189">
        <v>39</v>
      </c>
      <c r="F1189" t="s">
        <v>6</v>
      </c>
      <c r="G1189" s="8">
        <f t="shared" si="118"/>
        <v>133</v>
      </c>
      <c r="H1189">
        <f t="shared" si="119"/>
        <v>3</v>
      </c>
      <c r="I1189" t="str">
        <f t="shared" si="117"/>
        <v>Tuesday</v>
      </c>
      <c r="L1189">
        <f t="shared" si="120"/>
        <v>0</v>
      </c>
    </row>
    <row r="1190" spans="1:12" x14ac:dyDescent="0.25">
      <c r="A1190">
        <v>202863670</v>
      </c>
      <c r="B1190" s="1">
        <v>44964</v>
      </c>
      <c r="C1190" s="1">
        <v>45030</v>
      </c>
      <c r="D1190" t="s">
        <v>7</v>
      </c>
      <c r="E1190">
        <v>39</v>
      </c>
      <c r="F1190" t="s">
        <v>6</v>
      </c>
      <c r="G1190" s="8">
        <f t="shared" si="118"/>
        <v>66</v>
      </c>
      <c r="H1190">
        <f t="shared" si="119"/>
        <v>3</v>
      </c>
      <c r="I1190" t="str">
        <f t="shared" si="117"/>
        <v>Tuesday</v>
      </c>
      <c r="L1190">
        <f t="shared" si="120"/>
        <v>0</v>
      </c>
    </row>
    <row r="1191" spans="1:12" x14ac:dyDescent="0.25">
      <c r="A1191">
        <v>202398629</v>
      </c>
      <c r="B1191" s="1">
        <v>44964</v>
      </c>
      <c r="C1191" s="1">
        <v>44991</v>
      </c>
      <c r="D1191" t="s">
        <v>7</v>
      </c>
      <c r="E1191">
        <v>39</v>
      </c>
      <c r="F1191" t="s">
        <v>6</v>
      </c>
      <c r="G1191" s="8">
        <f t="shared" si="118"/>
        <v>27</v>
      </c>
      <c r="H1191">
        <f t="shared" si="119"/>
        <v>3</v>
      </c>
      <c r="I1191" t="str">
        <f t="shared" si="117"/>
        <v>Tuesday</v>
      </c>
      <c r="L1191">
        <f t="shared" si="120"/>
        <v>0</v>
      </c>
    </row>
    <row r="1192" spans="1:12" x14ac:dyDescent="0.25">
      <c r="A1192">
        <v>188448878</v>
      </c>
      <c r="B1192" s="1">
        <v>44964</v>
      </c>
      <c r="C1192" s="1">
        <v>44964</v>
      </c>
      <c r="D1192" t="s">
        <v>7</v>
      </c>
      <c r="E1192">
        <v>39</v>
      </c>
      <c r="F1192" t="s">
        <v>6</v>
      </c>
      <c r="G1192" s="8">
        <f t="shared" si="118"/>
        <v>0</v>
      </c>
      <c r="H1192">
        <f t="shared" si="119"/>
        <v>3</v>
      </c>
      <c r="I1192" t="str">
        <f t="shared" si="117"/>
        <v>Tuesday</v>
      </c>
      <c r="L1192">
        <f t="shared" si="120"/>
        <v>1</v>
      </c>
    </row>
    <row r="1193" spans="1:12" x14ac:dyDescent="0.25">
      <c r="A1193">
        <v>203254948</v>
      </c>
      <c r="B1193" s="1">
        <v>44965</v>
      </c>
      <c r="C1193" s="1">
        <f t="shared" ref="C1193" ca="1" si="124">TODAY()</f>
        <v>45938</v>
      </c>
      <c r="D1193" t="s">
        <v>7</v>
      </c>
      <c r="E1193">
        <v>39</v>
      </c>
      <c r="F1193" t="s">
        <v>6</v>
      </c>
      <c r="G1193" s="8">
        <f t="shared" ca="1" si="118"/>
        <v>973</v>
      </c>
      <c r="H1193">
        <f t="shared" si="119"/>
        <v>4</v>
      </c>
      <c r="I1193" t="str">
        <f t="shared" si="117"/>
        <v>Wednesday</v>
      </c>
      <c r="L1193">
        <f t="shared" ca="1" si="120"/>
        <v>0</v>
      </c>
    </row>
    <row r="1194" spans="1:12" x14ac:dyDescent="0.25">
      <c r="A1194">
        <v>203120229</v>
      </c>
      <c r="B1194" s="1">
        <v>44965</v>
      </c>
      <c r="C1194" s="1">
        <v>45094</v>
      </c>
      <c r="D1194" t="s">
        <v>7</v>
      </c>
      <c r="E1194">
        <v>39</v>
      </c>
      <c r="F1194" t="s">
        <v>6</v>
      </c>
      <c r="G1194" s="8">
        <f t="shared" si="118"/>
        <v>129</v>
      </c>
      <c r="H1194">
        <f t="shared" si="119"/>
        <v>4</v>
      </c>
      <c r="I1194" t="str">
        <f t="shared" si="117"/>
        <v>Wednesday</v>
      </c>
      <c r="L1194">
        <f t="shared" si="120"/>
        <v>0</v>
      </c>
    </row>
    <row r="1195" spans="1:12" x14ac:dyDescent="0.25">
      <c r="A1195">
        <v>203225874</v>
      </c>
      <c r="B1195" s="1">
        <v>44965</v>
      </c>
      <c r="C1195" s="1">
        <v>45050</v>
      </c>
      <c r="D1195" t="s">
        <v>7</v>
      </c>
      <c r="E1195">
        <v>39</v>
      </c>
      <c r="F1195" t="s">
        <v>6</v>
      </c>
      <c r="G1195" s="8">
        <f t="shared" si="118"/>
        <v>85</v>
      </c>
      <c r="H1195">
        <f t="shared" si="119"/>
        <v>4</v>
      </c>
      <c r="I1195" t="str">
        <f t="shared" si="117"/>
        <v>Wednesday</v>
      </c>
      <c r="L1195">
        <f t="shared" si="120"/>
        <v>0</v>
      </c>
    </row>
    <row r="1196" spans="1:12" x14ac:dyDescent="0.25">
      <c r="A1196">
        <v>203107308</v>
      </c>
      <c r="B1196" s="1">
        <v>44965</v>
      </c>
      <c r="C1196" s="1">
        <v>45062</v>
      </c>
      <c r="D1196" t="s">
        <v>7</v>
      </c>
      <c r="E1196">
        <v>39</v>
      </c>
      <c r="F1196" t="s">
        <v>6</v>
      </c>
      <c r="G1196" s="8">
        <f t="shared" si="118"/>
        <v>97</v>
      </c>
      <c r="H1196">
        <f t="shared" si="119"/>
        <v>4</v>
      </c>
      <c r="I1196" t="str">
        <f t="shared" si="117"/>
        <v>Wednesday</v>
      </c>
      <c r="L1196">
        <f t="shared" si="120"/>
        <v>0</v>
      </c>
    </row>
    <row r="1197" spans="1:12" x14ac:dyDescent="0.25">
      <c r="A1197">
        <v>156558244</v>
      </c>
      <c r="B1197" s="1">
        <v>44965</v>
      </c>
      <c r="C1197" s="1">
        <v>45138</v>
      </c>
      <c r="D1197" t="s">
        <v>7</v>
      </c>
      <c r="E1197">
        <v>39</v>
      </c>
      <c r="F1197" t="s">
        <v>6</v>
      </c>
      <c r="G1197" s="8">
        <f t="shared" si="118"/>
        <v>173</v>
      </c>
      <c r="H1197">
        <f t="shared" si="119"/>
        <v>4</v>
      </c>
      <c r="I1197" t="str">
        <f t="shared" si="117"/>
        <v>Wednesday</v>
      </c>
      <c r="L1197">
        <f t="shared" si="120"/>
        <v>0</v>
      </c>
    </row>
    <row r="1198" spans="1:12" x14ac:dyDescent="0.25">
      <c r="A1198">
        <v>194306726</v>
      </c>
      <c r="B1198" s="1">
        <v>44965</v>
      </c>
      <c r="C1198" s="1">
        <v>44986</v>
      </c>
      <c r="D1198" t="s">
        <v>7</v>
      </c>
      <c r="E1198">
        <v>39</v>
      </c>
      <c r="F1198" t="s">
        <v>6</v>
      </c>
      <c r="G1198" s="8">
        <f t="shared" si="118"/>
        <v>21</v>
      </c>
      <c r="H1198">
        <f t="shared" si="119"/>
        <v>4</v>
      </c>
      <c r="I1198" t="str">
        <f t="shared" si="117"/>
        <v>Wednesday</v>
      </c>
      <c r="L1198">
        <f t="shared" si="120"/>
        <v>0</v>
      </c>
    </row>
    <row r="1199" spans="1:12" x14ac:dyDescent="0.25">
      <c r="A1199">
        <v>202410948</v>
      </c>
      <c r="B1199" s="1">
        <v>44965</v>
      </c>
      <c r="C1199" s="1">
        <v>45000</v>
      </c>
      <c r="D1199" t="s">
        <v>7</v>
      </c>
      <c r="E1199">
        <v>39</v>
      </c>
      <c r="F1199" t="s">
        <v>6</v>
      </c>
      <c r="G1199" s="8">
        <f t="shared" si="118"/>
        <v>35</v>
      </c>
      <c r="H1199">
        <f t="shared" si="119"/>
        <v>4</v>
      </c>
      <c r="I1199" t="str">
        <f t="shared" si="117"/>
        <v>Wednesday</v>
      </c>
      <c r="L1199">
        <f t="shared" si="120"/>
        <v>0</v>
      </c>
    </row>
    <row r="1200" spans="1:12" x14ac:dyDescent="0.25">
      <c r="A1200">
        <v>203166018</v>
      </c>
      <c r="B1200" s="1">
        <v>44965</v>
      </c>
      <c r="C1200" s="1">
        <v>44993</v>
      </c>
      <c r="D1200" t="s">
        <v>7</v>
      </c>
      <c r="E1200">
        <v>39</v>
      </c>
      <c r="F1200" t="s">
        <v>6</v>
      </c>
      <c r="G1200" s="8">
        <f t="shared" si="118"/>
        <v>28</v>
      </c>
      <c r="H1200">
        <f t="shared" si="119"/>
        <v>4</v>
      </c>
      <c r="I1200" t="str">
        <f t="shared" si="117"/>
        <v>Wednesday</v>
      </c>
      <c r="L1200">
        <f t="shared" si="120"/>
        <v>0</v>
      </c>
    </row>
    <row r="1201" spans="1:12" x14ac:dyDescent="0.25">
      <c r="A1201">
        <v>203116697</v>
      </c>
      <c r="B1201" s="1">
        <v>44965</v>
      </c>
      <c r="C1201" s="1">
        <v>45008</v>
      </c>
      <c r="D1201" t="s">
        <v>7</v>
      </c>
      <c r="E1201">
        <v>39</v>
      </c>
      <c r="F1201" t="s">
        <v>6</v>
      </c>
      <c r="G1201" s="8">
        <f t="shared" si="118"/>
        <v>43</v>
      </c>
      <c r="H1201">
        <f t="shared" si="119"/>
        <v>4</v>
      </c>
      <c r="I1201" t="str">
        <f t="shared" si="117"/>
        <v>Wednesday</v>
      </c>
      <c r="L1201">
        <f t="shared" si="120"/>
        <v>0</v>
      </c>
    </row>
    <row r="1202" spans="1:12" x14ac:dyDescent="0.25">
      <c r="A1202">
        <v>202982608</v>
      </c>
      <c r="B1202" s="1">
        <v>44965</v>
      </c>
      <c r="C1202" s="1">
        <v>44987</v>
      </c>
      <c r="D1202" t="s">
        <v>7</v>
      </c>
      <c r="E1202">
        <v>39</v>
      </c>
      <c r="F1202" t="s">
        <v>6</v>
      </c>
      <c r="G1202" s="8">
        <f t="shared" si="118"/>
        <v>22</v>
      </c>
      <c r="H1202">
        <f t="shared" si="119"/>
        <v>4</v>
      </c>
      <c r="I1202" t="str">
        <f t="shared" si="117"/>
        <v>Wednesday</v>
      </c>
      <c r="L1202">
        <f t="shared" si="120"/>
        <v>0</v>
      </c>
    </row>
    <row r="1203" spans="1:12" x14ac:dyDescent="0.25">
      <c r="A1203">
        <v>198167700</v>
      </c>
      <c r="B1203" s="1">
        <v>44965</v>
      </c>
      <c r="C1203" s="1">
        <v>44968</v>
      </c>
      <c r="D1203" t="s">
        <v>7</v>
      </c>
      <c r="E1203">
        <v>39</v>
      </c>
      <c r="F1203" t="s">
        <v>6</v>
      </c>
      <c r="G1203" s="8">
        <f t="shared" si="118"/>
        <v>3</v>
      </c>
      <c r="H1203">
        <f t="shared" si="119"/>
        <v>4</v>
      </c>
      <c r="I1203" t="str">
        <f t="shared" si="117"/>
        <v>Wednesday</v>
      </c>
      <c r="L1203">
        <f t="shared" si="120"/>
        <v>0</v>
      </c>
    </row>
    <row r="1204" spans="1:12" x14ac:dyDescent="0.25">
      <c r="A1204">
        <v>190567582</v>
      </c>
      <c r="B1204" s="1">
        <v>44965</v>
      </c>
      <c r="C1204" s="1">
        <v>44979</v>
      </c>
      <c r="D1204" t="s">
        <v>7</v>
      </c>
      <c r="E1204">
        <v>39</v>
      </c>
      <c r="F1204" t="s">
        <v>6</v>
      </c>
      <c r="G1204" s="8">
        <f t="shared" si="118"/>
        <v>14</v>
      </c>
      <c r="H1204">
        <f t="shared" si="119"/>
        <v>4</v>
      </c>
      <c r="I1204" t="str">
        <f t="shared" si="117"/>
        <v>Wednesday</v>
      </c>
      <c r="L1204">
        <f t="shared" si="120"/>
        <v>0</v>
      </c>
    </row>
    <row r="1205" spans="1:12" x14ac:dyDescent="0.25">
      <c r="A1205">
        <v>202699972</v>
      </c>
      <c r="B1205" s="1">
        <v>44965</v>
      </c>
      <c r="C1205" s="1">
        <v>45145</v>
      </c>
      <c r="D1205" t="s">
        <v>7</v>
      </c>
      <c r="E1205">
        <v>39</v>
      </c>
      <c r="F1205" t="s">
        <v>6</v>
      </c>
      <c r="G1205" s="8">
        <f t="shared" si="118"/>
        <v>180</v>
      </c>
      <c r="H1205">
        <f t="shared" si="119"/>
        <v>4</v>
      </c>
      <c r="I1205" t="str">
        <f t="shared" si="117"/>
        <v>Wednesday</v>
      </c>
      <c r="L1205">
        <f t="shared" si="120"/>
        <v>0</v>
      </c>
    </row>
    <row r="1206" spans="1:12" x14ac:dyDescent="0.25">
      <c r="A1206">
        <v>203242766</v>
      </c>
      <c r="B1206" s="1">
        <v>44966</v>
      </c>
      <c r="C1206" s="1">
        <f t="shared" ref="C1206:C1212" ca="1" si="125">TODAY()</f>
        <v>45938</v>
      </c>
      <c r="D1206" t="s">
        <v>7</v>
      </c>
      <c r="E1206">
        <v>39</v>
      </c>
      <c r="F1206" t="s">
        <v>6</v>
      </c>
      <c r="G1206" s="8">
        <f t="shared" ca="1" si="118"/>
        <v>972</v>
      </c>
      <c r="H1206">
        <f t="shared" si="119"/>
        <v>5</v>
      </c>
      <c r="I1206" t="str">
        <f t="shared" si="117"/>
        <v>Thursday</v>
      </c>
      <c r="L1206">
        <f t="shared" ca="1" si="120"/>
        <v>0</v>
      </c>
    </row>
    <row r="1207" spans="1:12" x14ac:dyDescent="0.25">
      <c r="A1207">
        <v>203398103</v>
      </c>
      <c r="B1207" s="1">
        <v>44966</v>
      </c>
      <c r="C1207" s="1">
        <f t="shared" ca="1" si="125"/>
        <v>45938</v>
      </c>
      <c r="D1207" t="s">
        <v>7</v>
      </c>
      <c r="E1207">
        <v>39</v>
      </c>
      <c r="F1207" t="s">
        <v>6</v>
      </c>
      <c r="G1207" s="8">
        <f t="shared" ca="1" si="118"/>
        <v>972</v>
      </c>
      <c r="H1207">
        <f t="shared" si="119"/>
        <v>5</v>
      </c>
      <c r="I1207" t="str">
        <f t="shared" si="117"/>
        <v>Thursday</v>
      </c>
      <c r="L1207">
        <f t="shared" ca="1" si="120"/>
        <v>0</v>
      </c>
    </row>
    <row r="1208" spans="1:12" x14ac:dyDescent="0.25">
      <c r="A1208">
        <v>203243685</v>
      </c>
      <c r="B1208" s="1">
        <v>44966</v>
      </c>
      <c r="C1208" s="1">
        <f t="shared" ca="1" si="125"/>
        <v>45938</v>
      </c>
      <c r="D1208" t="s">
        <v>7</v>
      </c>
      <c r="E1208">
        <v>39</v>
      </c>
      <c r="F1208" t="s">
        <v>6</v>
      </c>
      <c r="G1208" s="8">
        <f t="shared" ca="1" si="118"/>
        <v>972</v>
      </c>
      <c r="H1208">
        <f t="shared" si="119"/>
        <v>5</v>
      </c>
      <c r="I1208" t="str">
        <f t="shared" si="117"/>
        <v>Thursday</v>
      </c>
      <c r="L1208">
        <f t="shared" ca="1" si="120"/>
        <v>0</v>
      </c>
    </row>
    <row r="1209" spans="1:12" x14ac:dyDescent="0.25">
      <c r="A1209">
        <v>203370322</v>
      </c>
      <c r="B1209" s="1">
        <v>44966</v>
      </c>
      <c r="C1209" s="1">
        <f t="shared" ca="1" si="125"/>
        <v>45938</v>
      </c>
      <c r="D1209" t="s">
        <v>7</v>
      </c>
      <c r="E1209">
        <v>39</v>
      </c>
      <c r="F1209" t="s">
        <v>6</v>
      </c>
      <c r="G1209" s="8">
        <f t="shared" ca="1" si="118"/>
        <v>972</v>
      </c>
      <c r="H1209">
        <f t="shared" si="119"/>
        <v>5</v>
      </c>
      <c r="I1209" t="str">
        <f t="shared" si="117"/>
        <v>Thursday</v>
      </c>
      <c r="L1209">
        <f t="shared" ca="1" si="120"/>
        <v>0</v>
      </c>
    </row>
    <row r="1210" spans="1:12" x14ac:dyDescent="0.25">
      <c r="A1210">
        <v>138689458</v>
      </c>
      <c r="B1210" s="1">
        <v>44966</v>
      </c>
      <c r="C1210" s="1">
        <f t="shared" ca="1" si="125"/>
        <v>45938</v>
      </c>
      <c r="D1210" t="s">
        <v>7</v>
      </c>
      <c r="E1210">
        <v>39</v>
      </c>
      <c r="F1210" t="s">
        <v>6</v>
      </c>
      <c r="G1210" s="8">
        <f t="shared" ca="1" si="118"/>
        <v>972</v>
      </c>
      <c r="H1210">
        <f t="shared" si="119"/>
        <v>5</v>
      </c>
      <c r="I1210" t="str">
        <f t="shared" si="117"/>
        <v>Thursday</v>
      </c>
      <c r="L1210">
        <f t="shared" ca="1" si="120"/>
        <v>0</v>
      </c>
    </row>
    <row r="1211" spans="1:12" x14ac:dyDescent="0.25">
      <c r="A1211">
        <v>203315186</v>
      </c>
      <c r="B1211" s="1">
        <v>44966</v>
      </c>
      <c r="C1211" s="1">
        <f t="shared" ca="1" si="125"/>
        <v>45938</v>
      </c>
      <c r="D1211" t="s">
        <v>7</v>
      </c>
      <c r="E1211">
        <v>39</v>
      </c>
      <c r="F1211" t="s">
        <v>6</v>
      </c>
      <c r="G1211" s="8">
        <f t="shared" ca="1" si="118"/>
        <v>972</v>
      </c>
      <c r="H1211">
        <f t="shared" si="119"/>
        <v>5</v>
      </c>
      <c r="I1211" t="str">
        <f t="shared" si="117"/>
        <v>Thursday</v>
      </c>
      <c r="L1211">
        <f t="shared" ca="1" si="120"/>
        <v>0</v>
      </c>
    </row>
    <row r="1212" spans="1:12" x14ac:dyDescent="0.25">
      <c r="A1212">
        <v>203292575</v>
      </c>
      <c r="B1212" s="1">
        <v>44966</v>
      </c>
      <c r="C1212" s="1">
        <f t="shared" ca="1" si="125"/>
        <v>45938</v>
      </c>
      <c r="D1212" t="s">
        <v>7</v>
      </c>
      <c r="E1212">
        <v>39</v>
      </c>
      <c r="F1212" t="s">
        <v>6</v>
      </c>
      <c r="G1212" s="8">
        <f t="shared" ca="1" si="118"/>
        <v>972</v>
      </c>
      <c r="H1212">
        <f t="shared" si="119"/>
        <v>5</v>
      </c>
      <c r="I1212" t="str">
        <f t="shared" si="117"/>
        <v>Thursday</v>
      </c>
      <c r="L1212">
        <f t="shared" ca="1" si="120"/>
        <v>0</v>
      </c>
    </row>
    <row r="1213" spans="1:12" x14ac:dyDescent="0.25">
      <c r="A1213">
        <v>144830936</v>
      </c>
      <c r="B1213" s="1">
        <v>44966</v>
      </c>
      <c r="C1213" s="1">
        <v>44967</v>
      </c>
      <c r="D1213" t="s">
        <v>7</v>
      </c>
      <c r="E1213">
        <v>39</v>
      </c>
      <c r="F1213" t="s">
        <v>6</v>
      </c>
      <c r="G1213" s="8">
        <f t="shared" si="118"/>
        <v>1</v>
      </c>
      <c r="H1213">
        <f t="shared" si="119"/>
        <v>5</v>
      </c>
      <c r="I1213" t="str">
        <f t="shared" si="117"/>
        <v>Thursday</v>
      </c>
      <c r="L1213">
        <f t="shared" si="120"/>
        <v>1</v>
      </c>
    </row>
    <row r="1214" spans="1:12" x14ac:dyDescent="0.25">
      <c r="A1214">
        <v>168980588</v>
      </c>
      <c r="B1214" s="1">
        <v>44966</v>
      </c>
      <c r="C1214" s="1">
        <v>44966</v>
      </c>
      <c r="D1214" t="s">
        <v>8</v>
      </c>
      <c r="E1214">
        <v>39</v>
      </c>
      <c r="F1214" t="s">
        <v>6</v>
      </c>
      <c r="G1214" s="8">
        <f t="shared" si="118"/>
        <v>0</v>
      </c>
      <c r="H1214">
        <f t="shared" si="119"/>
        <v>5</v>
      </c>
      <c r="I1214" t="str">
        <f t="shared" si="117"/>
        <v>Thursday</v>
      </c>
      <c r="L1214">
        <f t="shared" si="120"/>
        <v>1</v>
      </c>
    </row>
    <row r="1215" spans="1:12" x14ac:dyDescent="0.25">
      <c r="A1215">
        <v>136832520</v>
      </c>
      <c r="B1215" s="1">
        <v>44966</v>
      </c>
      <c r="C1215" s="1">
        <v>44995</v>
      </c>
      <c r="D1215" t="s">
        <v>7</v>
      </c>
      <c r="E1215">
        <v>39</v>
      </c>
      <c r="F1215" t="s">
        <v>6</v>
      </c>
      <c r="G1215" s="8">
        <f t="shared" si="118"/>
        <v>29</v>
      </c>
      <c r="H1215">
        <f t="shared" si="119"/>
        <v>5</v>
      </c>
      <c r="I1215" t="str">
        <f t="shared" si="117"/>
        <v>Thursday</v>
      </c>
      <c r="L1215">
        <f t="shared" si="120"/>
        <v>0</v>
      </c>
    </row>
    <row r="1216" spans="1:12" x14ac:dyDescent="0.25">
      <c r="A1216">
        <v>202103959</v>
      </c>
      <c r="B1216" s="1">
        <v>44966</v>
      </c>
      <c r="C1216" s="1">
        <v>45073</v>
      </c>
      <c r="D1216" t="s">
        <v>7</v>
      </c>
      <c r="E1216">
        <v>39</v>
      </c>
      <c r="F1216" t="s">
        <v>6</v>
      </c>
      <c r="G1216" s="8">
        <f t="shared" si="118"/>
        <v>107</v>
      </c>
      <c r="H1216">
        <f t="shared" si="119"/>
        <v>5</v>
      </c>
      <c r="I1216" t="str">
        <f t="shared" si="117"/>
        <v>Thursday</v>
      </c>
      <c r="L1216">
        <f t="shared" si="120"/>
        <v>0</v>
      </c>
    </row>
    <row r="1217" spans="1:12" x14ac:dyDescent="0.25">
      <c r="A1217">
        <v>148764147</v>
      </c>
      <c r="B1217" s="1">
        <v>44966</v>
      </c>
      <c r="C1217" s="1">
        <v>45024</v>
      </c>
      <c r="D1217" t="s">
        <v>7</v>
      </c>
      <c r="E1217">
        <v>39</v>
      </c>
      <c r="F1217" t="s">
        <v>6</v>
      </c>
      <c r="G1217" s="8">
        <f t="shared" si="118"/>
        <v>58</v>
      </c>
      <c r="H1217">
        <f t="shared" si="119"/>
        <v>5</v>
      </c>
      <c r="I1217" t="str">
        <f t="shared" si="117"/>
        <v>Thursday</v>
      </c>
      <c r="L1217">
        <f t="shared" si="120"/>
        <v>0</v>
      </c>
    </row>
    <row r="1218" spans="1:12" x14ac:dyDescent="0.25">
      <c r="A1218">
        <v>182748610</v>
      </c>
      <c r="B1218" s="1">
        <v>44966</v>
      </c>
      <c r="C1218" s="1">
        <v>45027</v>
      </c>
      <c r="D1218" t="s">
        <v>7</v>
      </c>
      <c r="E1218">
        <v>39</v>
      </c>
      <c r="F1218" t="s">
        <v>6</v>
      </c>
      <c r="G1218" s="8">
        <f t="shared" si="118"/>
        <v>61</v>
      </c>
      <c r="H1218">
        <f t="shared" si="119"/>
        <v>5</v>
      </c>
      <c r="I1218" t="str">
        <f t="shared" ref="I1218:I1281" si="126">TEXT(B1218,"DDDD")</f>
        <v>Thursday</v>
      </c>
      <c r="L1218">
        <f t="shared" si="120"/>
        <v>0</v>
      </c>
    </row>
    <row r="1219" spans="1:12" x14ac:dyDescent="0.25">
      <c r="A1219">
        <v>197883626</v>
      </c>
      <c r="B1219" s="1">
        <v>44966</v>
      </c>
      <c r="C1219" s="1">
        <v>45001</v>
      </c>
      <c r="D1219" t="s">
        <v>7</v>
      </c>
      <c r="E1219">
        <v>39</v>
      </c>
      <c r="F1219" t="s">
        <v>6</v>
      </c>
      <c r="G1219" s="8">
        <f t="shared" ref="G1219:G1282" si="127">IFERROR(DATEDIF(B1219,C1219,"D"),"0")</f>
        <v>35</v>
      </c>
      <c r="H1219">
        <f t="shared" ref="H1219:H1282" si="128">WEEKDAY(B1219,1)</f>
        <v>5</v>
      </c>
      <c r="I1219" t="str">
        <f t="shared" si="126"/>
        <v>Thursday</v>
      </c>
      <c r="L1219">
        <f t="shared" ref="L1219:L1282" si="129">IF( OR($G1219=0,$G1219 = 1, $G1219 = 2), 1, 0 )</f>
        <v>0</v>
      </c>
    </row>
    <row r="1220" spans="1:12" x14ac:dyDescent="0.25">
      <c r="A1220">
        <v>195893842</v>
      </c>
      <c r="B1220" s="1">
        <v>44966</v>
      </c>
      <c r="C1220" s="1">
        <v>44985</v>
      </c>
      <c r="D1220" t="s">
        <v>7</v>
      </c>
      <c r="E1220">
        <v>39</v>
      </c>
      <c r="F1220" t="s">
        <v>6</v>
      </c>
      <c r="G1220" s="8">
        <f t="shared" si="127"/>
        <v>19</v>
      </c>
      <c r="H1220">
        <f t="shared" si="128"/>
        <v>5</v>
      </c>
      <c r="I1220" t="str">
        <f t="shared" si="126"/>
        <v>Thursday</v>
      </c>
      <c r="L1220">
        <f t="shared" si="129"/>
        <v>0</v>
      </c>
    </row>
    <row r="1221" spans="1:12" x14ac:dyDescent="0.25">
      <c r="A1221">
        <v>169081778</v>
      </c>
      <c r="B1221" s="1">
        <v>44966</v>
      </c>
      <c r="C1221" s="1">
        <v>45154</v>
      </c>
      <c r="D1221" t="s">
        <v>7</v>
      </c>
      <c r="E1221">
        <v>39</v>
      </c>
      <c r="F1221" t="s">
        <v>6</v>
      </c>
      <c r="G1221" s="8">
        <f t="shared" si="127"/>
        <v>188</v>
      </c>
      <c r="H1221">
        <f t="shared" si="128"/>
        <v>5</v>
      </c>
      <c r="I1221" t="str">
        <f t="shared" si="126"/>
        <v>Thursday</v>
      </c>
      <c r="L1221">
        <f t="shared" si="129"/>
        <v>0</v>
      </c>
    </row>
    <row r="1222" spans="1:12" x14ac:dyDescent="0.25">
      <c r="A1222">
        <v>150422738</v>
      </c>
      <c r="B1222" s="1">
        <v>44967</v>
      </c>
      <c r="C1222" s="1">
        <v>44968</v>
      </c>
      <c r="D1222" t="s">
        <v>7</v>
      </c>
      <c r="E1222">
        <v>39</v>
      </c>
      <c r="F1222" t="s">
        <v>6</v>
      </c>
      <c r="G1222" s="8">
        <f t="shared" si="127"/>
        <v>1</v>
      </c>
      <c r="H1222">
        <f t="shared" si="128"/>
        <v>6</v>
      </c>
      <c r="I1222" t="str">
        <f t="shared" si="126"/>
        <v>Friday</v>
      </c>
      <c r="L1222">
        <f t="shared" si="129"/>
        <v>1</v>
      </c>
    </row>
    <row r="1223" spans="1:12" x14ac:dyDescent="0.25">
      <c r="A1223">
        <v>190839721</v>
      </c>
      <c r="B1223" s="1">
        <v>44967</v>
      </c>
      <c r="C1223" s="1">
        <v>45002</v>
      </c>
      <c r="D1223" t="s">
        <v>7</v>
      </c>
      <c r="E1223">
        <v>39</v>
      </c>
      <c r="F1223" t="s">
        <v>6</v>
      </c>
      <c r="G1223" s="8">
        <f t="shared" si="127"/>
        <v>35</v>
      </c>
      <c r="H1223">
        <f t="shared" si="128"/>
        <v>6</v>
      </c>
      <c r="I1223" t="str">
        <f t="shared" si="126"/>
        <v>Friday</v>
      </c>
      <c r="L1223">
        <f t="shared" si="129"/>
        <v>0</v>
      </c>
    </row>
    <row r="1224" spans="1:12" x14ac:dyDescent="0.25">
      <c r="A1224">
        <v>152193617</v>
      </c>
      <c r="B1224" s="1">
        <v>44968</v>
      </c>
      <c r="C1224" s="1">
        <f t="shared" ref="C1224" ca="1" si="130">TODAY()</f>
        <v>45938</v>
      </c>
      <c r="D1224" t="s">
        <v>7</v>
      </c>
      <c r="E1224">
        <v>39</v>
      </c>
      <c r="F1224" t="s">
        <v>6</v>
      </c>
      <c r="G1224" s="8">
        <f t="shared" ca="1" si="127"/>
        <v>970</v>
      </c>
      <c r="H1224">
        <f t="shared" si="128"/>
        <v>7</v>
      </c>
      <c r="I1224" t="str">
        <f t="shared" si="126"/>
        <v>Saturday</v>
      </c>
      <c r="L1224">
        <f t="shared" ca="1" si="129"/>
        <v>0</v>
      </c>
    </row>
    <row r="1225" spans="1:12" x14ac:dyDescent="0.25">
      <c r="A1225">
        <v>133869989</v>
      </c>
      <c r="B1225" s="1">
        <v>44968</v>
      </c>
      <c r="C1225" s="1">
        <v>44969</v>
      </c>
      <c r="D1225" t="s">
        <v>7</v>
      </c>
      <c r="E1225">
        <v>39</v>
      </c>
      <c r="F1225" t="s">
        <v>6</v>
      </c>
      <c r="G1225" s="8">
        <f t="shared" si="127"/>
        <v>1</v>
      </c>
      <c r="H1225">
        <f t="shared" si="128"/>
        <v>7</v>
      </c>
      <c r="I1225" t="str">
        <f t="shared" si="126"/>
        <v>Saturday</v>
      </c>
      <c r="L1225">
        <f t="shared" si="129"/>
        <v>1</v>
      </c>
    </row>
    <row r="1226" spans="1:12" x14ac:dyDescent="0.25">
      <c r="A1226">
        <v>186843516</v>
      </c>
      <c r="B1226" s="1">
        <v>44968</v>
      </c>
      <c r="C1226" s="1">
        <v>45035</v>
      </c>
      <c r="D1226" t="s">
        <v>7</v>
      </c>
      <c r="E1226">
        <v>39</v>
      </c>
      <c r="F1226" t="s">
        <v>6</v>
      </c>
      <c r="G1226" s="8">
        <f t="shared" si="127"/>
        <v>67</v>
      </c>
      <c r="H1226">
        <f t="shared" si="128"/>
        <v>7</v>
      </c>
      <c r="I1226" t="str">
        <f t="shared" si="126"/>
        <v>Saturday</v>
      </c>
      <c r="L1226">
        <f t="shared" si="129"/>
        <v>0</v>
      </c>
    </row>
    <row r="1227" spans="1:12" x14ac:dyDescent="0.25">
      <c r="A1227">
        <v>138913080</v>
      </c>
      <c r="B1227" s="1">
        <v>44968</v>
      </c>
      <c r="C1227" s="1">
        <v>45038</v>
      </c>
      <c r="D1227" t="s">
        <v>7</v>
      </c>
      <c r="E1227">
        <v>39</v>
      </c>
      <c r="F1227" t="s">
        <v>6</v>
      </c>
      <c r="G1227" s="8">
        <f t="shared" si="127"/>
        <v>70</v>
      </c>
      <c r="H1227">
        <f t="shared" si="128"/>
        <v>7</v>
      </c>
      <c r="I1227" t="str">
        <f t="shared" si="126"/>
        <v>Saturday</v>
      </c>
      <c r="L1227">
        <f t="shared" si="129"/>
        <v>0</v>
      </c>
    </row>
    <row r="1228" spans="1:12" x14ac:dyDescent="0.25">
      <c r="A1228">
        <v>134879280</v>
      </c>
      <c r="B1228" s="1">
        <v>44968</v>
      </c>
      <c r="C1228" s="1">
        <v>44992</v>
      </c>
      <c r="D1228" t="s">
        <v>7</v>
      </c>
      <c r="E1228">
        <v>39</v>
      </c>
      <c r="F1228" t="s">
        <v>6</v>
      </c>
      <c r="G1228" s="8">
        <f t="shared" si="127"/>
        <v>24</v>
      </c>
      <c r="H1228">
        <f t="shared" si="128"/>
        <v>7</v>
      </c>
      <c r="I1228" t="str">
        <f t="shared" si="126"/>
        <v>Saturday</v>
      </c>
      <c r="L1228">
        <f t="shared" si="129"/>
        <v>0</v>
      </c>
    </row>
    <row r="1229" spans="1:12" x14ac:dyDescent="0.25">
      <c r="A1229">
        <v>160878134</v>
      </c>
      <c r="B1229" s="1">
        <v>44970</v>
      </c>
      <c r="C1229" s="1">
        <f t="shared" ref="C1229" ca="1" si="131">TODAY()</f>
        <v>45938</v>
      </c>
      <c r="D1229" t="s">
        <v>7</v>
      </c>
      <c r="E1229">
        <v>39</v>
      </c>
      <c r="F1229" t="s">
        <v>6</v>
      </c>
      <c r="G1229" s="8">
        <f t="shared" ca="1" si="127"/>
        <v>968</v>
      </c>
      <c r="H1229">
        <f t="shared" si="128"/>
        <v>2</v>
      </c>
      <c r="I1229" t="str">
        <f t="shared" si="126"/>
        <v>Monday</v>
      </c>
      <c r="L1229">
        <f t="shared" ca="1" si="129"/>
        <v>0</v>
      </c>
    </row>
    <row r="1230" spans="1:12" x14ac:dyDescent="0.25">
      <c r="A1230">
        <v>144423338</v>
      </c>
      <c r="B1230" s="1">
        <v>44970</v>
      </c>
      <c r="C1230" s="1">
        <v>45159</v>
      </c>
      <c r="D1230" t="s">
        <v>7</v>
      </c>
      <c r="E1230">
        <v>39</v>
      </c>
      <c r="F1230" t="s">
        <v>6</v>
      </c>
      <c r="G1230" s="8">
        <f t="shared" si="127"/>
        <v>189</v>
      </c>
      <c r="H1230">
        <f t="shared" si="128"/>
        <v>2</v>
      </c>
      <c r="I1230" t="str">
        <f t="shared" si="126"/>
        <v>Monday</v>
      </c>
      <c r="L1230">
        <f t="shared" si="129"/>
        <v>0</v>
      </c>
    </row>
    <row r="1231" spans="1:12" x14ac:dyDescent="0.25">
      <c r="A1231">
        <v>136218542</v>
      </c>
      <c r="B1231" s="1">
        <v>44970</v>
      </c>
      <c r="C1231" s="1">
        <v>45059</v>
      </c>
      <c r="D1231" t="s">
        <v>7</v>
      </c>
      <c r="E1231">
        <v>39</v>
      </c>
      <c r="F1231" t="s">
        <v>6</v>
      </c>
      <c r="G1231" s="8">
        <f t="shared" si="127"/>
        <v>89</v>
      </c>
      <c r="H1231">
        <f t="shared" si="128"/>
        <v>2</v>
      </c>
      <c r="I1231" t="str">
        <f t="shared" si="126"/>
        <v>Monday</v>
      </c>
      <c r="L1231">
        <f t="shared" si="129"/>
        <v>0</v>
      </c>
    </row>
    <row r="1232" spans="1:12" x14ac:dyDescent="0.25">
      <c r="A1232">
        <v>204121686</v>
      </c>
      <c r="B1232" s="1">
        <v>44970</v>
      </c>
      <c r="C1232" s="1">
        <v>45089</v>
      </c>
      <c r="D1232" t="s">
        <v>7</v>
      </c>
      <c r="E1232">
        <v>39</v>
      </c>
      <c r="F1232" t="s">
        <v>6</v>
      </c>
      <c r="G1232" s="8">
        <f t="shared" si="127"/>
        <v>119</v>
      </c>
      <c r="H1232">
        <f t="shared" si="128"/>
        <v>2</v>
      </c>
      <c r="I1232" t="str">
        <f t="shared" si="126"/>
        <v>Monday</v>
      </c>
      <c r="L1232">
        <f t="shared" si="129"/>
        <v>0</v>
      </c>
    </row>
    <row r="1233" spans="1:12" x14ac:dyDescent="0.25">
      <c r="A1233">
        <v>204114138</v>
      </c>
      <c r="B1233" s="1">
        <v>44970</v>
      </c>
      <c r="C1233" s="1">
        <v>45056</v>
      </c>
      <c r="D1233" t="s">
        <v>7</v>
      </c>
      <c r="E1233">
        <v>39</v>
      </c>
      <c r="F1233" t="s">
        <v>6</v>
      </c>
      <c r="G1233" s="8">
        <f t="shared" si="127"/>
        <v>86</v>
      </c>
      <c r="H1233">
        <f t="shared" si="128"/>
        <v>2</v>
      </c>
      <c r="I1233" t="str">
        <f t="shared" si="126"/>
        <v>Monday</v>
      </c>
      <c r="L1233">
        <f t="shared" si="129"/>
        <v>0</v>
      </c>
    </row>
    <row r="1234" spans="1:12" x14ac:dyDescent="0.25">
      <c r="A1234">
        <v>152197442</v>
      </c>
      <c r="B1234" s="1">
        <v>44970</v>
      </c>
      <c r="C1234" s="1">
        <v>44998</v>
      </c>
      <c r="D1234" t="s">
        <v>7</v>
      </c>
      <c r="E1234">
        <v>39</v>
      </c>
      <c r="F1234" t="s">
        <v>6</v>
      </c>
      <c r="G1234" s="8">
        <f t="shared" si="127"/>
        <v>28</v>
      </c>
      <c r="H1234">
        <f t="shared" si="128"/>
        <v>2</v>
      </c>
      <c r="I1234" t="str">
        <f t="shared" si="126"/>
        <v>Monday</v>
      </c>
      <c r="L1234">
        <f t="shared" si="129"/>
        <v>0</v>
      </c>
    </row>
    <row r="1235" spans="1:12" x14ac:dyDescent="0.25">
      <c r="A1235">
        <v>151695881</v>
      </c>
      <c r="B1235" s="1">
        <v>44970</v>
      </c>
      <c r="C1235" s="1">
        <v>45012</v>
      </c>
      <c r="D1235" t="s">
        <v>7</v>
      </c>
      <c r="E1235">
        <v>39</v>
      </c>
      <c r="F1235" t="s">
        <v>6</v>
      </c>
      <c r="G1235" s="8">
        <f t="shared" si="127"/>
        <v>42</v>
      </c>
      <c r="H1235">
        <f t="shared" si="128"/>
        <v>2</v>
      </c>
      <c r="I1235" t="str">
        <f t="shared" si="126"/>
        <v>Monday</v>
      </c>
      <c r="L1235">
        <f t="shared" si="129"/>
        <v>0</v>
      </c>
    </row>
    <row r="1236" spans="1:12" x14ac:dyDescent="0.25">
      <c r="A1236">
        <v>204378294</v>
      </c>
      <c r="B1236" s="1">
        <v>44971</v>
      </c>
      <c r="C1236" s="1">
        <f t="shared" ref="C1236:C1238" ca="1" si="132">TODAY()</f>
        <v>45938</v>
      </c>
      <c r="D1236" t="s">
        <v>7</v>
      </c>
      <c r="E1236">
        <v>39</v>
      </c>
      <c r="F1236" t="s">
        <v>6</v>
      </c>
      <c r="G1236" s="8">
        <f t="shared" ca="1" si="127"/>
        <v>967</v>
      </c>
      <c r="H1236">
        <f t="shared" si="128"/>
        <v>3</v>
      </c>
      <c r="I1236" t="str">
        <f t="shared" si="126"/>
        <v>Tuesday</v>
      </c>
      <c r="L1236">
        <f t="shared" ca="1" si="129"/>
        <v>0</v>
      </c>
    </row>
    <row r="1237" spans="1:12" x14ac:dyDescent="0.25">
      <c r="A1237">
        <v>204376665</v>
      </c>
      <c r="B1237" s="1">
        <v>44971</v>
      </c>
      <c r="C1237" s="1">
        <f t="shared" ca="1" si="132"/>
        <v>45938</v>
      </c>
      <c r="D1237" t="s">
        <v>7</v>
      </c>
      <c r="E1237">
        <v>39</v>
      </c>
      <c r="F1237" t="s">
        <v>6</v>
      </c>
      <c r="G1237" s="8">
        <f t="shared" ca="1" si="127"/>
        <v>967</v>
      </c>
      <c r="H1237">
        <f t="shared" si="128"/>
        <v>3</v>
      </c>
      <c r="I1237" t="str">
        <f t="shared" si="126"/>
        <v>Tuesday</v>
      </c>
      <c r="L1237">
        <f t="shared" ca="1" si="129"/>
        <v>0</v>
      </c>
    </row>
    <row r="1238" spans="1:12" x14ac:dyDescent="0.25">
      <c r="A1238">
        <v>204270637</v>
      </c>
      <c r="B1238" s="1">
        <v>44971</v>
      </c>
      <c r="C1238" s="1">
        <f t="shared" ca="1" si="132"/>
        <v>45938</v>
      </c>
      <c r="D1238" t="s">
        <v>7</v>
      </c>
      <c r="E1238">
        <v>39</v>
      </c>
      <c r="F1238" t="s">
        <v>6</v>
      </c>
      <c r="G1238" s="8">
        <f t="shared" ca="1" si="127"/>
        <v>967</v>
      </c>
      <c r="H1238">
        <f t="shared" si="128"/>
        <v>3</v>
      </c>
      <c r="I1238" t="str">
        <f t="shared" si="126"/>
        <v>Tuesday</v>
      </c>
      <c r="L1238">
        <f t="shared" ca="1" si="129"/>
        <v>0</v>
      </c>
    </row>
    <row r="1239" spans="1:12" x14ac:dyDescent="0.25">
      <c r="A1239">
        <v>204380751</v>
      </c>
      <c r="B1239" s="1">
        <v>44971</v>
      </c>
      <c r="C1239" s="1">
        <v>44971</v>
      </c>
      <c r="D1239" t="s">
        <v>7</v>
      </c>
      <c r="E1239">
        <v>39</v>
      </c>
      <c r="F1239" t="s">
        <v>6</v>
      </c>
      <c r="G1239" s="8">
        <f t="shared" si="127"/>
        <v>0</v>
      </c>
      <c r="H1239">
        <f t="shared" si="128"/>
        <v>3</v>
      </c>
      <c r="I1239" t="str">
        <f t="shared" si="126"/>
        <v>Tuesday</v>
      </c>
      <c r="L1239">
        <f t="shared" si="129"/>
        <v>1</v>
      </c>
    </row>
    <row r="1240" spans="1:12" x14ac:dyDescent="0.25">
      <c r="A1240">
        <v>204402989</v>
      </c>
      <c r="B1240" s="1">
        <v>44971</v>
      </c>
      <c r="C1240" s="1">
        <v>45085</v>
      </c>
      <c r="D1240" t="s">
        <v>7</v>
      </c>
      <c r="E1240">
        <v>39</v>
      </c>
      <c r="F1240" t="s">
        <v>6</v>
      </c>
      <c r="G1240" s="8">
        <f t="shared" si="127"/>
        <v>114</v>
      </c>
      <c r="H1240">
        <f t="shared" si="128"/>
        <v>3</v>
      </c>
      <c r="I1240" t="str">
        <f t="shared" si="126"/>
        <v>Tuesday</v>
      </c>
      <c r="L1240">
        <f t="shared" si="129"/>
        <v>0</v>
      </c>
    </row>
    <row r="1241" spans="1:12" x14ac:dyDescent="0.25">
      <c r="A1241">
        <v>203403136</v>
      </c>
      <c r="B1241" s="1">
        <v>44971</v>
      </c>
      <c r="C1241" s="1">
        <v>45089</v>
      </c>
      <c r="D1241" t="s">
        <v>7</v>
      </c>
      <c r="E1241">
        <v>39</v>
      </c>
      <c r="F1241" t="s">
        <v>6</v>
      </c>
      <c r="G1241" s="8">
        <f t="shared" si="127"/>
        <v>118</v>
      </c>
      <c r="H1241">
        <f t="shared" si="128"/>
        <v>3</v>
      </c>
      <c r="I1241" t="str">
        <f t="shared" si="126"/>
        <v>Tuesday</v>
      </c>
      <c r="L1241">
        <f t="shared" si="129"/>
        <v>0</v>
      </c>
    </row>
    <row r="1242" spans="1:12" x14ac:dyDescent="0.25">
      <c r="A1242">
        <v>198453918</v>
      </c>
      <c r="B1242" s="1">
        <v>44971</v>
      </c>
      <c r="C1242" s="1">
        <v>45061</v>
      </c>
      <c r="D1242" t="s">
        <v>7</v>
      </c>
      <c r="E1242">
        <v>39</v>
      </c>
      <c r="F1242" t="s">
        <v>6</v>
      </c>
      <c r="G1242" s="8">
        <f t="shared" si="127"/>
        <v>90</v>
      </c>
      <c r="H1242">
        <f t="shared" si="128"/>
        <v>3</v>
      </c>
      <c r="I1242" t="str">
        <f t="shared" si="126"/>
        <v>Tuesday</v>
      </c>
      <c r="L1242">
        <f t="shared" si="129"/>
        <v>0</v>
      </c>
    </row>
    <row r="1243" spans="1:12" x14ac:dyDescent="0.25">
      <c r="A1243">
        <v>133514912</v>
      </c>
      <c r="B1243" s="1">
        <v>44971</v>
      </c>
      <c r="C1243" s="1">
        <v>44992</v>
      </c>
      <c r="D1243" t="s">
        <v>7</v>
      </c>
      <c r="E1243">
        <v>39</v>
      </c>
      <c r="F1243" t="s">
        <v>6</v>
      </c>
      <c r="G1243" s="8">
        <f t="shared" si="127"/>
        <v>21</v>
      </c>
      <c r="H1243">
        <f t="shared" si="128"/>
        <v>3</v>
      </c>
      <c r="I1243" t="str">
        <f t="shared" si="126"/>
        <v>Tuesday</v>
      </c>
      <c r="L1243">
        <f t="shared" si="129"/>
        <v>0</v>
      </c>
    </row>
    <row r="1244" spans="1:12" x14ac:dyDescent="0.25">
      <c r="A1244">
        <v>203414698</v>
      </c>
      <c r="B1244" s="1">
        <v>44971</v>
      </c>
      <c r="C1244" s="1">
        <v>45011</v>
      </c>
      <c r="D1244" t="s">
        <v>7</v>
      </c>
      <c r="E1244">
        <v>39</v>
      </c>
      <c r="F1244" t="s">
        <v>6</v>
      </c>
      <c r="G1244" s="8">
        <f t="shared" si="127"/>
        <v>40</v>
      </c>
      <c r="H1244">
        <f t="shared" si="128"/>
        <v>3</v>
      </c>
      <c r="I1244" t="str">
        <f t="shared" si="126"/>
        <v>Tuesday</v>
      </c>
      <c r="L1244">
        <f t="shared" si="129"/>
        <v>0</v>
      </c>
    </row>
    <row r="1245" spans="1:12" x14ac:dyDescent="0.25">
      <c r="A1245">
        <v>190400854</v>
      </c>
      <c r="B1245" s="1">
        <v>44971</v>
      </c>
      <c r="C1245" s="1">
        <v>45127</v>
      </c>
      <c r="D1245" t="s">
        <v>7</v>
      </c>
      <c r="E1245">
        <v>39</v>
      </c>
      <c r="F1245" t="s">
        <v>6</v>
      </c>
      <c r="G1245" s="8">
        <f t="shared" si="127"/>
        <v>156</v>
      </c>
      <c r="H1245">
        <f t="shared" si="128"/>
        <v>3</v>
      </c>
      <c r="I1245" t="str">
        <f t="shared" si="126"/>
        <v>Tuesday</v>
      </c>
      <c r="L1245">
        <f t="shared" si="129"/>
        <v>0</v>
      </c>
    </row>
    <row r="1246" spans="1:12" x14ac:dyDescent="0.25">
      <c r="A1246">
        <v>204114797</v>
      </c>
      <c r="B1246" s="1">
        <v>44971</v>
      </c>
      <c r="C1246" s="1">
        <v>45095</v>
      </c>
      <c r="D1246" t="s">
        <v>7</v>
      </c>
      <c r="E1246">
        <v>39</v>
      </c>
      <c r="F1246" t="s">
        <v>6</v>
      </c>
      <c r="G1246" s="8">
        <f t="shared" si="127"/>
        <v>124</v>
      </c>
      <c r="H1246">
        <f t="shared" si="128"/>
        <v>3</v>
      </c>
      <c r="I1246" t="str">
        <f t="shared" si="126"/>
        <v>Tuesday</v>
      </c>
      <c r="L1246">
        <f t="shared" si="129"/>
        <v>0</v>
      </c>
    </row>
    <row r="1247" spans="1:12" x14ac:dyDescent="0.25">
      <c r="A1247">
        <v>202377942</v>
      </c>
      <c r="B1247" s="1">
        <v>44972</v>
      </c>
      <c r="C1247" s="1">
        <f t="shared" ref="C1247" ca="1" si="133">TODAY()</f>
        <v>45938</v>
      </c>
      <c r="D1247" t="s">
        <v>7</v>
      </c>
      <c r="E1247">
        <v>39</v>
      </c>
      <c r="F1247" t="s">
        <v>6</v>
      </c>
      <c r="G1247" s="8">
        <f t="shared" ca="1" si="127"/>
        <v>966</v>
      </c>
      <c r="H1247">
        <f t="shared" si="128"/>
        <v>4</v>
      </c>
      <c r="I1247" t="str">
        <f t="shared" si="126"/>
        <v>Wednesday</v>
      </c>
      <c r="L1247">
        <f t="shared" ca="1" si="129"/>
        <v>0</v>
      </c>
    </row>
    <row r="1248" spans="1:12" x14ac:dyDescent="0.25">
      <c r="A1248">
        <v>204555612</v>
      </c>
      <c r="B1248" s="1">
        <v>44972</v>
      </c>
      <c r="C1248" s="1">
        <v>44972</v>
      </c>
      <c r="D1248" t="s">
        <v>8</v>
      </c>
      <c r="E1248">
        <v>39</v>
      </c>
      <c r="F1248" t="s">
        <v>6</v>
      </c>
      <c r="G1248" s="8">
        <f t="shared" si="127"/>
        <v>0</v>
      </c>
      <c r="H1248">
        <f t="shared" si="128"/>
        <v>4</v>
      </c>
      <c r="I1248" t="str">
        <f t="shared" si="126"/>
        <v>Wednesday</v>
      </c>
      <c r="L1248">
        <f t="shared" si="129"/>
        <v>1</v>
      </c>
    </row>
    <row r="1249" spans="1:12" x14ac:dyDescent="0.25">
      <c r="A1249">
        <v>204556376</v>
      </c>
      <c r="B1249" s="1">
        <v>44972</v>
      </c>
      <c r="C1249" s="1">
        <v>44972</v>
      </c>
      <c r="D1249" t="s">
        <v>8</v>
      </c>
      <c r="E1249">
        <v>39</v>
      </c>
      <c r="F1249" t="s">
        <v>6</v>
      </c>
      <c r="G1249" s="8">
        <f t="shared" si="127"/>
        <v>0</v>
      </c>
      <c r="H1249">
        <f t="shared" si="128"/>
        <v>4</v>
      </c>
      <c r="I1249" t="str">
        <f t="shared" si="126"/>
        <v>Wednesday</v>
      </c>
      <c r="L1249">
        <f t="shared" si="129"/>
        <v>1</v>
      </c>
    </row>
    <row r="1250" spans="1:12" x14ac:dyDescent="0.25">
      <c r="A1250">
        <v>204515997</v>
      </c>
      <c r="B1250" s="1">
        <v>44972</v>
      </c>
      <c r="C1250" s="1">
        <v>45091</v>
      </c>
      <c r="D1250" t="s">
        <v>7</v>
      </c>
      <c r="E1250">
        <v>39</v>
      </c>
      <c r="F1250" t="s">
        <v>6</v>
      </c>
      <c r="G1250" s="8">
        <f t="shared" si="127"/>
        <v>119</v>
      </c>
      <c r="H1250">
        <f t="shared" si="128"/>
        <v>4</v>
      </c>
      <c r="I1250" t="str">
        <f t="shared" si="126"/>
        <v>Wednesday</v>
      </c>
      <c r="L1250">
        <f t="shared" si="129"/>
        <v>0</v>
      </c>
    </row>
    <row r="1251" spans="1:12" x14ac:dyDescent="0.25">
      <c r="A1251">
        <v>153342734</v>
      </c>
      <c r="B1251" s="1">
        <v>44972</v>
      </c>
      <c r="C1251" s="1">
        <v>45007</v>
      </c>
      <c r="D1251" t="s">
        <v>7</v>
      </c>
      <c r="E1251">
        <v>39</v>
      </c>
      <c r="F1251" t="s">
        <v>6</v>
      </c>
      <c r="G1251" s="8">
        <f t="shared" si="127"/>
        <v>35</v>
      </c>
      <c r="H1251">
        <f t="shared" si="128"/>
        <v>4</v>
      </c>
      <c r="I1251" t="str">
        <f t="shared" si="126"/>
        <v>Wednesday</v>
      </c>
      <c r="L1251">
        <f t="shared" si="129"/>
        <v>0</v>
      </c>
    </row>
    <row r="1252" spans="1:12" x14ac:dyDescent="0.25">
      <c r="A1252">
        <v>204650391</v>
      </c>
      <c r="B1252" s="1">
        <v>44973</v>
      </c>
      <c r="C1252" s="1">
        <f t="shared" ref="C1252" ca="1" si="134">TODAY()</f>
        <v>45938</v>
      </c>
      <c r="D1252" t="s">
        <v>7</v>
      </c>
      <c r="E1252">
        <v>39</v>
      </c>
      <c r="F1252" t="s">
        <v>6</v>
      </c>
      <c r="G1252" s="8">
        <f t="shared" ca="1" si="127"/>
        <v>965</v>
      </c>
      <c r="H1252">
        <f t="shared" si="128"/>
        <v>5</v>
      </c>
      <c r="I1252" t="str">
        <f t="shared" si="126"/>
        <v>Thursday</v>
      </c>
      <c r="L1252">
        <f t="shared" ca="1" si="129"/>
        <v>0</v>
      </c>
    </row>
    <row r="1253" spans="1:12" x14ac:dyDescent="0.25">
      <c r="A1253">
        <v>150906486</v>
      </c>
      <c r="B1253" s="1">
        <v>44973</v>
      </c>
      <c r="C1253" s="1">
        <v>45002</v>
      </c>
      <c r="D1253" t="s">
        <v>7</v>
      </c>
      <c r="E1253">
        <v>39</v>
      </c>
      <c r="F1253" t="s">
        <v>6</v>
      </c>
      <c r="G1253" s="8">
        <f t="shared" si="127"/>
        <v>29</v>
      </c>
      <c r="H1253">
        <f t="shared" si="128"/>
        <v>5</v>
      </c>
      <c r="I1253" t="str">
        <f t="shared" si="126"/>
        <v>Thursday</v>
      </c>
      <c r="L1253">
        <f t="shared" si="129"/>
        <v>0</v>
      </c>
    </row>
    <row r="1254" spans="1:12" x14ac:dyDescent="0.25">
      <c r="A1254">
        <v>153961940</v>
      </c>
      <c r="B1254" s="1">
        <v>44973</v>
      </c>
      <c r="C1254" s="1">
        <v>44973</v>
      </c>
      <c r="D1254" t="s">
        <v>7</v>
      </c>
      <c r="E1254">
        <v>39</v>
      </c>
      <c r="F1254" t="s">
        <v>6</v>
      </c>
      <c r="G1254" s="8">
        <f t="shared" si="127"/>
        <v>0</v>
      </c>
      <c r="H1254">
        <f t="shared" si="128"/>
        <v>5</v>
      </c>
      <c r="I1254" t="str">
        <f t="shared" si="126"/>
        <v>Thursday</v>
      </c>
      <c r="L1254">
        <f t="shared" si="129"/>
        <v>1</v>
      </c>
    </row>
    <row r="1255" spans="1:12" x14ac:dyDescent="0.25">
      <c r="A1255">
        <v>154175766</v>
      </c>
      <c r="B1255" s="1">
        <v>44973</v>
      </c>
      <c r="C1255" s="1">
        <v>45000</v>
      </c>
      <c r="D1255" t="s">
        <v>7</v>
      </c>
      <c r="E1255">
        <v>39</v>
      </c>
      <c r="F1255" t="s">
        <v>6</v>
      </c>
      <c r="G1255" s="8">
        <f t="shared" si="127"/>
        <v>27</v>
      </c>
      <c r="H1255">
        <f t="shared" si="128"/>
        <v>5</v>
      </c>
      <c r="I1255" t="str">
        <f t="shared" si="126"/>
        <v>Thursday</v>
      </c>
      <c r="L1255">
        <f t="shared" si="129"/>
        <v>0</v>
      </c>
    </row>
    <row r="1256" spans="1:12" x14ac:dyDescent="0.25">
      <c r="A1256">
        <v>204631298</v>
      </c>
      <c r="B1256" s="1">
        <v>44973</v>
      </c>
      <c r="C1256" s="1">
        <v>45033</v>
      </c>
      <c r="D1256" t="s">
        <v>7</v>
      </c>
      <c r="E1256">
        <v>39</v>
      </c>
      <c r="F1256" t="s">
        <v>6</v>
      </c>
      <c r="G1256" s="8">
        <f t="shared" si="127"/>
        <v>60</v>
      </c>
      <c r="H1256">
        <f t="shared" si="128"/>
        <v>5</v>
      </c>
      <c r="I1256" t="str">
        <f t="shared" si="126"/>
        <v>Thursday</v>
      </c>
      <c r="L1256">
        <f t="shared" si="129"/>
        <v>0</v>
      </c>
    </row>
    <row r="1257" spans="1:12" x14ac:dyDescent="0.25">
      <c r="A1257">
        <v>195534585</v>
      </c>
      <c r="B1257" s="1">
        <v>44973</v>
      </c>
      <c r="C1257" s="1">
        <v>45030</v>
      </c>
      <c r="D1257" t="s">
        <v>7</v>
      </c>
      <c r="E1257">
        <v>39</v>
      </c>
      <c r="F1257" t="s">
        <v>6</v>
      </c>
      <c r="G1257" s="8">
        <f t="shared" si="127"/>
        <v>57</v>
      </c>
      <c r="H1257">
        <f t="shared" si="128"/>
        <v>5</v>
      </c>
      <c r="I1257" t="str">
        <f t="shared" si="126"/>
        <v>Thursday</v>
      </c>
      <c r="L1257">
        <f t="shared" si="129"/>
        <v>0</v>
      </c>
    </row>
    <row r="1258" spans="1:12" x14ac:dyDescent="0.25">
      <c r="A1258">
        <v>176421166</v>
      </c>
      <c r="B1258" s="1">
        <v>44973</v>
      </c>
      <c r="C1258" s="1">
        <v>45030</v>
      </c>
      <c r="D1258" t="s">
        <v>7</v>
      </c>
      <c r="E1258">
        <v>39</v>
      </c>
      <c r="F1258" t="s">
        <v>6</v>
      </c>
      <c r="G1258" s="8">
        <f t="shared" si="127"/>
        <v>57</v>
      </c>
      <c r="H1258">
        <f t="shared" si="128"/>
        <v>5</v>
      </c>
      <c r="I1258" t="str">
        <f t="shared" si="126"/>
        <v>Thursday</v>
      </c>
      <c r="L1258">
        <f t="shared" si="129"/>
        <v>0</v>
      </c>
    </row>
    <row r="1259" spans="1:12" x14ac:dyDescent="0.25">
      <c r="A1259">
        <v>204679416</v>
      </c>
      <c r="B1259" s="1">
        <v>44973</v>
      </c>
      <c r="C1259" s="1">
        <v>45002</v>
      </c>
      <c r="D1259" t="s">
        <v>7</v>
      </c>
      <c r="E1259">
        <v>39</v>
      </c>
      <c r="F1259" t="s">
        <v>6</v>
      </c>
      <c r="G1259" s="8">
        <f t="shared" si="127"/>
        <v>29</v>
      </c>
      <c r="H1259">
        <f t="shared" si="128"/>
        <v>5</v>
      </c>
      <c r="I1259" t="str">
        <f t="shared" si="126"/>
        <v>Thursday</v>
      </c>
      <c r="L1259">
        <f t="shared" si="129"/>
        <v>0</v>
      </c>
    </row>
    <row r="1260" spans="1:12" x14ac:dyDescent="0.25">
      <c r="A1260">
        <v>204448721</v>
      </c>
      <c r="B1260" s="1">
        <v>44973</v>
      </c>
      <c r="C1260" s="1">
        <v>44975</v>
      </c>
      <c r="D1260" t="s">
        <v>7</v>
      </c>
      <c r="E1260">
        <v>39</v>
      </c>
      <c r="F1260" t="s">
        <v>6</v>
      </c>
      <c r="G1260" s="8">
        <f t="shared" si="127"/>
        <v>2</v>
      </c>
      <c r="H1260">
        <f t="shared" si="128"/>
        <v>5</v>
      </c>
      <c r="I1260" t="str">
        <f t="shared" si="126"/>
        <v>Thursday</v>
      </c>
      <c r="L1260">
        <f t="shared" si="129"/>
        <v>1</v>
      </c>
    </row>
    <row r="1261" spans="1:12" x14ac:dyDescent="0.25">
      <c r="A1261">
        <v>151908347</v>
      </c>
      <c r="B1261" s="1">
        <v>44973</v>
      </c>
      <c r="C1261" s="1">
        <v>45095</v>
      </c>
      <c r="D1261" t="s">
        <v>7</v>
      </c>
      <c r="E1261">
        <v>39</v>
      </c>
      <c r="F1261" t="s">
        <v>6</v>
      </c>
      <c r="G1261" s="8">
        <f t="shared" si="127"/>
        <v>122</v>
      </c>
      <c r="H1261">
        <f t="shared" si="128"/>
        <v>5</v>
      </c>
      <c r="I1261" t="str">
        <f t="shared" si="126"/>
        <v>Thursday</v>
      </c>
      <c r="L1261">
        <f t="shared" si="129"/>
        <v>0</v>
      </c>
    </row>
    <row r="1262" spans="1:12" x14ac:dyDescent="0.25">
      <c r="A1262">
        <v>150652956</v>
      </c>
      <c r="B1262" s="1">
        <v>44974</v>
      </c>
      <c r="C1262" s="1">
        <v>44975</v>
      </c>
      <c r="D1262" t="s">
        <v>7</v>
      </c>
      <c r="E1262">
        <v>39</v>
      </c>
      <c r="F1262" t="s">
        <v>6</v>
      </c>
      <c r="G1262" s="8">
        <f t="shared" si="127"/>
        <v>1</v>
      </c>
      <c r="H1262">
        <f t="shared" si="128"/>
        <v>6</v>
      </c>
      <c r="I1262" t="str">
        <f t="shared" si="126"/>
        <v>Friday</v>
      </c>
      <c r="L1262">
        <f t="shared" si="129"/>
        <v>1</v>
      </c>
    </row>
    <row r="1263" spans="1:12" x14ac:dyDescent="0.25">
      <c r="A1263">
        <v>183321644</v>
      </c>
      <c r="B1263" s="1">
        <v>44974</v>
      </c>
      <c r="C1263" s="1">
        <v>44974</v>
      </c>
      <c r="D1263" t="s">
        <v>8</v>
      </c>
      <c r="E1263">
        <v>39</v>
      </c>
      <c r="F1263" t="s">
        <v>6</v>
      </c>
      <c r="G1263" s="8">
        <f t="shared" si="127"/>
        <v>0</v>
      </c>
      <c r="H1263">
        <f t="shared" si="128"/>
        <v>6</v>
      </c>
      <c r="I1263" t="str">
        <f t="shared" si="126"/>
        <v>Friday</v>
      </c>
      <c r="L1263">
        <f t="shared" si="129"/>
        <v>1</v>
      </c>
    </row>
    <row r="1264" spans="1:12" x14ac:dyDescent="0.25">
      <c r="A1264">
        <v>204740476</v>
      </c>
      <c r="B1264" s="1">
        <v>44974</v>
      </c>
      <c r="C1264" s="1">
        <v>44999</v>
      </c>
      <c r="D1264" t="s">
        <v>8</v>
      </c>
      <c r="E1264">
        <v>39</v>
      </c>
      <c r="F1264" t="s">
        <v>6</v>
      </c>
      <c r="G1264" s="8">
        <f t="shared" si="127"/>
        <v>25</v>
      </c>
      <c r="H1264">
        <f t="shared" si="128"/>
        <v>6</v>
      </c>
      <c r="I1264" t="str">
        <f t="shared" si="126"/>
        <v>Friday</v>
      </c>
      <c r="L1264">
        <f t="shared" si="129"/>
        <v>0</v>
      </c>
    </row>
    <row r="1265" spans="1:12" x14ac:dyDescent="0.25">
      <c r="A1265">
        <v>204439086</v>
      </c>
      <c r="B1265" s="1">
        <v>44974</v>
      </c>
      <c r="C1265" s="1">
        <v>45093</v>
      </c>
      <c r="D1265" t="s">
        <v>7</v>
      </c>
      <c r="E1265">
        <v>39</v>
      </c>
      <c r="F1265" t="s">
        <v>6</v>
      </c>
      <c r="G1265" s="8">
        <f t="shared" si="127"/>
        <v>119</v>
      </c>
      <c r="H1265">
        <f t="shared" si="128"/>
        <v>6</v>
      </c>
      <c r="I1265" t="str">
        <f t="shared" si="126"/>
        <v>Friday</v>
      </c>
      <c r="L1265">
        <f t="shared" si="129"/>
        <v>0</v>
      </c>
    </row>
    <row r="1266" spans="1:12" x14ac:dyDescent="0.25">
      <c r="A1266">
        <v>204685109</v>
      </c>
      <c r="B1266" s="1">
        <v>44974</v>
      </c>
      <c r="C1266" s="1">
        <v>45069</v>
      </c>
      <c r="D1266" t="s">
        <v>7</v>
      </c>
      <c r="E1266">
        <v>39</v>
      </c>
      <c r="F1266" t="s">
        <v>6</v>
      </c>
      <c r="G1266" s="8">
        <f t="shared" si="127"/>
        <v>95</v>
      </c>
      <c r="H1266">
        <f t="shared" si="128"/>
        <v>6</v>
      </c>
      <c r="I1266" t="str">
        <f t="shared" si="126"/>
        <v>Friday</v>
      </c>
      <c r="L1266">
        <f t="shared" si="129"/>
        <v>0</v>
      </c>
    </row>
    <row r="1267" spans="1:12" x14ac:dyDescent="0.25">
      <c r="A1267">
        <v>175211528</v>
      </c>
      <c r="B1267" s="1">
        <v>44974</v>
      </c>
      <c r="C1267" s="1">
        <v>44980</v>
      </c>
      <c r="D1267" t="s">
        <v>7</v>
      </c>
      <c r="E1267">
        <v>39</v>
      </c>
      <c r="F1267" t="s">
        <v>6</v>
      </c>
      <c r="G1267" s="8">
        <f t="shared" si="127"/>
        <v>6</v>
      </c>
      <c r="H1267">
        <f t="shared" si="128"/>
        <v>6</v>
      </c>
      <c r="I1267" t="str">
        <f t="shared" si="126"/>
        <v>Friday</v>
      </c>
      <c r="L1267">
        <f t="shared" si="129"/>
        <v>0</v>
      </c>
    </row>
    <row r="1268" spans="1:12" x14ac:dyDescent="0.25">
      <c r="A1268">
        <v>204646698</v>
      </c>
      <c r="B1268" s="1">
        <v>44974</v>
      </c>
      <c r="C1268" s="1">
        <v>44974</v>
      </c>
      <c r="D1268" t="s">
        <v>7</v>
      </c>
      <c r="E1268">
        <v>39</v>
      </c>
      <c r="F1268" t="s">
        <v>6</v>
      </c>
      <c r="G1268" s="8">
        <f t="shared" si="127"/>
        <v>0</v>
      </c>
      <c r="H1268">
        <f t="shared" si="128"/>
        <v>6</v>
      </c>
      <c r="I1268" t="str">
        <f t="shared" si="126"/>
        <v>Friday</v>
      </c>
      <c r="L1268">
        <f t="shared" si="129"/>
        <v>1</v>
      </c>
    </row>
    <row r="1269" spans="1:12" x14ac:dyDescent="0.25">
      <c r="A1269">
        <v>204728203</v>
      </c>
      <c r="B1269" s="1">
        <v>44974</v>
      </c>
      <c r="C1269" s="1">
        <v>45144</v>
      </c>
      <c r="D1269" t="s">
        <v>7</v>
      </c>
      <c r="E1269">
        <v>39</v>
      </c>
      <c r="F1269" t="s">
        <v>6</v>
      </c>
      <c r="G1269" s="8">
        <f t="shared" si="127"/>
        <v>170</v>
      </c>
      <c r="H1269">
        <f t="shared" si="128"/>
        <v>6</v>
      </c>
      <c r="I1269" t="str">
        <f t="shared" si="126"/>
        <v>Friday</v>
      </c>
      <c r="L1269">
        <f t="shared" si="129"/>
        <v>0</v>
      </c>
    </row>
    <row r="1270" spans="1:12" x14ac:dyDescent="0.25">
      <c r="A1270">
        <v>166674547</v>
      </c>
      <c r="B1270" s="1">
        <v>44974</v>
      </c>
      <c r="C1270" s="1">
        <v>45099</v>
      </c>
      <c r="D1270" t="s">
        <v>7</v>
      </c>
      <c r="E1270">
        <v>39</v>
      </c>
      <c r="F1270" t="s">
        <v>6</v>
      </c>
      <c r="G1270" s="8">
        <f t="shared" si="127"/>
        <v>125</v>
      </c>
      <c r="H1270">
        <f t="shared" si="128"/>
        <v>6</v>
      </c>
      <c r="I1270" t="str">
        <f t="shared" si="126"/>
        <v>Friday</v>
      </c>
      <c r="L1270">
        <f t="shared" si="129"/>
        <v>0</v>
      </c>
    </row>
    <row r="1271" spans="1:12" x14ac:dyDescent="0.25">
      <c r="A1271">
        <v>202459470</v>
      </c>
      <c r="B1271" s="1">
        <v>44975</v>
      </c>
      <c r="C1271" s="1">
        <f t="shared" ref="C1271:C1272" ca="1" si="135">TODAY()</f>
        <v>45938</v>
      </c>
      <c r="D1271" t="s">
        <v>7</v>
      </c>
      <c r="E1271">
        <v>39</v>
      </c>
      <c r="F1271" t="s">
        <v>6</v>
      </c>
      <c r="G1271" s="8">
        <f t="shared" ca="1" si="127"/>
        <v>963</v>
      </c>
      <c r="H1271">
        <f t="shared" si="128"/>
        <v>7</v>
      </c>
      <c r="I1271" t="str">
        <f t="shared" si="126"/>
        <v>Saturday</v>
      </c>
      <c r="L1271">
        <f t="shared" ca="1" si="129"/>
        <v>0</v>
      </c>
    </row>
    <row r="1272" spans="1:12" x14ac:dyDescent="0.25">
      <c r="A1272">
        <v>155508761</v>
      </c>
      <c r="B1272" s="1">
        <v>44975</v>
      </c>
      <c r="C1272" s="1">
        <f t="shared" ca="1" si="135"/>
        <v>45938</v>
      </c>
      <c r="D1272" t="s">
        <v>7</v>
      </c>
      <c r="E1272">
        <v>39</v>
      </c>
      <c r="F1272" t="s">
        <v>6</v>
      </c>
      <c r="G1272" s="8">
        <f t="shared" ca="1" si="127"/>
        <v>963</v>
      </c>
      <c r="H1272">
        <f t="shared" si="128"/>
        <v>7</v>
      </c>
      <c r="I1272" t="str">
        <f t="shared" si="126"/>
        <v>Saturday</v>
      </c>
      <c r="L1272">
        <f t="shared" ca="1" si="129"/>
        <v>0</v>
      </c>
    </row>
    <row r="1273" spans="1:12" x14ac:dyDescent="0.25">
      <c r="A1273">
        <v>168484421</v>
      </c>
      <c r="B1273" s="1">
        <v>44975</v>
      </c>
      <c r="C1273" s="1">
        <v>44975</v>
      </c>
      <c r="D1273" t="s">
        <v>8</v>
      </c>
      <c r="E1273">
        <v>39</v>
      </c>
      <c r="F1273" t="s">
        <v>6</v>
      </c>
      <c r="G1273" s="8">
        <f t="shared" si="127"/>
        <v>0</v>
      </c>
      <c r="H1273">
        <f t="shared" si="128"/>
        <v>7</v>
      </c>
      <c r="I1273" t="str">
        <f t="shared" si="126"/>
        <v>Saturday</v>
      </c>
      <c r="L1273">
        <f t="shared" si="129"/>
        <v>1</v>
      </c>
    </row>
    <row r="1274" spans="1:12" x14ac:dyDescent="0.25">
      <c r="A1274">
        <v>130864124</v>
      </c>
      <c r="B1274" s="1">
        <v>44975</v>
      </c>
      <c r="C1274" s="1">
        <v>44976</v>
      </c>
      <c r="D1274" t="s">
        <v>7</v>
      </c>
      <c r="E1274">
        <v>39</v>
      </c>
      <c r="F1274" t="s">
        <v>6</v>
      </c>
      <c r="G1274" s="8">
        <f t="shared" si="127"/>
        <v>1</v>
      </c>
      <c r="H1274">
        <f t="shared" si="128"/>
        <v>7</v>
      </c>
      <c r="I1274" t="str">
        <f t="shared" si="126"/>
        <v>Saturday</v>
      </c>
      <c r="L1274">
        <f t="shared" si="129"/>
        <v>1</v>
      </c>
    </row>
    <row r="1275" spans="1:12" x14ac:dyDescent="0.25">
      <c r="A1275">
        <v>204752959</v>
      </c>
      <c r="B1275" s="1">
        <v>44975</v>
      </c>
      <c r="C1275" s="1">
        <v>45102</v>
      </c>
      <c r="D1275" t="s">
        <v>7</v>
      </c>
      <c r="E1275">
        <v>39</v>
      </c>
      <c r="F1275" t="s">
        <v>6</v>
      </c>
      <c r="G1275" s="8">
        <f t="shared" si="127"/>
        <v>127</v>
      </c>
      <c r="H1275">
        <f t="shared" si="128"/>
        <v>7</v>
      </c>
      <c r="I1275" t="str">
        <f t="shared" si="126"/>
        <v>Saturday</v>
      </c>
      <c r="L1275">
        <f t="shared" si="129"/>
        <v>0</v>
      </c>
    </row>
    <row r="1276" spans="1:12" x14ac:dyDescent="0.25">
      <c r="A1276">
        <v>204761235</v>
      </c>
      <c r="B1276" s="1">
        <v>44975</v>
      </c>
      <c r="C1276" s="1">
        <v>45063</v>
      </c>
      <c r="D1276" t="s">
        <v>7</v>
      </c>
      <c r="E1276">
        <v>39</v>
      </c>
      <c r="F1276" t="s">
        <v>6</v>
      </c>
      <c r="G1276" s="8">
        <f t="shared" si="127"/>
        <v>88</v>
      </c>
      <c r="H1276">
        <f t="shared" si="128"/>
        <v>7</v>
      </c>
      <c r="I1276" t="str">
        <f t="shared" si="126"/>
        <v>Saturday</v>
      </c>
      <c r="L1276">
        <f t="shared" si="129"/>
        <v>0</v>
      </c>
    </row>
    <row r="1277" spans="1:12" x14ac:dyDescent="0.25">
      <c r="A1277">
        <v>159142615</v>
      </c>
      <c r="B1277" s="1">
        <v>44975</v>
      </c>
      <c r="C1277" s="1">
        <v>45074</v>
      </c>
      <c r="D1277" t="s">
        <v>7</v>
      </c>
      <c r="E1277">
        <v>39</v>
      </c>
      <c r="F1277" t="s">
        <v>6</v>
      </c>
      <c r="G1277" s="8">
        <f t="shared" si="127"/>
        <v>99</v>
      </c>
      <c r="H1277">
        <f t="shared" si="128"/>
        <v>7</v>
      </c>
      <c r="I1277" t="str">
        <f t="shared" si="126"/>
        <v>Saturday</v>
      </c>
      <c r="L1277">
        <f t="shared" si="129"/>
        <v>0</v>
      </c>
    </row>
    <row r="1278" spans="1:12" x14ac:dyDescent="0.25">
      <c r="A1278">
        <v>204753316</v>
      </c>
      <c r="B1278" s="1">
        <v>44975</v>
      </c>
      <c r="C1278" s="1">
        <v>45010</v>
      </c>
      <c r="D1278" t="s">
        <v>7</v>
      </c>
      <c r="E1278">
        <v>39</v>
      </c>
      <c r="F1278" t="s">
        <v>6</v>
      </c>
      <c r="G1278" s="8">
        <f t="shared" si="127"/>
        <v>35</v>
      </c>
      <c r="H1278">
        <f t="shared" si="128"/>
        <v>7</v>
      </c>
      <c r="I1278" t="str">
        <f t="shared" si="126"/>
        <v>Saturday</v>
      </c>
      <c r="L1278">
        <f t="shared" si="129"/>
        <v>0</v>
      </c>
    </row>
    <row r="1279" spans="1:12" x14ac:dyDescent="0.25">
      <c r="A1279">
        <v>195188483</v>
      </c>
      <c r="B1279" s="1">
        <v>44976</v>
      </c>
      <c r="C1279" s="1">
        <f t="shared" ref="C1279:C1280" ca="1" si="136">TODAY()</f>
        <v>45938</v>
      </c>
      <c r="D1279" t="s">
        <v>7</v>
      </c>
      <c r="E1279">
        <v>39</v>
      </c>
      <c r="F1279" t="s">
        <v>6</v>
      </c>
      <c r="G1279" s="8">
        <f t="shared" ca="1" si="127"/>
        <v>962</v>
      </c>
      <c r="H1279">
        <f t="shared" si="128"/>
        <v>1</v>
      </c>
      <c r="I1279" t="str">
        <f t="shared" si="126"/>
        <v>Sunday</v>
      </c>
      <c r="L1279">
        <f t="shared" ca="1" si="129"/>
        <v>0</v>
      </c>
    </row>
    <row r="1280" spans="1:12" x14ac:dyDescent="0.25">
      <c r="A1280">
        <v>204773056</v>
      </c>
      <c r="B1280" s="1">
        <v>44976</v>
      </c>
      <c r="C1280" s="1">
        <f t="shared" ca="1" si="136"/>
        <v>45938</v>
      </c>
      <c r="D1280" t="s">
        <v>7</v>
      </c>
      <c r="E1280">
        <v>39</v>
      </c>
      <c r="F1280" t="s">
        <v>6</v>
      </c>
      <c r="G1280" s="8">
        <f t="shared" ca="1" si="127"/>
        <v>962</v>
      </c>
      <c r="H1280">
        <f t="shared" si="128"/>
        <v>1</v>
      </c>
      <c r="I1280" t="str">
        <f t="shared" si="126"/>
        <v>Sunday</v>
      </c>
      <c r="L1280">
        <f t="shared" ca="1" si="129"/>
        <v>0</v>
      </c>
    </row>
    <row r="1281" spans="1:12" x14ac:dyDescent="0.25">
      <c r="A1281">
        <v>204814698</v>
      </c>
      <c r="B1281" s="1">
        <v>44976</v>
      </c>
      <c r="C1281" s="1">
        <v>45160</v>
      </c>
      <c r="D1281" t="s">
        <v>7</v>
      </c>
      <c r="E1281">
        <v>39</v>
      </c>
      <c r="F1281" t="s">
        <v>6</v>
      </c>
      <c r="G1281" s="8">
        <f t="shared" si="127"/>
        <v>184</v>
      </c>
      <c r="H1281">
        <f t="shared" si="128"/>
        <v>1</v>
      </c>
      <c r="I1281" t="str">
        <f t="shared" si="126"/>
        <v>Sunday</v>
      </c>
      <c r="L1281">
        <f t="shared" si="129"/>
        <v>0</v>
      </c>
    </row>
    <row r="1282" spans="1:12" x14ac:dyDescent="0.25">
      <c r="A1282">
        <v>204732463</v>
      </c>
      <c r="B1282" s="1">
        <v>44976</v>
      </c>
      <c r="C1282" s="1">
        <v>45089</v>
      </c>
      <c r="D1282" t="s">
        <v>7</v>
      </c>
      <c r="E1282">
        <v>39</v>
      </c>
      <c r="F1282" t="s">
        <v>6</v>
      </c>
      <c r="G1282" s="8">
        <f t="shared" si="127"/>
        <v>113</v>
      </c>
      <c r="H1282">
        <f t="shared" si="128"/>
        <v>1</v>
      </c>
      <c r="I1282" t="str">
        <f t="shared" ref="I1282:I1345" si="137">TEXT(B1282,"DDDD")</f>
        <v>Sunday</v>
      </c>
      <c r="L1282">
        <f t="shared" si="129"/>
        <v>0</v>
      </c>
    </row>
    <row r="1283" spans="1:12" x14ac:dyDescent="0.25">
      <c r="A1283">
        <v>204772360</v>
      </c>
      <c r="B1283" s="1">
        <v>44976</v>
      </c>
      <c r="C1283" s="1">
        <v>45034</v>
      </c>
      <c r="D1283" t="s">
        <v>7</v>
      </c>
      <c r="E1283">
        <v>39</v>
      </c>
      <c r="F1283" t="s">
        <v>6</v>
      </c>
      <c r="G1283" s="8">
        <f t="shared" ref="G1283:G1346" si="138">IFERROR(DATEDIF(B1283,C1283,"D"),"0")</f>
        <v>58</v>
      </c>
      <c r="H1283">
        <f t="shared" ref="H1283:H1346" si="139">WEEKDAY(B1283,1)</f>
        <v>1</v>
      </c>
      <c r="I1283" t="str">
        <f t="shared" si="137"/>
        <v>Sunday</v>
      </c>
      <c r="L1283">
        <f t="shared" ref="L1283:L1346" si="140">IF( OR($G1283=0,$G1283 = 1, $G1283 = 2), 1, 0 )</f>
        <v>0</v>
      </c>
    </row>
    <row r="1284" spans="1:12" x14ac:dyDescent="0.25">
      <c r="A1284">
        <v>204812582</v>
      </c>
      <c r="B1284" s="1">
        <v>44976</v>
      </c>
      <c r="C1284" s="1">
        <v>45023</v>
      </c>
      <c r="D1284" t="s">
        <v>7</v>
      </c>
      <c r="E1284">
        <v>39</v>
      </c>
      <c r="F1284" t="s">
        <v>6</v>
      </c>
      <c r="G1284" s="8">
        <f t="shared" si="138"/>
        <v>47</v>
      </c>
      <c r="H1284">
        <f t="shared" si="139"/>
        <v>1</v>
      </c>
      <c r="I1284" t="str">
        <f t="shared" si="137"/>
        <v>Sunday</v>
      </c>
      <c r="L1284">
        <f t="shared" si="140"/>
        <v>0</v>
      </c>
    </row>
    <row r="1285" spans="1:12" x14ac:dyDescent="0.25">
      <c r="A1285">
        <v>204662556</v>
      </c>
      <c r="B1285" s="1">
        <v>44976</v>
      </c>
      <c r="C1285" s="1">
        <v>45018</v>
      </c>
      <c r="D1285" t="s">
        <v>7</v>
      </c>
      <c r="E1285">
        <v>39</v>
      </c>
      <c r="F1285" t="s">
        <v>6</v>
      </c>
      <c r="G1285" s="8">
        <f t="shared" si="138"/>
        <v>42</v>
      </c>
      <c r="H1285">
        <f t="shared" si="139"/>
        <v>1</v>
      </c>
      <c r="I1285" t="str">
        <f t="shared" si="137"/>
        <v>Sunday</v>
      </c>
      <c r="L1285">
        <f t="shared" si="140"/>
        <v>0</v>
      </c>
    </row>
    <row r="1286" spans="1:12" x14ac:dyDescent="0.25">
      <c r="A1286">
        <v>163781430</v>
      </c>
      <c r="B1286" s="1">
        <v>44976</v>
      </c>
      <c r="C1286" s="1">
        <v>45042</v>
      </c>
      <c r="D1286" t="s">
        <v>7</v>
      </c>
      <c r="E1286">
        <v>39</v>
      </c>
      <c r="F1286" t="s">
        <v>6</v>
      </c>
      <c r="G1286" s="8">
        <f t="shared" si="138"/>
        <v>66</v>
      </c>
      <c r="H1286">
        <f t="shared" si="139"/>
        <v>1</v>
      </c>
      <c r="I1286" t="str">
        <f t="shared" si="137"/>
        <v>Sunday</v>
      </c>
      <c r="L1286">
        <f t="shared" si="140"/>
        <v>0</v>
      </c>
    </row>
    <row r="1287" spans="1:12" x14ac:dyDescent="0.25">
      <c r="A1287">
        <v>143963064</v>
      </c>
      <c r="B1287" s="1">
        <v>44976</v>
      </c>
      <c r="C1287" s="1">
        <v>45125</v>
      </c>
      <c r="D1287" t="s">
        <v>7</v>
      </c>
      <c r="E1287">
        <v>39</v>
      </c>
      <c r="F1287" t="s">
        <v>6</v>
      </c>
      <c r="G1287" s="8">
        <f t="shared" si="138"/>
        <v>149</v>
      </c>
      <c r="H1287">
        <f t="shared" si="139"/>
        <v>1</v>
      </c>
      <c r="I1287" t="str">
        <f t="shared" si="137"/>
        <v>Sunday</v>
      </c>
      <c r="L1287">
        <f t="shared" si="140"/>
        <v>0</v>
      </c>
    </row>
    <row r="1288" spans="1:12" x14ac:dyDescent="0.25">
      <c r="A1288">
        <v>204797166</v>
      </c>
      <c r="B1288" s="1">
        <v>44976</v>
      </c>
      <c r="C1288" s="1">
        <v>44991</v>
      </c>
      <c r="D1288" t="s">
        <v>7</v>
      </c>
      <c r="E1288">
        <v>39</v>
      </c>
      <c r="F1288" t="s">
        <v>6</v>
      </c>
      <c r="G1288" s="8">
        <f t="shared" si="138"/>
        <v>15</v>
      </c>
      <c r="H1288">
        <f t="shared" si="139"/>
        <v>1</v>
      </c>
      <c r="I1288" t="str">
        <f t="shared" si="137"/>
        <v>Sunday</v>
      </c>
      <c r="L1288">
        <f t="shared" si="140"/>
        <v>0</v>
      </c>
    </row>
    <row r="1289" spans="1:12" x14ac:dyDescent="0.25">
      <c r="A1289">
        <v>204774421</v>
      </c>
      <c r="B1289" s="1">
        <v>44976</v>
      </c>
      <c r="C1289" s="1">
        <v>44999</v>
      </c>
      <c r="D1289" t="s">
        <v>7</v>
      </c>
      <c r="E1289">
        <v>39</v>
      </c>
      <c r="F1289" t="s">
        <v>6</v>
      </c>
      <c r="G1289" s="8">
        <f t="shared" si="138"/>
        <v>23</v>
      </c>
      <c r="H1289">
        <f t="shared" si="139"/>
        <v>1</v>
      </c>
      <c r="I1289" t="str">
        <f t="shared" si="137"/>
        <v>Sunday</v>
      </c>
      <c r="L1289">
        <f t="shared" si="140"/>
        <v>0</v>
      </c>
    </row>
    <row r="1290" spans="1:12" x14ac:dyDescent="0.25">
      <c r="A1290">
        <v>204801675</v>
      </c>
      <c r="B1290" s="1">
        <v>44976</v>
      </c>
      <c r="C1290" s="1">
        <v>45007</v>
      </c>
      <c r="D1290" t="s">
        <v>7</v>
      </c>
      <c r="E1290">
        <v>39</v>
      </c>
      <c r="F1290" t="s">
        <v>6</v>
      </c>
      <c r="G1290" s="8">
        <f t="shared" si="138"/>
        <v>31</v>
      </c>
      <c r="H1290">
        <f t="shared" si="139"/>
        <v>1</v>
      </c>
      <c r="I1290" t="str">
        <f t="shared" si="137"/>
        <v>Sunday</v>
      </c>
      <c r="L1290">
        <f t="shared" si="140"/>
        <v>0</v>
      </c>
    </row>
    <row r="1291" spans="1:12" x14ac:dyDescent="0.25">
      <c r="A1291">
        <v>204518099</v>
      </c>
      <c r="B1291" s="1">
        <v>44976</v>
      </c>
      <c r="C1291" s="1">
        <v>44981</v>
      </c>
      <c r="D1291" t="s">
        <v>7</v>
      </c>
      <c r="E1291">
        <v>39</v>
      </c>
      <c r="F1291" t="s">
        <v>6</v>
      </c>
      <c r="G1291" s="8">
        <f t="shared" si="138"/>
        <v>5</v>
      </c>
      <c r="H1291">
        <f t="shared" si="139"/>
        <v>1</v>
      </c>
      <c r="I1291" t="str">
        <f t="shared" si="137"/>
        <v>Sunday</v>
      </c>
      <c r="L1291">
        <f t="shared" si="140"/>
        <v>0</v>
      </c>
    </row>
    <row r="1292" spans="1:12" x14ac:dyDescent="0.25">
      <c r="A1292">
        <v>204814320</v>
      </c>
      <c r="B1292" s="1">
        <v>44977</v>
      </c>
      <c r="C1292" s="1">
        <f t="shared" ref="C1292:C1294" ca="1" si="141">TODAY()</f>
        <v>45938</v>
      </c>
      <c r="D1292" t="s">
        <v>7</v>
      </c>
      <c r="E1292">
        <v>39</v>
      </c>
      <c r="F1292" t="s">
        <v>6</v>
      </c>
      <c r="G1292" s="8">
        <f t="shared" ca="1" si="138"/>
        <v>961</v>
      </c>
      <c r="H1292">
        <f t="shared" si="139"/>
        <v>2</v>
      </c>
      <c r="I1292" t="str">
        <f t="shared" si="137"/>
        <v>Monday</v>
      </c>
      <c r="L1292">
        <f t="shared" ca="1" si="140"/>
        <v>0</v>
      </c>
    </row>
    <row r="1293" spans="1:12" x14ac:dyDescent="0.25">
      <c r="A1293">
        <v>126851221</v>
      </c>
      <c r="B1293" s="1">
        <v>44977</v>
      </c>
      <c r="C1293" s="1">
        <f t="shared" ca="1" si="141"/>
        <v>45938</v>
      </c>
      <c r="D1293" t="s">
        <v>7</v>
      </c>
      <c r="E1293">
        <v>39</v>
      </c>
      <c r="F1293" t="s">
        <v>6</v>
      </c>
      <c r="G1293" s="8">
        <f t="shared" ca="1" si="138"/>
        <v>961</v>
      </c>
      <c r="H1293">
        <f t="shared" si="139"/>
        <v>2</v>
      </c>
      <c r="I1293" t="str">
        <f t="shared" si="137"/>
        <v>Monday</v>
      </c>
      <c r="L1293">
        <f t="shared" ca="1" si="140"/>
        <v>0</v>
      </c>
    </row>
    <row r="1294" spans="1:12" x14ac:dyDescent="0.25">
      <c r="A1294">
        <v>204845935</v>
      </c>
      <c r="B1294" s="1">
        <v>44977</v>
      </c>
      <c r="C1294" s="1">
        <f t="shared" ca="1" si="141"/>
        <v>45938</v>
      </c>
      <c r="D1294" t="s">
        <v>7</v>
      </c>
      <c r="E1294">
        <v>39</v>
      </c>
      <c r="F1294" t="s">
        <v>6</v>
      </c>
      <c r="G1294" s="8">
        <f t="shared" ca="1" si="138"/>
        <v>961</v>
      </c>
      <c r="H1294">
        <f t="shared" si="139"/>
        <v>2</v>
      </c>
      <c r="I1294" t="str">
        <f t="shared" si="137"/>
        <v>Monday</v>
      </c>
      <c r="L1294">
        <f t="shared" ca="1" si="140"/>
        <v>0</v>
      </c>
    </row>
    <row r="1295" spans="1:12" x14ac:dyDescent="0.25">
      <c r="A1295">
        <v>122215146</v>
      </c>
      <c r="B1295" s="1">
        <v>44977</v>
      </c>
      <c r="C1295" s="1">
        <v>44978</v>
      </c>
      <c r="D1295" t="s">
        <v>7</v>
      </c>
      <c r="E1295">
        <v>39</v>
      </c>
      <c r="F1295" t="s">
        <v>6</v>
      </c>
      <c r="G1295" s="8">
        <f t="shared" si="138"/>
        <v>1</v>
      </c>
      <c r="H1295">
        <f t="shared" si="139"/>
        <v>2</v>
      </c>
      <c r="I1295" t="str">
        <f t="shared" si="137"/>
        <v>Monday</v>
      </c>
      <c r="L1295">
        <f t="shared" si="140"/>
        <v>1</v>
      </c>
    </row>
    <row r="1296" spans="1:12" x14ac:dyDescent="0.25">
      <c r="A1296">
        <v>147300748</v>
      </c>
      <c r="B1296" s="1">
        <v>44977</v>
      </c>
      <c r="C1296" s="1">
        <v>45119</v>
      </c>
      <c r="D1296" t="s">
        <v>7</v>
      </c>
      <c r="E1296">
        <v>39</v>
      </c>
      <c r="F1296" t="s">
        <v>6</v>
      </c>
      <c r="G1296" s="8">
        <f t="shared" si="138"/>
        <v>142</v>
      </c>
      <c r="H1296">
        <f t="shared" si="139"/>
        <v>2</v>
      </c>
      <c r="I1296" t="str">
        <f t="shared" si="137"/>
        <v>Monday</v>
      </c>
      <c r="L1296">
        <f t="shared" si="140"/>
        <v>0</v>
      </c>
    </row>
    <row r="1297" spans="1:12" x14ac:dyDescent="0.25">
      <c r="A1297">
        <v>162596645</v>
      </c>
      <c r="B1297" s="1">
        <v>44977</v>
      </c>
      <c r="C1297" s="1">
        <v>45105</v>
      </c>
      <c r="D1297" t="s">
        <v>7</v>
      </c>
      <c r="E1297">
        <v>39</v>
      </c>
      <c r="F1297" t="s">
        <v>6</v>
      </c>
      <c r="G1297" s="8">
        <f t="shared" si="138"/>
        <v>128</v>
      </c>
      <c r="H1297">
        <f t="shared" si="139"/>
        <v>2</v>
      </c>
      <c r="I1297" t="str">
        <f t="shared" si="137"/>
        <v>Monday</v>
      </c>
      <c r="L1297">
        <f t="shared" si="140"/>
        <v>0</v>
      </c>
    </row>
    <row r="1298" spans="1:12" x14ac:dyDescent="0.25">
      <c r="A1298">
        <v>177666771</v>
      </c>
      <c r="B1298" s="1">
        <v>44977</v>
      </c>
      <c r="C1298" s="1">
        <v>45089</v>
      </c>
      <c r="D1298" t="s">
        <v>7</v>
      </c>
      <c r="E1298">
        <v>39</v>
      </c>
      <c r="F1298" t="s">
        <v>6</v>
      </c>
      <c r="G1298" s="8">
        <f t="shared" si="138"/>
        <v>112</v>
      </c>
      <c r="H1298">
        <f t="shared" si="139"/>
        <v>2</v>
      </c>
      <c r="I1298" t="str">
        <f t="shared" si="137"/>
        <v>Monday</v>
      </c>
      <c r="L1298">
        <f t="shared" si="140"/>
        <v>0</v>
      </c>
    </row>
    <row r="1299" spans="1:12" x14ac:dyDescent="0.25">
      <c r="A1299">
        <v>204884248</v>
      </c>
      <c r="B1299" s="1">
        <v>44977</v>
      </c>
      <c r="C1299" s="1">
        <v>45048</v>
      </c>
      <c r="D1299" t="s">
        <v>7</v>
      </c>
      <c r="E1299">
        <v>39</v>
      </c>
      <c r="F1299" t="s">
        <v>6</v>
      </c>
      <c r="G1299" s="8">
        <f t="shared" si="138"/>
        <v>71</v>
      </c>
      <c r="H1299">
        <f t="shared" si="139"/>
        <v>2</v>
      </c>
      <c r="I1299" t="str">
        <f t="shared" si="137"/>
        <v>Monday</v>
      </c>
      <c r="L1299">
        <f t="shared" si="140"/>
        <v>0</v>
      </c>
    </row>
    <row r="1300" spans="1:12" x14ac:dyDescent="0.25">
      <c r="A1300">
        <v>204826054</v>
      </c>
      <c r="B1300" s="1">
        <v>44977</v>
      </c>
      <c r="C1300" s="1">
        <v>45077</v>
      </c>
      <c r="D1300" t="s">
        <v>7</v>
      </c>
      <c r="E1300">
        <v>39</v>
      </c>
      <c r="F1300" t="s">
        <v>6</v>
      </c>
      <c r="G1300" s="8">
        <f t="shared" si="138"/>
        <v>100</v>
      </c>
      <c r="H1300">
        <f t="shared" si="139"/>
        <v>2</v>
      </c>
      <c r="I1300" t="str">
        <f t="shared" si="137"/>
        <v>Monday</v>
      </c>
      <c r="L1300">
        <f t="shared" si="140"/>
        <v>0</v>
      </c>
    </row>
    <row r="1301" spans="1:12" x14ac:dyDescent="0.25">
      <c r="A1301">
        <v>145096572</v>
      </c>
      <c r="B1301" s="1">
        <v>44977</v>
      </c>
      <c r="C1301" s="1">
        <v>44999</v>
      </c>
      <c r="D1301" t="s">
        <v>7</v>
      </c>
      <c r="E1301">
        <v>39</v>
      </c>
      <c r="F1301" t="s">
        <v>6</v>
      </c>
      <c r="G1301" s="8">
        <f t="shared" si="138"/>
        <v>22</v>
      </c>
      <c r="H1301">
        <f t="shared" si="139"/>
        <v>2</v>
      </c>
      <c r="I1301" t="str">
        <f t="shared" si="137"/>
        <v>Monday</v>
      </c>
      <c r="L1301">
        <f t="shared" si="140"/>
        <v>0</v>
      </c>
    </row>
    <row r="1302" spans="1:12" x14ac:dyDescent="0.25">
      <c r="A1302">
        <v>158472404</v>
      </c>
      <c r="B1302" s="1">
        <v>44977</v>
      </c>
      <c r="C1302" s="1">
        <v>44995</v>
      </c>
      <c r="D1302" t="s">
        <v>7</v>
      </c>
      <c r="E1302">
        <v>39</v>
      </c>
      <c r="F1302" t="s">
        <v>6</v>
      </c>
      <c r="G1302" s="8">
        <f t="shared" si="138"/>
        <v>18</v>
      </c>
      <c r="H1302">
        <f t="shared" si="139"/>
        <v>2</v>
      </c>
      <c r="I1302" t="str">
        <f t="shared" si="137"/>
        <v>Monday</v>
      </c>
      <c r="L1302">
        <f t="shared" si="140"/>
        <v>0</v>
      </c>
    </row>
    <row r="1303" spans="1:12" x14ac:dyDescent="0.25">
      <c r="A1303">
        <v>204907118</v>
      </c>
      <c r="B1303" s="1">
        <v>44977</v>
      </c>
      <c r="C1303" s="1">
        <v>45026</v>
      </c>
      <c r="D1303" t="s">
        <v>7</v>
      </c>
      <c r="E1303">
        <v>39</v>
      </c>
      <c r="F1303" t="s">
        <v>6</v>
      </c>
      <c r="G1303" s="8">
        <f t="shared" si="138"/>
        <v>49</v>
      </c>
      <c r="H1303">
        <f t="shared" si="139"/>
        <v>2</v>
      </c>
      <c r="I1303" t="str">
        <f t="shared" si="137"/>
        <v>Monday</v>
      </c>
      <c r="L1303">
        <f t="shared" si="140"/>
        <v>0</v>
      </c>
    </row>
    <row r="1304" spans="1:12" x14ac:dyDescent="0.25">
      <c r="A1304">
        <v>204602410</v>
      </c>
      <c r="B1304" s="1">
        <v>44977</v>
      </c>
      <c r="C1304" s="1">
        <v>45005</v>
      </c>
      <c r="D1304" t="s">
        <v>7</v>
      </c>
      <c r="E1304">
        <v>39</v>
      </c>
      <c r="F1304" t="s">
        <v>6</v>
      </c>
      <c r="G1304" s="8">
        <f t="shared" si="138"/>
        <v>28</v>
      </c>
      <c r="H1304">
        <f t="shared" si="139"/>
        <v>2</v>
      </c>
      <c r="I1304" t="str">
        <f t="shared" si="137"/>
        <v>Monday</v>
      </c>
      <c r="L1304">
        <f t="shared" si="140"/>
        <v>0</v>
      </c>
    </row>
    <row r="1305" spans="1:12" x14ac:dyDescent="0.25">
      <c r="A1305">
        <v>204853460</v>
      </c>
      <c r="B1305" s="1">
        <v>44977</v>
      </c>
      <c r="C1305" s="1">
        <v>45126</v>
      </c>
      <c r="D1305" t="s">
        <v>7</v>
      </c>
      <c r="E1305">
        <v>39</v>
      </c>
      <c r="F1305" t="s">
        <v>6</v>
      </c>
      <c r="G1305" s="8">
        <f t="shared" si="138"/>
        <v>149</v>
      </c>
      <c r="H1305">
        <f t="shared" si="139"/>
        <v>2</v>
      </c>
      <c r="I1305" t="str">
        <f t="shared" si="137"/>
        <v>Monday</v>
      </c>
      <c r="L1305">
        <f t="shared" si="140"/>
        <v>0</v>
      </c>
    </row>
    <row r="1306" spans="1:12" x14ac:dyDescent="0.25">
      <c r="A1306">
        <v>194310997</v>
      </c>
      <c r="B1306" s="1">
        <v>44977</v>
      </c>
      <c r="C1306" s="1">
        <v>45124</v>
      </c>
      <c r="D1306" t="s">
        <v>7</v>
      </c>
      <c r="E1306">
        <v>39</v>
      </c>
      <c r="F1306" t="s">
        <v>6</v>
      </c>
      <c r="G1306" s="8">
        <f t="shared" si="138"/>
        <v>147</v>
      </c>
      <c r="H1306">
        <f t="shared" si="139"/>
        <v>2</v>
      </c>
      <c r="I1306" t="str">
        <f t="shared" si="137"/>
        <v>Monday</v>
      </c>
      <c r="L1306">
        <f t="shared" si="140"/>
        <v>0</v>
      </c>
    </row>
    <row r="1307" spans="1:12" x14ac:dyDescent="0.25">
      <c r="A1307">
        <v>204902258</v>
      </c>
      <c r="B1307" s="1">
        <v>44978</v>
      </c>
      <c r="C1307" s="1">
        <f t="shared" ref="C1307" ca="1" si="142">TODAY()</f>
        <v>45938</v>
      </c>
      <c r="D1307" t="s">
        <v>7</v>
      </c>
      <c r="E1307">
        <v>39</v>
      </c>
      <c r="F1307" t="s">
        <v>6</v>
      </c>
      <c r="G1307" s="8">
        <f t="shared" ca="1" si="138"/>
        <v>960</v>
      </c>
      <c r="H1307">
        <f t="shared" si="139"/>
        <v>3</v>
      </c>
      <c r="I1307" t="str">
        <f t="shared" si="137"/>
        <v>Tuesday</v>
      </c>
      <c r="L1307">
        <f t="shared" ca="1" si="140"/>
        <v>0</v>
      </c>
    </row>
    <row r="1308" spans="1:12" x14ac:dyDescent="0.25">
      <c r="A1308">
        <v>162865034</v>
      </c>
      <c r="B1308" s="1">
        <v>44978</v>
      </c>
      <c r="C1308" s="1">
        <v>45013</v>
      </c>
      <c r="D1308" t="s">
        <v>7</v>
      </c>
      <c r="E1308">
        <v>39</v>
      </c>
      <c r="F1308" t="s">
        <v>6</v>
      </c>
      <c r="G1308" s="8">
        <f t="shared" si="138"/>
        <v>35</v>
      </c>
      <c r="H1308">
        <f t="shared" si="139"/>
        <v>3</v>
      </c>
      <c r="I1308" t="str">
        <f t="shared" si="137"/>
        <v>Tuesday</v>
      </c>
      <c r="L1308">
        <f t="shared" si="140"/>
        <v>0</v>
      </c>
    </row>
    <row r="1309" spans="1:12" x14ac:dyDescent="0.25">
      <c r="A1309">
        <v>204467695</v>
      </c>
      <c r="B1309" s="1">
        <v>44978</v>
      </c>
      <c r="C1309" s="1">
        <v>45055</v>
      </c>
      <c r="D1309" t="s">
        <v>7</v>
      </c>
      <c r="E1309">
        <v>39</v>
      </c>
      <c r="F1309" t="s">
        <v>6</v>
      </c>
      <c r="G1309" s="8">
        <f t="shared" si="138"/>
        <v>77</v>
      </c>
      <c r="H1309">
        <f t="shared" si="139"/>
        <v>3</v>
      </c>
      <c r="I1309" t="str">
        <f t="shared" si="137"/>
        <v>Tuesday</v>
      </c>
      <c r="L1309">
        <f t="shared" si="140"/>
        <v>0</v>
      </c>
    </row>
    <row r="1310" spans="1:12" x14ac:dyDescent="0.25">
      <c r="A1310">
        <v>204774193</v>
      </c>
      <c r="B1310" s="1">
        <v>44978</v>
      </c>
      <c r="C1310" s="1">
        <v>45076</v>
      </c>
      <c r="D1310" t="s">
        <v>7</v>
      </c>
      <c r="E1310">
        <v>39</v>
      </c>
      <c r="F1310" t="s">
        <v>6</v>
      </c>
      <c r="G1310" s="8">
        <f t="shared" si="138"/>
        <v>98</v>
      </c>
      <c r="H1310">
        <f t="shared" si="139"/>
        <v>3</v>
      </c>
      <c r="I1310" t="str">
        <f t="shared" si="137"/>
        <v>Tuesday</v>
      </c>
      <c r="L1310">
        <f t="shared" si="140"/>
        <v>0</v>
      </c>
    </row>
    <row r="1311" spans="1:12" x14ac:dyDescent="0.25">
      <c r="A1311">
        <v>189046085</v>
      </c>
      <c r="B1311" s="1">
        <v>44978</v>
      </c>
      <c r="C1311" s="1">
        <v>45064</v>
      </c>
      <c r="D1311" t="s">
        <v>7</v>
      </c>
      <c r="E1311">
        <v>39</v>
      </c>
      <c r="F1311" t="s">
        <v>6</v>
      </c>
      <c r="G1311" s="8">
        <f t="shared" si="138"/>
        <v>86</v>
      </c>
      <c r="H1311">
        <f t="shared" si="139"/>
        <v>3</v>
      </c>
      <c r="I1311" t="str">
        <f t="shared" si="137"/>
        <v>Tuesday</v>
      </c>
      <c r="L1311">
        <f t="shared" si="140"/>
        <v>0</v>
      </c>
    </row>
    <row r="1312" spans="1:12" x14ac:dyDescent="0.25">
      <c r="A1312">
        <v>188082436</v>
      </c>
      <c r="B1312" s="1">
        <v>44978</v>
      </c>
      <c r="C1312" s="1">
        <v>45020</v>
      </c>
      <c r="D1312" t="s">
        <v>7</v>
      </c>
      <c r="E1312">
        <v>39</v>
      </c>
      <c r="F1312" t="s">
        <v>6</v>
      </c>
      <c r="G1312" s="8">
        <f t="shared" si="138"/>
        <v>42</v>
      </c>
      <c r="H1312">
        <f t="shared" si="139"/>
        <v>3</v>
      </c>
      <c r="I1312" t="str">
        <f t="shared" si="137"/>
        <v>Tuesday</v>
      </c>
      <c r="L1312">
        <f t="shared" si="140"/>
        <v>0</v>
      </c>
    </row>
    <row r="1313" spans="1:12" x14ac:dyDescent="0.25">
      <c r="A1313">
        <v>204947361</v>
      </c>
      <c r="B1313" s="1">
        <v>44978</v>
      </c>
      <c r="C1313" s="1">
        <v>45021</v>
      </c>
      <c r="D1313" t="s">
        <v>7</v>
      </c>
      <c r="E1313">
        <v>39</v>
      </c>
      <c r="F1313" t="s">
        <v>6</v>
      </c>
      <c r="G1313" s="8">
        <f t="shared" si="138"/>
        <v>43</v>
      </c>
      <c r="H1313">
        <f t="shared" si="139"/>
        <v>3</v>
      </c>
      <c r="I1313" t="str">
        <f t="shared" si="137"/>
        <v>Tuesday</v>
      </c>
      <c r="L1313">
        <f t="shared" si="140"/>
        <v>0</v>
      </c>
    </row>
    <row r="1314" spans="1:12" x14ac:dyDescent="0.25">
      <c r="A1314">
        <v>158852962</v>
      </c>
      <c r="B1314" s="1">
        <v>44978</v>
      </c>
      <c r="C1314" s="1">
        <v>45030</v>
      </c>
      <c r="D1314" t="s">
        <v>7</v>
      </c>
      <c r="E1314">
        <v>39</v>
      </c>
      <c r="F1314" t="s">
        <v>6</v>
      </c>
      <c r="G1314" s="8">
        <f t="shared" si="138"/>
        <v>52</v>
      </c>
      <c r="H1314">
        <f t="shared" si="139"/>
        <v>3</v>
      </c>
      <c r="I1314" t="str">
        <f t="shared" si="137"/>
        <v>Tuesday</v>
      </c>
      <c r="L1314">
        <f t="shared" si="140"/>
        <v>0</v>
      </c>
    </row>
    <row r="1315" spans="1:12" x14ac:dyDescent="0.25">
      <c r="A1315">
        <v>204742960</v>
      </c>
      <c r="B1315" s="1">
        <v>44978</v>
      </c>
      <c r="C1315" s="1">
        <v>44991</v>
      </c>
      <c r="D1315" t="s">
        <v>7</v>
      </c>
      <c r="E1315">
        <v>39</v>
      </c>
      <c r="F1315" t="s">
        <v>6</v>
      </c>
      <c r="G1315" s="8">
        <f t="shared" si="138"/>
        <v>13</v>
      </c>
      <c r="H1315">
        <f t="shared" si="139"/>
        <v>3</v>
      </c>
      <c r="I1315" t="str">
        <f t="shared" si="137"/>
        <v>Tuesday</v>
      </c>
      <c r="L1315">
        <f t="shared" si="140"/>
        <v>0</v>
      </c>
    </row>
    <row r="1316" spans="1:12" x14ac:dyDescent="0.25">
      <c r="A1316">
        <v>204726042</v>
      </c>
      <c r="B1316" s="1">
        <v>44978</v>
      </c>
      <c r="C1316" s="1">
        <v>45002</v>
      </c>
      <c r="D1316" t="s">
        <v>7</v>
      </c>
      <c r="E1316">
        <v>39</v>
      </c>
      <c r="F1316" t="s">
        <v>6</v>
      </c>
      <c r="G1316" s="8">
        <f t="shared" si="138"/>
        <v>24</v>
      </c>
      <c r="H1316">
        <f t="shared" si="139"/>
        <v>3</v>
      </c>
      <c r="I1316" t="str">
        <f t="shared" si="137"/>
        <v>Tuesday</v>
      </c>
      <c r="L1316">
        <f t="shared" si="140"/>
        <v>0</v>
      </c>
    </row>
    <row r="1317" spans="1:12" x14ac:dyDescent="0.25">
      <c r="A1317">
        <v>204997225</v>
      </c>
      <c r="B1317" s="1">
        <v>44979</v>
      </c>
      <c r="C1317" s="1">
        <f t="shared" ref="C1317:C1318" ca="1" si="143">TODAY()</f>
        <v>45938</v>
      </c>
      <c r="D1317" t="s">
        <v>7</v>
      </c>
      <c r="E1317">
        <v>39</v>
      </c>
      <c r="F1317" t="s">
        <v>6</v>
      </c>
      <c r="G1317" s="8">
        <f t="shared" ca="1" si="138"/>
        <v>959</v>
      </c>
      <c r="H1317">
        <f t="shared" si="139"/>
        <v>4</v>
      </c>
      <c r="I1317" t="str">
        <f t="shared" si="137"/>
        <v>Wednesday</v>
      </c>
      <c r="L1317">
        <f t="shared" ca="1" si="140"/>
        <v>0</v>
      </c>
    </row>
    <row r="1318" spans="1:12" x14ac:dyDescent="0.25">
      <c r="A1318">
        <v>126103612</v>
      </c>
      <c r="B1318" s="1">
        <v>44979</v>
      </c>
      <c r="C1318" s="1">
        <f t="shared" ca="1" si="143"/>
        <v>45938</v>
      </c>
      <c r="D1318" t="s">
        <v>7</v>
      </c>
      <c r="E1318">
        <v>39</v>
      </c>
      <c r="F1318" t="s">
        <v>6</v>
      </c>
      <c r="G1318" s="8">
        <f t="shared" ca="1" si="138"/>
        <v>959</v>
      </c>
      <c r="H1318">
        <f t="shared" si="139"/>
        <v>4</v>
      </c>
      <c r="I1318" t="str">
        <f t="shared" si="137"/>
        <v>Wednesday</v>
      </c>
      <c r="L1318">
        <f t="shared" ca="1" si="140"/>
        <v>0</v>
      </c>
    </row>
    <row r="1319" spans="1:12" x14ac:dyDescent="0.25">
      <c r="A1319">
        <v>204934860</v>
      </c>
      <c r="B1319" s="1">
        <v>44979</v>
      </c>
      <c r="C1319" s="1">
        <v>44980</v>
      </c>
      <c r="D1319" t="s">
        <v>8</v>
      </c>
      <c r="E1319">
        <v>39</v>
      </c>
      <c r="F1319" t="s">
        <v>6</v>
      </c>
      <c r="G1319" s="8">
        <f t="shared" si="138"/>
        <v>1</v>
      </c>
      <c r="H1319">
        <f t="shared" si="139"/>
        <v>4</v>
      </c>
      <c r="I1319" t="str">
        <f t="shared" si="137"/>
        <v>Wednesday</v>
      </c>
      <c r="L1319">
        <f t="shared" si="140"/>
        <v>1</v>
      </c>
    </row>
    <row r="1320" spans="1:12" x14ac:dyDescent="0.25">
      <c r="A1320">
        <v>197086298</v>
      </c>
      <c r="B1320" s="1">
        <v>44979</v>
      </c>
      <c r="C1320" s="1">
        <v>45048</v>
      </c>
      <c r="D1320" t="s">
        <v>7</v>
      </c>
      <c r="E1320">
        <v>39</v>
      </c>
      <c r="F1320" t="s">
        <v>6</v>
      </c>
      <c r="G1320" s="8">
        <f t="shared" si="138"/>
        <v>69</v>
      </c>
      <c r="H1320">
        <f t="shared" si="139"/>
        <v>4</v>
      </c>
      <c r="I1320" t="str">
        <f t="shared" si="137"/>
        <v>Wednesday</v>
      </c>
      <c r="L1320">
        <f t="shared" si="140"/>
        <v>0</v>
      </c>
    </row>
    <row r="1321" spans="1:12" x14ac:dyDescent="0.25">
      <c r="A1321">
        <v>204732760</v>
      </c>
      <c r="B1321" s="1">
        <v>44979</v>
      </c>
      <c r="C1321" s="1">
        <v>45037</v>
      </c>
      <c r="D1321" t="s">
        <v>7</v>
      </c>
      <c r="E1321">
        <v>39</v>
      </c>
      <c r="F1321" t="s">
        <v>6</v>
      </c>
      <c r="G1321" s="8">
        <f t="shared" si="138"/>
        <v>58</v>
      </c>
      <c r="H1321">
        <f t="shared" si="139"/>
        <v>4</v>
      </c>
      <c r="I1321" t="str">
        <f t="shared" si="137"/>
        <v>Wednesday</v>
      </c>
      <c r="L1321">
        <f t="shared" si="140"/>
        <v>0</v>
      </c>
    </row>
    <row r="1322" spans="1:12" x14ac:dyDescent="0.25">
      <c r="A1322">
        <v>204985175</v>
      </c>
      <c r="B1322" s="1">
        <v>44979</v>
      </c>
      <c r="C1322" s="1">
        <v>45029</v>
      </c>
      <c r="D1322" t="s">
        <v>7</v>
      </c>
      <c r="E1322">
        <v>39</v>
      </c>
      <c r="F1322" t="s">
        <v>6</v>
      </c>
      <c r="G1322" s="8">
        <f t="shared" si="138"/>
        <v>50</v>
      </c>
      <c r="H1322">
        <f t="shared" si="139"/>
        <v>4</v>
      </c>
      <c r="I1322" t="str">
        <f t="shared" si="137"/>
        <v>Wednesday</v>
      </c>
      <c r="L1322">
        <f t="shared" si="140"/>
        <v>0</v>
      </c>
    </row>
    <row r="1323" spans="1:12" x14ac:dyDescent="0.25">
      <c r="A1323">
        <v>189387698</v>
      </c>
      <c r="B1323" s="1">
        <v>44979</v>
      </c>
      <c r="C1323" s="1">
        <v>45023</v>
      </c>
      <c r="D1323" t="s">
        <v>7</v>
      </c>
      <c r="E1323">
        <v>39</v>
      </c>
      <c r="F1323" t="s">
        <v>6</v>
      </c>
      <c r="G1323" s="8">
        <f t="shared" si="138"/>
        <v>44</v>
      </c>
      <c r="H1323">
        <f t="shared" si="139"/>
        <v>4</v>
      </c>
      <c r="I1323" t="str">
        <f t="shared" si="137"/>
        <v>Wednesday</v>
      </c>
      <c r="L1323">
        <f t="shared" si="140"/>
        <v>0</v>
      </c>
    </row>
    <row r="1324" spans="1:12" x14ac:dyDescent="0.25">
      <c r="A1324">
        <v>144160302</v>
      </c>
      <c r="B1324" s="1">
        <v>44979</v>
      </c>
      <c r="C1324" s="1">
        <v>45022</v>
      </c>
      <c r="D1324" t="s">
        <v>7</v>
      </c>
      <c r="E1324">
        <v>39</v>
      </c>
      <c r="F1324" t="s">
        <v>6</v>
      </c>
      <c r="G1324" s="8">
        <f t="shared" si="138"/>
        <v>43</v>
      </c>
      <c r="H1324">
        <f t="shared" si="139"/>
        <v>4</v>
      </c>
      <c r="I1324" t="str">
        <f t="shared" si="137"/>
        <v>Wednesday</v>
      </c>
      <c r="L1324">
        <f t="shared" si="140"/>
        <v>0</v>
      </c>
    </row>
    <row r="1325" spans="1:12" x14ac:dyDescent="0.25">
      <c r="A1325">
        <v>195774465</v>
      </c>
      <c r="B1325" s="1">
        <v>44979</v>
      </c>
      <c r="C1325" s="1">
        <v>45045</v>
      </c>
      <c r="D1325" t="s">
        <v>7</v>
      </c>
      <c r="E1325">
        <v>39</v>
      </c>
      <c r="F1325" t="s">
        <v>6</v>
      </c>
      <c r="G1325" s="8">
        <f t="shared" si="138"/>
        <v>66</v>
      </c>
      <c r="H1325">
        <f t="shared" si="139"/>
        <v>4</v>
      </c>
      <c r="I1325" t="str">
        <f t="shared" si="137"/>
        <v>Wednesday</v>
      </c>
      <c r="L1325">
        <f t="shared" si="140"/>
        <v>0</v>
      </c>
    </row>
    <row r="1326" spans="1:12" x14ac:dyDescent="0.25">
      <c r="A1326">
        <v>204890622</v>
      </c>
      <c r="B1326" s="1">
        <v>44979</v>
      </c>
      <c r="C1326" s="1">
        <v>45003</v>
      </c>
      <c r="D1326" t="s">
        <v>7</v>
      </c>
      <c r="E1326">
        <v>39</v>
      </c>
      <c r="F1326" t="s">
        <v>6</v>
      </c>
      <c r="G1326" s="8">
        <f t="shared" si="138"/>
        <v>24</v>
      </c>
      <c r="H1326">
        <f t="shared" si="139"/>
        <v>4</v>
      </c>
      <c r="I1326" t="str">
        <f t="shared" si="137"/>
        <v>Wednesday</v>
      </c>
      <c r="L1326">
        <f t="shared" si="140"/>
        <v>0</v>
      </c>
    </row>
    <row r="1327" spans="1:12" x14ac:dyDescent="0.25">
      <c r="A1327">
        <v>204206841</v>
      </c>
      <c r="B1327" s="1">
        <v>44979</v>
      </c>
      <c r="C1327" s="1">
        <v>44993</v>
      </c>
      <c r="D1327" t="s">
        <v>7</v>
      </c>
      <c r="E1327">
        <v>39</v>
      </c>
      <c r="F1327" t="s">
        <v>6</v>
      </c>
      <c r="G1327" s="8">
        <f t="shared" si="138"/>
        <v>14</v>
      </c>
      <c r="H1327">
        <f t="shared" si="139"/>
        <v>4</v>
      </c>
      <c r="I1327" t="str">
        <f t="shared" si="137"/>
        <v>Wednesday</v>
      </c>
      <c r="L1327">
        <f t="shared" si="140"/>
        <v>0</v>
      </c>
    </row>
    <row r="1328" spans="1:12" x14ac:dyDescent="0.25">
      <c r="A1328">
        <v>204955216</v>
      </c>
      <c r="B1328" s="1">
        <v>44979</v>
      </c>
      <c r="C1328" s="1">
        <v>45005</v>
      </c>
      <c r="D1328" t="s">
        <v>7</v>
      </c>
      <c r="E1328">
        <v>39</v>
      </c>
      <c r="F1328" t="s">
        <v>6</v>
      </c>
      <c r="G1328" s="8">
        <f t="shared" si="138"/>
        <v>26</v>
      </c>
      <c r="H1328">
        <f t="shared" si="139"/>
        <v>4</v>
      </c>
      <c r="I1328" t="str">
        <f t="shared" si="137"/>
        <v>Wednesday</v>
      </c>
      <c r="L1328">
        <f t="shared" si="140"/>
        <v>0</v>
      </c>
    </row>
    <row r="1329" spans="1:12" x14ac:dyDescent="0.25">
      <c r="A1329">
        <v>204992891</v>
      </c>
      <c r="B1329" s="1">
        <v>44979</v>
      </c>
      <c r="C1329" s="1">
        <v>45141</v>
      </c>
      <c r="D1329" t="s">
        <v>7</v>
      </c>
      <c r="E1329">
        <v>39</v>
      </c>
      <c r="F1329" t="s">
        <v>6</v>
      </c>
      <c r="G1329" s="8">
        <f t="shared" si="138"/>
        <v>162</v>
      </c>
      <c r="H1329">
        <f t="shared" si="139"/>
        <v>4</v>
      </c>
      <c r="I1329" t="str">
        <f t="shared" si="137"/>
        <v>Wednesday</v>
      </c>
      <c r="L1329">
        <f t="shared" si="140"/>
        <v>0</v>
      </c>
    </row>
    <row r="1330" spans="1:12" x14ac:dyDescent="0.25">
      <c r="A1330">
        <v>139152786</v>
      </c>
      <c r="B1330" s="1">
        <v>44980</v>
      </c>
      <c r="C1330" s="1">
        <f t="shared" ref="C1330:C1331" ca="1" si="144">TODAY()</f>
        <v>45938</v>
      </c>
      <c r="D1330" t="s">
        <v>7</v>
      </c>
      <c r="E1330">
        <v>39</v>
      </c>
      <c r="F1330" t="s">
        <v>6</v>
      </c>
      <c r="G1330" s="8">
        <f t="shared" ca="1" si="138"/>
        <v>958</v>
      </c>
      <c r="H1330">
        <f t="shared" si="139"/>
        <v>5</v>
      </c>
      <c r="I1330" t="str">
        <f t="shared" si="137"/>
        <v>Thursday</v>
      </c>
      <c r="L1330">
        <f t="shared" ca="1" si="140"/>
        <v>0</v>
      </c>
    </row>
    <row r="1331" spans="1:12" x14ac:dyDescent="0.25">
      <c r="A1331">
        <v>204753108</v>
      </c>
      <c r="B1331" s="1">
        <v>44980</v>
      </c>
      <c r="C1331" s="1">
        <f t="shared" ca="1" si="144"/>
        <v>45938</v>
      </c>
      <c r="D1331" t="s">
        <v>7</v>
      </c>
      <c r="E1331">
        <v>39</v>
      </c>
      <c r="F1331" t="s">
        <v>6</v>
      </c>
      <c r="G1331" s="8">
        <f t="shared" ca="1" si="138"/>
        <v>958</v>
      </c>
      <c r="H1331">
        <f t="shared" si="139"/>
        <v>5</v>
      </c>
      <c r="I1331" t="str">
        <f t="shared" si="137"/>
        <v>Thursday</v>
      </c>
      <c r="L1331">
        <f t="shared" ca="1" si="140"/>
        <v>0</v>
      </c>
    </row>
    <row r="1332" spans="1:12" x14ac:dyDescent="0.25">
      <c r="A1332">
        <v>136703646</v>
      </c>
      <c r="B1332" s="1">
        <v>44980</v>
      </c>
      <c r="C1332" s="1">
        <v>45023</v>
      </c>
      <c r="D1332" t="s">
        <v>7</v>
      </c>
      <c r="E1332">
        <v>39</v>
      </c>
      <c r="F1332" t="s">
        <v>6</v>
      </c>
      <c r="G1332" s="8">
        <f t="shared" si="138"/>
        <v>43</v>
      </c>
      <c r="H1332">
        <f t="shared" si="139"/>
        <v>5</v>
      </c>
      <c r="I1332" t="str">
        <f t="shared" si="137"/>
        <v>Thursday</v>
      </c>
      <c r="L1332">
        <f t="shared" si="140"/>
        <v>0</v>
      </c>
    </row>
    <row r="1333" spans="1:12" x14ac:dyDescent="0.25">
      <c r="A1333">
        <v>204294672</v>
      </c>
      <c r="B1333" s="1">
        <v>44980</v>
      </c>
      <c r="C1333" s="1">
        <v>45077</v>
      </c>
      <c r="D1333" t="s">
        <v>7</v>
      </c>
      <c r="E1333">
        <v>39</v>
      </c>
      <c r="F1333" t="s">
        <v>6</v>
      </c>
      <c r="G1333" s="8">
        <f t="shared" si="138"/>
        <v>97</v>
      </c>
      <c r="H1333">
        <f t="shared" si="139"/>
        <v>5</v>
      </c>
      <c r="I1333" t="str">
        <f t="shared" si="137"/>
        <v>Thursday</v>
      </c>
      <c r="L1333">
        <f t="shared" si="140"/>
        <v>0</v>
      </c>
    </row>
    <row r="1334" spans="1:12" x14ac:dyDescent="0.25">
      <c r="A1334">
        <v>189505981</v>
      </c>
      <c r="B1334" s="1">
        <v>44980</v>
      </c>
      <c r="C1334" s="1">
        <v>45046</v>
      </c>
      <c r="D1334" t="s">
        <v>7</v>
      </c>
      <c r="E1334">
        <v>39</v>
      </c>
      <c r="F1334" t="s">
        <v>6</v>
      </c>
      <c r="G1334" s="8">
        <f t="shared" si="138"/>
        <v>66</v>
      </c>
      <c r="H1334">
        <f t="shared" si="139"/>
        <v>5</v>
      </c>
      <c r="I1334" t="str">
        <f t="shared" si="137"/>
        <v>Thursday</v>
      </c>
      <c r="L1334">
        <f t="shared" si="140"/>
        <v>0</v>
      </c>
    </row>
    <row r="1335" spans="1:12" x14ac:dyDescent="0.25">
      <c r="A1335">
        <v>115899168</v>
      </c>
      <c r="B1335" s="1">
        <v>44980</v>
      </c>
      <c r="C1335" s="1">
        <v>45019</v>
      </c>
      <c r="D1335" t="s">
        <v>7</v>
      </c>
      <c r="E1335">
        <v>39</v>
      </c>
      <c r="F1335" t="s">
        <v>6</v>
      </c>
      <c r="G1335" s="8">
        <f t="shared" si="138"/>
        <v>39</v>
      </c>
      <c r="H1335">
        <f t="shared" si="139"/>
        <v>5</v>
      </c>
      <c r="I1335" t="str">
        <f t="shared" si="137"/>
        <v>Thursday</v>
      </c>
      <c r="L1335">
        <f t="shared" si="140"/>
        <v>0</v>
      </c>
    </row>
    <row r="1336" spans="1:12" x14ac:dyDescent="0.25">
      <c r="A1336">
        <v>200117920</v>
      </c>
      <c r="B1336" s="1">
        <v>44980</v>
      </c>
      <c r="C1336" s="1">
        <v>45007</v>
      </c>
      <c r="D1336" t="s">
        <v>7</v>
      </c>
      <c r="E1336">
        <v>39</v>
      </c>
      <c r="F1336" t="s">
        <v>6</v>
      </c>
      <c r="G1336" s="8">
        <f t="shared" si="138"/>
        <v>27</v>
      </c>
      <c r="H1336">
        <f t="shared" si="139"/>
        <v>5</v>
      </c>
      <c r="I1336" t="str">
        <f t="shared" si="137"/>
        <v>Thursday</v>
      </c>
      <c r="L1336">
        <f t="shared" si="140"/>
        <v>0</v>
      </c>
    </row>
    <row r="1337" spans="1:12" x14ac:dyDescent="0.25">
      <c r="A1337">
        <v>205057455</v>
      </c>
      <c r="B1337" s="1">
        <v>44980</v>
      </c>
      <c r="C1337" s="1">
        <v>45011</v>
      </c>
      <c r="D1337" t="s">
        <v>7</v>
      </c>
      <c r="E1337">
        <v>39</v>
      </c>
      <c r="F1337" t="s">
        <v>6</v>
      </c>
      <c r="G1337" s="8">
        <f t="shared" si="138"/>
        <v>31</v>
      </c>
      <c r="H1337">
        <f t="shared" si="139"/>
        <v>5</v>
      </c>
      <c r="I1337" t="str">
        <f t="shared" si="137"/>
        <v>Thursday</v>
      </c>
      <c r="L1337">
        <f t="shared" si="140"/>
        <v>0</v>
      </c>
    </row>
    <row r="1338" spans="1:12" x14ac:dyDescent="0.25">
      <c r="A1338">
        <v>205028691</v>
      </c>
      <c r="B1338" s="1">
        <v>44980</v>
      </c>
      <c r="C1338" s="1">
        <v>44995</v>
      </c>
      <c r="D1338" t="s">
        <v>7</v>
      </c>
      <c r="E1338">
        <v>39</v>
      </c>
      <c r="F1338" t="s">
        <v>6</v>
      </c>
      <c r="G1338" s="8">
        <f t="shared" si="138"/>
        <v>15</v>
      </c>
      <c r="H1338">
        <f t="shared" si="139"/>
        <v>5</v>
      </c>
      <c r="I1338" t="str">
        <f t="shared" si="137"/>
        <v>Thursday</v>
      </c>
      <c r="L1338">
        <f t="shared" si="140"/>
        <v>0</v>
      </c>
    </row>
    <row r="1339" spans="1:12" x14ac:dyDescent="0.25">
      <c r="A1339">
        <v>204857146</v>
      </c>
      <c r="B1339" s="1">
        <v>44980</v>
      </c>
      <c r="C1339" s="1">
        <v>44995</v>
      </c>
      <c r="D1339" t="s">
        <v>7</v>
      </c>
      <c r="E1339">
        <v>39</v>
      </c>
      <c r="F1339" t="s">
        <v>6</v>
      </c>
      <c r="G1339" s="8">
        <f t="shared" si="138"/>
        <v>15</v>
      </c>
      <c r="H1339">
        <f t="shared" si="139"/>
        <v>5</v>
      </c>
      <c r="I1339" t="str">
        <f t="shared" si="137"/>
        <v>Thursday</v>
      </c>
      <c r="L1339">
        <f t="shared" si="140"/>
        <v>0</v>
      </c>
    </row>
    <row r="1340" spans="1:12" x14ac:dyDescent="0.25">
      <c r="A1340">
        <v>134131772</v>
      </c>
      <c r="B1340" s="1">
        <v>44981</v>
      </c>
      <c r="C1340" s="1">
        <v>45093</v>
      </c>
      <c r="D1340" t="s">
        <v>7</v>
      </c>
      <c r="E1340">
        <v>39</v>
      </c>
      <c r="F1340" t="s">
        <v>6</v>
      </c>
      <c r="G1340" s="8">
        <f t="shared" si="138"/>
        <v>112</v>
      </c>
      <c r="H1340">
        <f t="shared" si="139"/>
        <v>6</v>
      </c>
      <c r="I1340" t="str">
        <f t="shared" si="137"/>
        <v>Friday</v>
      </c>
      <c r="L1340">
        <f t="shared" si="140"/>
        <v>0</v>
      </c>
    </row>
    <row r="1341" spans="1:12" x14ac:dyDescent="0.25">
      <c r="A1341">
        <v>148942254</v>
      </c>
      <c r="B1341" s="1">
        <v>44981</v>
      </c>
      <c r="C1341" s="1">
        <v>45088</v>
      </c>
      <c r="D1341" t="s">
        <v>7</v>
      </c>
      <c r="E1341">
        <v>39</v>
      </c>
      <c r="F1341" t="s">
        <v>6</v>
      </c>
      <c r="G1341" s="8">
        <f t="shared" si="138"/>
        <v>107</v>
      </c>
      <c r="H1341">
        <f t="shared" si="139"/>
        <v>6</v>
      </c>
      <c r="I1341" t="str">
        <f t="shared" si="137"/>
        <v>Friday</v>
      </c>
      <c r="L1341">
        <f t="shared" si="140"/>
        <v>0</v>
      </c>
    </row>
    <row r="1342" spans="1:12" x14ac:dyDescent="0.25">
      <c r="A1342">
        <v>204512235</v>
      </c>
      <c r="B1342" s="1">
        <v>44981</v>
      </c>
      <c r="C1342" s="1">
        <v>45093</v>
      </c>
      <c r="D1342" t="s">
        <v>7</v>
      </c>
      <c r="E1342">
        <v>39</v>
      </c>
      <c r="F1342" t="s">
        <v>6</v>
      </c>
      <c r="G1342" s="8">
        <f t="shared" si="138"/>
        <v>112</v>
      </c>
      <c r="H1342">
        <f t="shared" si="139"/>
        <v>6</v>
      </c>
      <c r="I1342" t="str">
        <f t="shared" si="137"/>
        <v>Friday</v>
      </c>
      <c r="L1342">
        <f t="shared" si="140"/>
        <v>0</v>
      </c>
    </row>
    <row r="1343" spans="1:12" x14ac:dyDescent="0.25">
      <c r="A1343">
        <v>204977028</v>
      </c>
      <c r="B1343" s="1">
        <v>44981</v>
      </c>
      <c r="C1343" s="1">
        <v>45047</v>
      </c>
      <c r="D1343" t="s">
        <v>7</v>
      </c>
      <c r="E1343">
        <v>39</v>
      </c>
      <c r="F1343" t="s">
        <v>6</v>
      </c>
      <c r="G1343" s="8">
        <f t="shared" si="138"/>
        <v>66</v>
      </c>
      <c r="H1343">
        <f t="shared" si="139"/>
        <v>6</v>
      </c>
      <c r="I1343" t="str">
        <f t="shared" si="137"/>
        <v>Friday</v>
      </c>
      <c r="L1343">
        <f t="shared" si="140"/>
        <v>0</v>
      </c>
    </row>
    <row r="1344" spans="1:12" x14ac:dyDescent="0.25">
      <c r="A1344">
        <v>205122220</v>
      </c>
      <c r="B1344" s="1">
        <v>44981</v>
      </c>
      <c r="C1344" s="1">
        <v>45029</v>
      </c>
      <c r="D1344" t="s">
        <v>7</v>
      </c>
      <c r="E1344">
        <v>39</v>
      </c>
      <c r="F1344" t="s">
        <v>6</v>
      </c>
      <c r="G1344" s="8">
        <f t="shared" si="138"/>
        <v>48</v>
      </c>
      <c r="H1344">
        <f t="shared" si="139"/>
        <v>6</v>
      </c>
      <c r="I1344" t="str">
        <f t="shared" si="137"/>
        <v>Friday</v>
      </c>
      <c r="L1344">
        <f t="shared" si="140"/>
        <v>0</v>
      </c>
    </row>
    <row r="1345" spans="1:12" x14ac:dyDescent="0.25">
      <c r="A1345">
        <v>179578904</v>
      </c>
      <c r="B1345" s="1">
        <v>44981</v>
      </c>
      <c r="C1345" s="1">
        <v>45034</v>
      </c>
      <c r="D1345" t="s">
        <v>7</v>
      </c>
      <c r="E1345">
        <v>39</v>
      </c>
      <c r="F1345" t="s">
        <v>6</v>
      </c>
      <c r="G1345" s="8">
        <f t="shared" si="138"/>
        <v>53</v>
      </c>
      <c r="H1345">
        <f t="shared" si="139"/>
        <v>6</v>
      </c>
      <c r="I1345" t="str">
        <f t="shared" si="137"/>
        <v>Friday</v>
      </c>
      <c r="L1345">
        <f t="shared" si="140"/>
        <v>0</v>
      </c>
    </row>
    <row r="1346" spans="1:12" x14ac:dyDescent="0.25">
      <c r="A1346">
        <v>205120086</v>
      </c>
      <c r="B1346" s="1">
        <v>44981</v>
      </c>
      <c r="C1346" s="1">
        <v>45020</v>
      </c>
      <c r="D1346" t="s">
        <v>7</v>
      </c>
      <c r="E1346">
        <v>39</v>
      </c>
      <c r="F1346" t="s">
        <v>6</v>
      </c>
      <c r="G1346" s="8">
        <f t="shared" si="138"/>
        <v>39</v>
      </c>
      <c r="H1346">
        <f t="shared" si="139"/>
        <v>6</v>
      </c>
      <c r="I1346" t="str">
        <f t="shared" ref="I1346:I1409" si="145">TEXT(B1346,"DDDD")</f>
        <v>Friday</v>
      </c>
      <c r="L1346">
        <f t="shared" si="140"/>
        <v>0</v>
      </c>
    </row>
    <row r="1347" spans="1:12" x14ac:dyDescent="0.25">
      <c r="A1347">
        <v>158097854</v>
      </c>
      <c r="B1347" s="1">
        <v>44981</v>
      </c>
      <c r="C1347" s="1">
        <v>45015</v>
      </c>
      <c r="D1347" t="s">
        <v>7</v>
      </c>
      <c r="E1347">
        <v>39</v>
      </c>
      <c r="F1347" t="s">
        <v>6</v>
      </c>
      <c r="G1347" s="8">
        <f t="shared" ref="G1347:G1410" si="146">IFERROR(DATEDIF(B1347,C1347,"D"),"0")</f>
        <v>34</v>
      </c>
      <c r="H1347">
        <f t="shared" ref="H1347:H1410" si="147">WEEKDAY(B1347,1)</f>
        <v>6</v>
      </c>
      <c r="I1347" t="str">
        <f t="shared" si="145"/>
        <v>Friday</v>
      </c>
      <c r="L1347">
        <f t="shared" ref="L1347:L1410" si="148">IF( OR($G1347=0,$G1347 = 1, $G1347 = 2), 1, 0 )</f>
        <v>0</v>
      </c>
    </row>
    <row r="1348" spans="1:12" x14ac:dyDescent="0.25">
      <c r="A1348">
        <v>204760569</v>
      </c>
      <c r="B1348" s="1">
        <v>44981</v>
      </c>
      <c r="C1348" s="1">
        <v>45000</v>
      </c>
      <c r="D1348" t="s">
        <v>7</v>
      </c>
      <c r="E1348">
        <v>39</v>
      </c>
      <c r="F1348" t="s">
        <v>6</v>
      </c>
      <c r="G1348" s="8">
        <f t="shared" si="146"/>
        <v>19</v>
      </c>
      <c r="H1348">
        <f t="shared" si="147"/>
        <v>6</v>
      </c>
      <c r="I1348" t="str">
        <f t="shared" si="145"/>
        <v>Friday</v>
      </c>
      <c r="L1348">
        <f t="shared" si="148"/>
        <v>0</v>
      </c>
    </row>
    <row r="1349" spans="1:12" x14ac:dyDescent="0.25">
      <c r="A1349">
        <v>204982432</v>
      </c>
      <c r="B1349" s="1">
        <v>44981</v>
      </c>
      <c r="C1349" s="1">
        <v>45016</v>
      </c>
      <c r="D1349" t="s">
        <v>7</v>
      </c>
      <c r="E1349">
        <v>39</v>
      </c>
      <c r="F1349" t="s">
        <v>6</v>
      </c>
      <c r="G1349" s="8">
        <f t="shared" si="146"/>
        <v>35</v>
      </c>
      <c r="H1349">
        <f t="shared" si="147"/>
        <v>6</v>
      </c>
      <c r="I1349" t="str">
        <f t="shared" si="145"/>
        <v>Friday</v>
      </c>
      <c r="L1349">
        <f t="shared" si="148"/>
        <v>0</v>
      </c>
    </row>
    <row r="1350" spans="1:12" x14ac:dyDescent="0.25">
      <c r="A1350">
        <v>158351648</v>
      </c>
      <c r="B1350" s="1">
        <v>44981</v>
      </c>
      <c r="C1350" s="1">
        <v>45170</v>
      </c>
      <c r="D1350" t="s">
        <v>7</v>
      </c>
      <c r="E1350">
        <v>39</v>
      </c>
      <c r="F1350" t="s">
        <v>6</v>
      </c>
      <c r="G1350" s="8">
        <f t="shared" si="146"/>
        <v>189</v>
      </c>
      <c r="H1350">
        <f t="shared" si="147"/>
        <v>6</v>
      </c>
      <c r="I1350" t="str">
        <f t="shared" si="145"/>
        <v>Friday</v>
      </c>
      <c r="L1350">
        <f t="shared" si="148"/>
        <v>0</v>
      </c>
    </row>
    <row r="1351" spans="1:12" x14ac:dyDescent="0.25">
      <c r="A1351">
        <v>195325206</v>
      </c>
      <c r="B1351" s="1">
        <v>44982</v>
      </c>
      <c r="C1351" s="1">
        <f t="shared" ref="C1351:C1352" ca="1" si="149">TODAY()</f>
        <v>45938</v>
      </c>
      <c r="D1351" t="s">
        <v>7</v>
      </c>
      <c r="E1351">
        <v>39</v>
      </c>
      <c r="F1351" t="s">
        <v>6</v>
      </c>
      <c r="G1351" s="8">
        <f t="shared" ca="1" si="146"/>
        <v>956</v>
      </c>
      <c r="H1351">
        <f t="shared" si="147"/>
        <v>7</v>
      </c>
      <c r="I1351" t="str">
        <f t="shared" si="145"/>
        <v>Saturday</v>
      </c>
      <c r="L1351">
        <f t="shared" ca="1" si="148"/>
        <v>0</v>
      </c>
    </row>
    <row r="1352" spans="1:12" x14ac:dyDescent="0.25">
      <c r="A1352">
        <v>205102955</v>
      </c>
      <c r="B1352" s="1">
        <v>44982</v>
      </c>
      <c r="C1352" s="1">
        <f t="shared" ca="1" si="149"/>
        <v>45938</v>
      </c>
      <c r="D1352" t="s">
        <v>7</v>
      </c>
      <c r="E1352">
        <v>39</v>
      </c>
      <c r="F1352" t="s">
        <v>6</v>
      </c>
      <c r="G1352" s="8">
        <f t="shared" ca="1" si="146"/>
        <v>956</v>
      </c>
      <c r="H1352">
        <f t="shared" si="147"/>
        <v>7</v>
      </c>
      <c r="I1352" t="str">
        <f t="shared" si="145"/>
        <v>Saturday</v>
      </c>
      <c r="L1352">
        <f t="shared" ca="1" si="148"/>
        <v>0</v>
      </c>
    </row>
    <row r="1353" spans="1:12" x14ac:dyDescent="0.25">
      <c r="A1353">
        <v>188092110</v>
      </c>
      <c r="B1353" s="1">
        <v>44982</v>
      </c>
      <c r="C1353" s="1">
        <v>45025</v>
      </c>
      <c r="D1353" t="s">
        <v>7</v>
      </c>
      <c r="E1353">
        <v>39</v>
      </c>
      <c r="F1353" t="s">
        <v>6</v>
      </c>
      <c r="G1353" s="8">
        <f t="shared" si="146"/>
        <v>43</v>
      </c>
      <c r="H1353">
        <f t="shared" si="147"/>
        <v>7</v>
      </c>
      <c r="I1353" t="str">
        <f t="shared" si="145"/>
        <v>Saturday</v>
      </c>
      <c r="L1353">
        <f t="shared" si="148"/>
        <v>0</v>
      </c>
    </row>
    <row r="1354" spans="1:12" x14ac:dyDescent="0.25">
      <c r="A1354">
        <v>147615998</v>
      </c>
      <c r="B1354" s="1">
        <v>44982</v>
      </c>
      <c r="C1354" s="1">
        <v>45032</v>
      </c>
      <c r="D1354" t="s">
        <v>7</v>
      </c>
      <c r="E1354">
        <v>39</v>
      </c>
      <c r="F1354" t="s">
        <v>6</v>
      </c>
      <c r="G1354" s="8">
        <f t="shared" si="146"/>
        <v>50</v>
      </c>
      <c r="H1354">
        <f t="shared" si="147"/>
        <v>7</v>
      </c>
      <c r="I1354" t="str">
        <f t="shared" si="145"/>
        <v>Saturday</v>
      </c>
      <c r="L1354">
        <f t="shared" si="148"/>
        <v>0</v>
      </c>
    </row>
    <row r="1355" spans="1:12" x14ac:dyDescent="0.25">
      <c r="A1355">
        <v>164751472</v>
      </c>
      <c r="B1355" s="1">
        <v>44982</v>
      </c>
      <c r="C1355" s="1">
        <v>45032</v>
      </c>
      <c r="D1355" t="s">
        <v>7</v>
      </c>
      <c r="E1355">
        <v>39</v>
      </c>
      <c r="F1355" t="s">
        <v>6</v>
      </c>
      <c r="G1355" s="8">
        <f t="shared" si="146"/>
        <v>50</v>
      </c>
      <c r="H1355">
        <f t="shared" si="147"/>
        <v>7</v>
      </c>
      <c r="I1355" t="str">
        <f t="shared" si="145"/>
        <v>Saturday</v>
      </c>
      <c r="L1355">
        <f t="shared" si="148"/>
        <v>0</v>
      </c>
    </row>
    <row r="1356" spans="1:12" x14ac:dyDescent="0.25">
      <c r="A1356">
        <v>205215538</v>
      </c>
      <c r="B1356" s="1">
        <v>44982</v>
      </c>
      <c r="C1356" s="1">
        <v>44987</v>
      </c>
      <c r="D1356" t="s">
        <v>7</v>
      </c>
      <c r="E1356">
        <v>39</v>
      </c>
      <c r="F1356" t="s">
        <v>6</v>
      </c>
      <c r="G1356" s="8">
        <f t="shared" si="146"/>
        <v>5</v>
      </c>
      <c r="H1356">
        <f t="shared" si="147"/>
        <v>7</v>
      </c>
      <c r="I1356" t="str">
        <f t="shared" si="145"/>
        <v>Saturday</v>
      </c>
      <c r="L1356">
        <f t="shared" si="148"/>
        <v>0</v>
      </c>
    </row>
    <row r="1357" spans="1:12" x14ac:dyDescent="0.25">
      <c r="A1357">
        <v>162962849</v>
      </c>
      <c r="B1357" s="1">
        <v>44983</v>
      </c>
      <c r="C1357" s="1">
        <v>45051</v>
      </c>
      <c r="D1357" t="s">
        <v>7</v>
      </c>
      <c r="E1357">
        <v>39</v>
      </c>
      <c r="F1357" t="s">
        <v>6</v>
      </c>
      <c r="G1357" s="8">
        <f t="shared" si="146"/>
        <v>68</v>
      </c>
      <c r="H1357">
        <f t="shared" si="147"/>
        <v>1</v>
      </c>
      <c r="I1357" t="str">
        <f t="shared" si="145"/>
        <v>Sunday</v>
      </c>
      <c r="L1357">
        <f t="shared" si="148"/>
        <v>0</v>
      </c>
    </row>
    <row r="1358" spans="1:12" x14ac:dyDescent="0.25">
      <c r="A1358">
        <v>154229833</v>
      </c>
      <c r="B1358" s="1">
        <v>44983</v>
      </c>
      <c r="C1358" s="1">
        <v>44999</v>
      </c>
      <c r="D1358" t="s">
        <v>7</v>
      </c>
      <c r="E1358">
        <v>39</v>
      </c>
      <c r="F1358" t="s">
        <v>6</v>
      </c>
      <c r="G1358" s="8">
        <f t="shared" si="146"/>
        <v>16</v>
      </c>
      <c r="H1358">
        <f t="shared" si="147"/>
        <v>1</v>
      </c>
      <c r="I1358" t="str">
        <f t="shared" si="145"/>
        <v>Sunday</v>
      </c>
      <c r="L1358">
        <f t="shared" si="148"/>
        <v>0</v>
      </c>
    </row>
    <row r="1359" spans="1:12" x14ac:dyDescent="0.25">
      <c r="A1359">
        <v>205338718</v>
      </c>
      <c r="B1359" s="1">
        <v>44983</v>
      </c>
      <c r="C1359" s="1">
        <v>45012</v>
      </c>
      <c r="D1359" t="s">
        <v>7</v>
      </c>
      <c r="E1359">
        <v>39</v>
      </c>
      <c r="F1359" t="s">
        <v>6</v>
      </c>
      <c r="G1359" s="8">
        <f t="shared" si="146"/>
        <v>29</v>
      </c>
      <c r="H1359">
        <f t="shared" si="147"/>
        <v>1</v>
      </c>
      <c r="I1359" t="str">
        <f t="shared" si="145"/>
        <v>Sunday</v>
      </c>
      <c r="L1359">
        <f t="shared" si="148"/>
        <v>0</v>
      </c>
    </row>
    <row r="1360" spans="1:12" x14ac:dyDescent="0.25">
      <c r="A1360">
        <v>180798046</v>
      </c>
      <c r="B1360" s="1">
        <v>44984</v>
      </c>
      <c r="C1360" s="1">
        <f t="shared" ref="C1360" ca="1" si="150">TODAY()</f>
        <v>45938</v>
      </c>
      <c r="D1360" t="s">
        <v>7</v>
      </c>
      <c r="E1360">
        <v>39</v>
      </c>
      <c r="F1360" t="s">
        <v>6</v>
      </c>
      <c r="G1360" s="8">
        <f t="shared" ca="1" si="146"/>
        <v>954</v>
      </c>
      <c r="H1360">
        <f t="shared" si="147"/>
        <v>2</v>
      </c>
      <c r="I1360" t="str">
        <f t="shared" si="145"/>
        <v>Monday</v>
      </c>
      <c r="L1360">
        <f t="shared" ca="1" si="148"/>
        <v>0</v>
      </c>
    </row>
    <row r="1361" spans="1:12" x14ac:dyDescent="0.25">
      <c r="A1361">
        <v>135298992</v>
      </c>
      <c r="B1361" s="1">
        <v>44984</v>
      </c>
      <c r="C1361" s="1">
        <v>45004</v>
      </c>
      <c r="D1361" t="s">
        <v>7</v>
      </c>
      <c r="E1361">
        <v>39</v>
      </c>
      <c r="F1361" t="s">
        <v>6</v>
      </c>
      <c r="G1361" s="8">
        <f t="shared" si="146"/>
        <v>20</v>
      </c>
      <c r="H1361">
        <f t="shared" si="147"/>
        <v>2</v>
      </c>
      <c r="I1361" t="str">
        <f t="shared" si="145"/>
        <v>Monday</v>
      </c>
      <c r="L1361">
        <f t="shared" si="148"/>
        <v>0</v>
      </c>
    </row>
    <row r="1362" spans="1:12" x14ac:dyDescent="0.25">
      <c r="A1362">
        <v>153141802</v>
      </c>
      <c r="B1362" s="1">
        <v>44984</v>
      </c>
      <c r="C1362" s="1">
        <v>45080</v>
      </c>
      <c r="D1362" t="s">
        <v>7</v>
      </c>
      <c r="E1362">
        <v>39</v>
      </c>
      <c r="F1362" t="s">
        <v>6</v>
      </c>
      <c r="G1362" s="8">
        <f t="shared" si="146"/>
        <v>96</v>
      </c>
      <c r="H1362">
        <f t="shared" si="147"/>
        <v>2</v>
      </c>
      <c r="I1362" t="str">
        <f t="shared" si="145"/>
        <v>Monday</v>
      </c>
      <c r="L1362">
        <f t="shared" si="148"/>
        <v>0</v>
      </c>
    </row>
    <row r="1363" spans="1:12" x14ac:dyDescent="0.25">
      <c r="A1363">
        <v>189149014</v>
      </c>
      <c r="B1363" s="1">
        <v>44984</v>
      </c>
      <c r="C1363" s="1">
        <v>45097</v>
      </c>
      <c r="D1363" t="s">
        <v>7</v>
      </c>
      <c r="E1363">
        <v>39</v>
      </c>
      <c r="F1363" t="s">
        <v>6</v>
      </c>
      <c r="G1363" s="8">
        <f t="shared" si="146"/>
        <v>113</v>
      </c>
      <c r="H1363">
        <f t="shared" si="147"/>
        <v>2</v>
      </c>
      <c r="I1363" t="str">
        <f t="shared" si="145"/>
        <v>Monday</v>
      </c>
      <c r="L1363">
        <f t="shared" si="148"/>
        <v>0</v>
      </c>
    </row>
    <row r="1364" spans="1:12" x14ac:dyDescent="0.25">
      <c r="A1364">
        <v>180438277</v>
      </c>
      <c r="B1364" s="1">
        <v>44984</v>
      </c>
      <c r="C1364" s="1">
        <v>45065</v>
      </c>
      <c r="D1364" t="s">
        <v>7</v>
      </c>
      <c r="E1364">
        <v>39</v>
      </c>
      <c r="F1364" t="s">
        <v>6</v>
      </c>
      <c r="G1364" s="8">
        <f t="shared" si="146"/>
        <v>81</v>
      </c>
      <c r="H1364">
        <f t="shared" si="147"/>
        <v>2</v>
      </c>
      <c r="I1364" t="str">
        <f t="shared" si="145"/>
        <v>Monday</v>
      </c>
      <c r="L1364">
        <f t="shared" si="148"/>
        <v>0</v>
      </c>
    </row>
    <row r="1365" spans="1:12" x14ac:dyDescent="0.25">
      <c r="A1365">
        <v>205471532</v>
      </c>
      <c r="B1365" s="1">
        <v>44984</v>
      </c>
      <c r="C1365" s="1">
        <v>45043</v>
      </c>
      <c r="D1365" t="s">
        <v>7</v>
      </c>
      <c r="E1365">
        <v>39</v>
      </c>
      <c r="F1365" t="s">
        <v>6</v>
      </c>
      <c r="G1365" s="8">
        <f t="shared" si="146"/>
        <v>59</v>
      </c>
      <c r="H1365">
        <f t="shared" si="147"/>
        <v>2</v>
      </c>
      <c r="I1365" t="str">
        <f t="shared" si="145"/>
        <v>Monday</v>
      </c>
      <c r="L1365">
        <f t="shared" si="148"/>
        <v>0</v>
      </c>
    </row>
    <row r="1366" spans="1:12" x14ac:dyDescent="0.25">
      <c r="A1366">
        <v>188065488</v>
      </c>
      <c r="B1366" s="1">
        <v>44984</v>
      </c>
      <c r="C1366" s="1">
        <v>45041</v>
      </c>
      <c r="D1366" t="s">
        <v>7</v>
      </c>
      <c r="E1366">
        <v>39</v>
      </c>
      <c r="F1366" t="s">
        <v>6</v>
      </c>
      <c r="G1366" s="8">
        <f t="shared" si="146"/>
        <v>57</v>
      </c>
      <c r="H1366">
        <f t="shared" si="147"/>
        <v>2</v>
      </c>
      <c r="I1366" t="str">
        <f t="shared" si="145"/>
        <v>Monday</v>
      </c>
      <c r="L1366">
        <f t="shared" si="148"/>
        <v>0</v>
      </c>
    </row>
    <row r="1367" spans="1:12" x14ac:dyDescent="0.25">
      <c r="A1367">
        <v>205387672</v>
      </c>
      <c r="B1367" s="1">
        <v>44984</v>
      </c>
      <c r="C1367" s="1">
        <v>45025</v>
      </c>
      <c r="D1367" t="s">
        <v>7</v>
      </c>
      <c r="E1367">
        <v>39</v>
      </c>
      <c r="F1367" t="s">
        <v>6</v>
      </c>
      <c r="G1367" s="8">
        <f t="shared" si="146"/>
        <v>41</v>
      </c>
      <c r="H1367">
        <f t="shared" si="147"/>
        <v>2</v>
      </c>
      <c r="I1367" t="str">
        <f t="shared" si="145"/>
        <v>Monday</v>
      </c>
      <c r="L1367">
        <f t="shared" si="148"/>
        <v>0</v>
      </c>
    </row>
    <row r="1368" spans="1:12" x14ac:dyDescent="0.25">
      <c r="A1368">
        <v>196251908</v>
      </c>
      <c r="B1368" s="1">
        <v>44984</v>
      </c>
      <c r="C1368" s="1">
        <v>44984</v>
      </c>
      <c r="D1368" t="s">
        <v>7</v>
      </c>
      <c r="E1368">
        <v>39</v>
      </c>
      <c r="F1368" t="s">
        <v>6</v>
      </c>
      <c r="G1368" s="8">
        <f t="shared" si="146"/>
        <v>0</v>
      </c>
      <c r="H1368">
        <f t="shared" si="147"/>
        <v>2</v>
      </c>
      <c r="I1368" t="str">
        <f t="shared" si="145"/>
        <v>Monday</v>
      </c>
      <c r="L1368">
        <f t="shared" si="148"/>
        <v>1</v>
      </c>
    </row>
    <row r="1369" spans="1:12" x14ac:dyDescent="0.25">
      <c r="A1369">
        <v>157884031</v>
      </c>
      <c r="B1369" s="1">
        <v>44984</v>
      </c>
      <c r="C1369" s="1">
        <v>45015</v>
      </c>
      <c r="D1369" t="s">
        <v>7</v>
      </c>
      <c r="E1369">
        <v>39</v>
      </c>
      <c r="F1369" t="s">
        <v>6</v>
      </c>
      <c r="G1369" s="8">
        <f t="shared" si="146"/>
        <v>31</v>
      </c>
      <c r="H1369">
        <f t="shared" si="147"/>
        <v>2</v>
      </c>
      <c r="I1369" t="str">
        <f t="shared" si="145"/>
        <v>Monday</v>
      </c>
      <c r="L1369">
        <f t="shared" si="148"/>
        <v>0</v>
      </c>
    </row>
    <row r="1370" spans="1:12" x14ac:dyDescent="0.25">
      <c r="A1370">
        <v>204571386</v>
      </c>
      <c r="B1370" s="1">
        <v>44984</v>
      </c>
      <c r="C1370" s="1">
        <v>45008</v>
      </c>
      <c r="D1370" t="s">
        <v>7</v>
      </c>
      <c r="E1370">
        <v>39</v>
      </c>
      <c r="F1370" t="s">
        <v>6</v>
      </c>
      <c r="G1370" s="8">
        <f t="shared" si="146"/>
        <v>24</v>
      </c>
      <c r="H1370">
        <f t="shared" si="147"/>
        <v>2</v>
      </c>
      <c r="I1370" t="str">
        <f t="shared" si="145"/>
        <v>Monday</v>
      </c>
      <c r="L1370">
        <f t="shared" si="148"/>
        <v>0</v>
      </c>
    </row>
    <row r="1371" spans="1:12" x14ac:dyDescent="0.25">
      <c r="A1371">
        <v>162909529</v>
      </c>
      <c r="B1371" s="1">
        <v>44984</v>
      </c>
      <c r="C1371" s="1">
        <v>45139</v>
      </c>
      <c r="D1371" t="s">
        <v>7</v>
      </c>
      <c r="E1371">
        <v>39</v>
      </c>
      <c r="F1371" t="s">
        <v>6</v>
      </c>
      <c r="G1371" s="8">
        <f t="shared" si="146"/>
        <v>155</v>
      </c>
      <c r="H1371">
        <f t="shared" si="147"/>
        <v>2</v>
      </c>
      <c r="I1371" t="str">
        <f t="shared" si="145"/>
        <v>Monday</v>
      </c>
      <c r="L1371">
        <f t="shared" si="148"/>
        <v>0</v>
      </c>
    </row>
    <row r="1372" spans="1:12" x14ac:dyDescent="0.25">
      <c r="A1372">
        <v>152043244</v>
      </c>
      <c r="B1372" s="1">
        <v>44985</v>
      </c>
      <c r="C1372" s="1">
        <f t="shared" ref="C1372:C1375" ca="1" si="151">TODAY()</f>
        <v>45938</v>
      </c>
      <c r="D1372" t="s">
        <v>7</v>
      </c>
      <c r="E1372">
        <v>39</v>
      </c>
      <c r="F1372" t="s">
        <v>6</v>
      </c>
      <c r="G1372" s="8">
        <f t="shared" ca="1" si="146"/>
        <v>953</v>
      </c>
      <c r="H1372">
        <f t="shared" si="147"/>
        <v>3</v>
      </c>
      <c r="I1372" t="str">
        <f t="shared" si="145"/>
        <v>Tuesday</v>
      </c>
      <c r="L1372">
        <f t="shared" ca="1" si="148"/>
        <v>0</v>
      </c>
    </row>
    <row r="1373" spans="1:12" x14ac:dyDescent="0.25">
      <c r="A1373">
        <v>204567111</v>
      </c>
      <c r="B1373" s="1">
        <v>44985</v>
      </c>
      <c r="C1373" s="1">
        <f t="shared" ca="1" si="151"/>
        <v>45938</v>
      </c>
      <c r="D1373" t="s">
        <v>7</v>
      </c>
      <c r="E1373">
        <v>39</v>
      </c>
      <c r="F1373" t="s">
        <v>6</v>
      </c>
      <c r="G1373" s="8">
        <f t="shared" ca="1" si="146"/>
        <v>953</v>
      </c>
      <c r="H1373">
        <f t="shared" si="147"/>
        <v>3</v>
      </c>
      <c r="I1373" t="str">
        <f t="shared" si="145"/>
        <v>Tuesday</v>
      </c>
      <c r="L1373">
        <f t="shared" ca="1" si="148"/>
        <v>0</v>
      </c>
    </row>
    <row r="1374" spans="1:12" x14ac:dyDescent="0.25">
      <c r="A1374">
        <v>205487880</v>
      </c>
      <c r="B1374" s="1">
        <v>44985</v>
      </c>
      <c r="C1374" s="1">
        <f t="shared" ca="1" si="151"/>
        <v>45938</v>
      </c>
      <c r="D1374" t="s">
        <v>7</v>
      </c>
      <c r="E1374">
        <v>39</v>
      </c>
      <c r="F1374" t="s">
        <v>6</v>
      </c>
      <c r="G1374" s="8">
        <f t="shared" ca="1" si="146"/>
        <v>953</v>
      </c>
      <c r="H1374">
        <f t="shared" si="147"/>
        <v>3</v>
      </c>
      <c r="I1374" t="str">
        <f t="shared" si="145"/>
        <v>Tuesday</v>
      </c>
      <c r="L1374">
        <f t="shared" ca="1" si="148"/>
        <v>0</v>
      </c>
    </row>
    <row r="1375" spans="1:12" x14ac:dyDescent="0.25">
      <c r="A1375">
        <v>205489808</v>
      </c>
      <c r="B1375" s="1">
        <v>44985</v>
      </c>
      <c r="C1375" s="1">
        <f t="shared" ca="1" si="151"/>
        <v>45938</v>
      </c>
      <c r="D1375" t="s">
        <v>7</v>
      </c>
      <c r="E1375">
        <v>39</v>
      </c>
      <c r="F1375" t="s">
        <v>6</v>
      </c>
      <c r="G1375" s="8">
        <f t="shared" ca="1" si="146"/>
        <v>953</v>
      </c>
      <c r="H1375">
        <f t="shared" si="147"/>
        <v>3</v>
      </c>
      <c r="I1375" t="str">
        <f t="shared" si="145"/>
        <v>Tuesday</v>
      </c>
      <c r="L1375">
        <f t="shared" ca="1" si="148"/>
        <v>0</v>
      </c>
    </row>
    <row r="1376" spans="1:12" x14ac:dyDescent="0.25">
      <c r="A1376">
        <v>125828506</v>
      </c>
      <c r="B1376" s="1">
        <v>44985</v>
      </c>
      <c r="C1376" s="1">
        <v>44986</v>
      </c>
      <c r="D1376" t="s">
        <v>7</v>
      </c>
      <c r="E1376">
        <v>39</v>
      </c>
      <c r="F1376" t="s">
        <v>6</v>
      </c>
      <c r="G1376" s="8">
        <f t="shared" si="146"/>
        <v>1</v>
      </c>
      <c r="H1376">
        <f t="shared" si="147"/>
        <v>3</v>
      </c>
      <c r="I1376" t="str">
        <f t="shared" si="145"/>
        <v>Tuesday</v>
      </c>
      <c r="L1376">
        <f t="shared" si="148"/>
        <v>1</v>
      </c>
    </row>
    <row r="1377" spans="1:12" x14ac:dyDescent="0.25">
      <c r="A1377">
        <v>154701159</v>
      </c>
      <c r="B1377" s="1">
        <v>44985</v>
      </c>
      <c r="C1377" s="1">
        <v>45012</v>
      </c>
      <c r="D1377" t="s">
        <v>7</v>
      </c>
      <c r="E1377">
        <v>39</v>
      </c>
      <c r="F1377" t="s">
        <v>6</v>
      </c>
      <c r="G1377" s="8">
        <f t="shared" si="146"/>
        <v>27</v>
      </c>
      <c r="H1377">
        <f t="shared" si="147"/>
        <v>3</v>
      </c>
      <c r="I1377" t="str">
        <f t="shared" si="145"/>
        <v>Tuesday</v>
      </c>
      <c r="L1377">
        <f t="shared" si="148"/>
        <v>0</v>
      </c>
    </row>
    <row r="1378" spans="1:12" x14ac:dyDescent="0.25">
      <c r="A1378">
        <v>204865394</v>
      </c>
      <c r="B1378" s="1">
        <v>44985</v>
      </c>
      <c r="C1378" s="1">
        <v>45020</v>
      </c>
      <c r="D1378" t="s">
        <v>7</v>
      </c>
      <c r="E1378">
        <v>39</v>
      </c>
      <c r="F1378" t="s">
        <v>6</v>
      </c>
      <c r="G1378" s="8">
        <f t="shared" si="146"/>
        <v>35</v>
      </c>
      <c r="H1378">
        <f t="shared" si="147"/>
        <v>3</v>
      </c>
      <c r="I1378" t="str">
        <f t="shared" si="145"/>
        <v>Tuesday</v>
      </c>
      <c r="L1378">
        <f t="shared" si="148"/>
        <v>0</v>
      </c>
    </row>
    <row r="1379" spans="1:12" x14ac:dyDescent="0.25">
      <c r="A1379">
        <v>205044276</v>
      </c>
      <c r="B1379" s="1">
        <v>44985</v>
      </c>
      <c r="C1379" s="1">
        <v>45043</v>
      </c>
      <c r="D1379" t="s">
        <v>7</v>
      </c>
      <c r="E1379">
        <v>39</v>
      </c>
      <c r="F1379" t="s">
        <v>6</v>
      </c>
      <c r="G1379" s="8">
        <f t="shared" si="146"/>
        <v>58</v>
      </c>
      <c r="H1379">
        <f t="shared" si="147"/>
        <v>3</v>
      </c>
      <c r="I1379" t="str">
        <f t="shared" si="145"/>
        <v>Tuesday</v>
      </c>
      <c r="L1379">
        <f t="shared" si="148"/>
        <v>0</v>
      </c>
    </row>
    <row r="1380" spans="1:12" x14ac:dyDescent="0.25">
      <c r="A1380">
        <v>194873337</v>
      </c>
      <c r="B1380" s="1">
        <v>44985</v>
      </c>
      <c r="C1380" s="1">
        <v>45034</v>
      </c>
      <c r="D1380" t="s">
        <v>7</v>
      </c>
      <c r="E1380">
        <v>39</v>
      </c>
      <c r="F1380" t="s">
        <v>6</v>
      </c>
      <c r="G1380" s="8">
        <f t="shared" si="146"/>
        <v>49</v>
      </c>
      <c r="H1380">
        <f t="shared" si="147"/>
        <v>3</v>
      </c>
      <c r="I1380" t="str">
        <f t="shared" si="145"/>
        <v>Tuesday</v>
      </c>
      <c r="L1380">
        <f t="shared" si="148"/>
        <v>0</v>
      </c>
    </row>
    <row r="1381" spans="1:12" x14ac:dyDescent="0.25">
      <c r="A1381">
        <v>205492734</v>
      </c>
      <c r="B1381" s="1">
        <v>44985</v>
      </c>
      <c r="C1381" s="1">
        <v>45007</v>
      </c>
      <c r="D1381" t="s">
        <v>7</v>
      </c>
      <c r="E1381">
        <v>39</v>
      </c>
      <c r="F1381" t="s">
        <v>6</v>
      </c>
      <c r="G1381" s="8">
        <f t="shared" si="146"/>
        <v>22</v>
      </c>
      <c r="H1381">
        <f t="shared" si="147"/>
        <v>3</v>
      </c>
      <c r="I1381" t="str">
        <f t="shared" si="145"/>
        <v>Tuesday</v>
      </c>
      <c r="L1381">
        <f t="shared" si="148"/>
        <v>0</v>
      </c>
    </row>
    <row r="1382" spans="1:12" x14ac:dyDescent="0.25">
      <c r="A1382">
        <v>205548739</v>
      </c>
      <c r="B1382" s="1">
        <v>44986</v>
      </c>
      <c r="C1382" s="1">
        <f t="shared" ref="C1382:C1383" ca="1" si="152">TODAY()</f>
        <v>45938</v>
      </c>
      <c r="D1382" t="s">
        <v>7</v>
      </c>
      <c r="E1382">
        <v>39</v>
      </c>
      <c r="F1382" t="s">
        <v>6</v>
      </c>
      <c r="G1382" s="8">
        <f t="shared" ca="1" si="146"/>
        <v>952</v>
      </c>
      <c r="H1382">
        <f t="shared" si="147"/>
        <v>4</v>
      </c>
      <c r="I1382" t="str">
        <f t="shared" si="145"/>
        <v>Wednesday</v>
      </c>
      <c r="L1382">
        <f t="shared" ca="1" si="148"/>
        <v>0</v>
      </c>
    </row>
    <row r="1383" spans="1:12" x14ac:dyDescent="0.25">
      <c r="A1383">
        <v>202228372</v>
      </c>
      <c r="B1383" s="1">
        <v>44986</v>
      </c>
      <c r="C1383" s="1">
        <f t="shared" ca="1" si="152"/>
        <v>45938</v>
      </c>
      <c r="D1383" t="s">
        <v>7</v>
      </c>
      <c r="E1383">
        <v>39</v>
      </c>
      <c r="F1383" t="s">
        <v>6</v>
      </c>
      <c r="G1383" s="8">
        <f t="shared" ca="1" si="146"/>
        <v>952</v>
      </c>
      <c r="H1383">
        <f t="shared" si="147"/>
        <v>4</v>
      </c>
      <c r="I1383" t="str">
        <f t="shared" si="145"/>
        <v>Wednesday</v>
      </c>
      <c r="L1383">
        <f t="shared" ca="1" si="148"/>
        <v>0</v>
      </c>
    </row>
    <row r="1384" spans="1:12" x14ac:dyDescent="0.25">
      <c r="A1384">
        <v>205034931</v>
      </c>
      <c r="B1384" s="1">
        <v>44986</v>
      </c>
      <c r="C1384" s="1">
        <v>44987</v>
      </c>
      <c r="D1384" t="s">
        <v>8</v>
      </c>
      <c r="E1384">
        <v>39</v>
      </c>
      <c r="F1384" t="s">
        <v>6</v>
      </c>
      <c r="G1384" s="8">
        <f t="shared" si="146"/>
        <v>1</v>
      </c>
      <c r="H1384">
        <f t="shared" si="147"/>
        <v>4</v>
      </c>
      <c r="I1384" t="str">
        <f t="shared" si="145"/>
        <v>Wednesday</v>
      </c>
      <c r="L1384">
        <f t="shared" si="148"/>
        <v>1</v>
      </c>
    </row>
    <row r="1385" spans="1:12" x14ac:dyDescent="0.25">
      <c r="A1385">
        <v>205129178</v>
      </c>
      <c r="B1385" s="1">
        <v>44986</v>
      </c>
      <c r="C1385" s="1">
        <v>45098</v>
      </c>
      <c r="D1385" t="s">
        <v>7</v>
      </c>
      <c r="E1385">
        <v>39</v>
      </c>
      <c r="F1385" t="s">
        <v>6</v>
      </c>
      <c r="G1385" s="8">
        <f t="shared" si="146"/>
        <v>112</v>
      </c>
      <c r="H1385">
        <f t="shared" si="147"/>
        <v>4</v>
      </c>
      <c r="I1385" t="str">
        <f t="shared" si="145"/>
        <v>Wednesday</v>
      </c>
      <c r="L1385">
        <f t="shared" si="148"/>
        <v>0</v>
      </c>
    </row>
    <row r="1386" spans="1:12" x14ac:dyDescent="0.25">
      <c r="A1386">
        <v>160114911</v>
      </c>
      <c r="B1386" s="1">
        <v>44986</v>
      </c>
      <c r="C1386" s="1">
        <v>45024</v>
      </c>
      <c r="D1386" t="s">
        <v>7</v>
      </c>
      <c r="E1386">
        <v>39</v>
      </c>
      <c r="F1386" t="s">
        <v>6</v>
      </c>
      <c r="G1386" s="8">
        <f t="shared" si="146"/>
        <v>38</v>
      </c>
      <c r="H1386">
        <f t="shared" si="147"/>
        <v>4</v>
      </c>
      <c r="I1386" t="str">
        <f t="shared" si="145"/>
        <v>Wednesday</v>
      </c>
      <c r="L1386">
        <f t="shared" si="148"/>
        <v>0</v>
      </c>
    </row>
    <row r="1387" spans="1:12" x14ac:dyDescent="0.25">
      <c r="A1387">
        <v>168200039</v>
      </c>
      <c r="B1387" s="1">
        <v>44986</v>
      </c>
      <c r="C1387" s="1">
        <v>45024</v>
      </c>
      <c r="D1387" t="s">
        <v>7</v>
      </c>
      <c r="E1387">
        <v>39</v>
      </c>
      <c r="F1387" t="s">
        <v>6</v>
      </c>
      <c r="G1387" s="8">
        <f t="shared" si="146"/>
        <v>38</v>
      </c>
      <c r="H1387">
        <f t="shared" si="147"/>
        <v>4</v>
      </c>
      <c r="I1387" t="str">
        <f t="shared" si="145"/>
        <v>Wednesday</v>
      </c>
      <c r="L1387">
        <f t="shared" si="148"/>
        <v>0</v>
      </c>
    </row>
    <row r="1388" spans="1:12" x14ac:dyDescent="0.25">
      <c r="A1388">
        <v>190622411</v>
      </c>
      <c r="B1388" s="1">
        <v>44986</v>
      </c>
      <c r="C1388" s="1">
        <v>45020</v>
      </c>
      <c r="D1388" t="s">
        <v>7</v>
      </c>
      <c r="E1388">
        <v>39</v>
      </c>
      <c r="F1388" t="s">
        <v>6</v>
      </c>
      <c r="G1388" s="8">
        <f t="shared" si="146"/>
        <v>34</v>
      </c>
      <c r="H1388">
        <f t="shared" si="147"/>
        <v>4</v>
      </c>
      <c r="I1388" t="str">
        <f t="shared" si="145"/>
        <v>Wednesday</v>
      </c>
      <c r="L1388">
        <f t="shared" si="148"/>
        <v>0</v>
      </c>
    </row>
    <row r="1389" spans="1:12" x14ac:dyDescent="0.25">
      <c r="A1389">
        <v>204528713</v>
      </c>
      <c r="B1389" s="1">
        <v>44986</v>
      </c>
      <c r="C1389" s="1">
        <v>45034</v>
      </c>
      <c r="D1389" t="s">
        <v>7</v>
      </c>
      <c r="E1389">
        <v>39</v>
      </c>
      <c r="F1389" t="s">
        <v>6</v>
      </c>
      <c r="G1389" s="8">
        <f t="shared" si="146"/>
        <v>48</v>
      </c>
      <c r="H1389">
        <f t="shared" si="147"/>
        <v>4</v>
      </c>
      <c r="I1389" t="str">
        <f t="shared" si="145"/>
        <v>Wednesday</v>
      </c>
      <c r="L1389">
        <f t="shared" si="148"/>
        <v>0</v>
      </c>
    </row>
    <row r="1390" spans="1:12" x14ac:dyDescent="0.25">
      <c r="A1390">
        <v>205573796</v>
      </c>
      <c r="B1390" s="1">
        <v>44986</v>
      </c>
      <c r="C1390" s="1">
        <v>45029</v>
      </c>
      <c r="D1390" t="s">
        <v>7</v>
      </c>
      <c r="E1390">
        <v>39</v>
      </c>
      <c r="F1390" t="s">
        <v>6</v>
      </c>
      <c r="G1390" s="8">
        <f t="shared" si="146"/>
        <v>43</v>
      </c>
      <c r="H1390">
        <f t="shared" si="147"/>
        <v>4</v>
      </c>
      <c r="I1390" t="str">
        <f t="shared" si="145"/>
        <v>Wednesday</v>
      </c>
      <c r="L1390">
        <f t="shared" si="148"/>
        <v>0</v>
      </c>
    </row>
    <row r="1391" spans="1:12" x14ac:dyDescent="0.25">
      <c r="A1391">
        <v>182009986</v>
      </c>
      <c r="B1391" s="1">
        <v>44986</v>
      </c>
      <c r="C1391" s="1">
        <v>45014</v>
      </c>
      <c r="D1391" t="s">
        <v>7</v>
      </c>
      <c r="E1391">
        <v>39</v>
      </c>
      <c r="F1391" t="s">
        <v>6</v>
      </c>
      <c r="G1391" s="8">
        <f t="shared" si="146"/>
        <v>28</v>
      </c>
      <c r="H1391">
        <f t="shared" si="147"/>
        <v>4</v>
      </c>
      <c r="I1391" t="str">
        <f t="shared" si="145"/>
        <v>Wednesday</v>
      </c>
      <c r="L1391">
        <f t="shared" si="148"/>
        <v>0</v>
      </c>
    </row>
    <row r="1392" spans="1:12" x14ac:dyDescent="0.25">
      <c r="A1392">
        <v>205606022</v>
      </c>
      <c r="B1392" s="1">
        <v>44986</v>
      </c>
      <c r="C1392" s="1">
        <v>45006</v>
      </c>
      <c r="D1392" t="s">
        <v>7</v>
      </c>
      <c r="E1392">
        <v>39</v>
      </c>
      <c r="F1392" t="s">
        <v>6</v>
      </c>
      <c r="G1392" s="8">
        <f t="shared" si="146"/>
        <v>20</v>
      </c>
      <c r="H1392">
        <f t="shared" si="147"/>
        <v>4</v>
      </c>
      <c r="I1392" t="str">
        <f t="shared" si="145"/>
        <v>Wednesday</v>
      </c>
      <c r="L1392">
        <f t="shared" si="148"/>
        <v>0</v>
      </c>
    </row>
    <row r="1393" spans="1:12" x14ac:dyDescent="0.25">
      <c r="A1393">
        <v>205580089</v>
      </c>
      <c r="B1393" s="1">
        <v>44986</v>
      </c>
      <c r="C1393" s="1">
        <v>45015</v>
      </c>
      <c r="D1393" t="s">
        <v>7</v>
      </c>
      <c r="E1393">
        <v>39</v>
      </c>
      <c r="F1393" t="s">
        <v>6</v>
      </c>
      <c r="G1393" s="8">
        <f t="shared" si="146"/>
        <v>29</v>
      </c>
      <c r="H1393">
        <f t="shared" si="147"/>
        <v>4</v>
      </c>
      <c r="I1393" t="str">
        <f t="shared" si="145"/>
        <v>Wednesday</v>
      </c>
      <c r="L1393">
        <f t="shared" si="148"/>
        <v>0</v>
      </c>
    </row>
    <row r="1394" spans="1:12" x14ac:dyDescent="0.25">
      <c r="A1394">
        <v>192949504</v>
      </c>
      <c r="B1394" s="1">
        <v>44986</v>
      </c>
      <c r="C1394" s="1">
        <v>45013</v>
      </c>
      <c r="D1394" t="s">
        <v>7</v>
      </c>
      <c r="E1394">
        <v>39</v>
      </c>
      <c r="F1394" t="s">
        <v>6</v>
      </c>
      <c r="G1394" s="8">
        <f t="shared" si="146"/>
        <v>27</v>
      </c>
      <c r="H1394">
        <f t="shared" si="147"/>
        <v>4</v>
      </c>
      <c r="I1394" t="str">
        <f t="shared" si="145"/>
        <v>Wednesday</v>
      </c>
      <c r="L1394">
        <f t="shared" si="148"/>
        <v>0</v>
      </c>
    </row>
    <row r="1395" spans="1:12" x14ac:dyDescent="0.25">
      <c r="A1395">
        <v>205658636</v>
      </c>
      <c r="B1395" s="1">
        <v>44987</v>
      </c>
      <c r="C1395" s="1">
        <f t="shared" ref="C1395" ca="1" si="153">TODAY()</f>
        <v>45938</v>
      </c>
      <c r="D1395" t="s">
        <v>7</v>
      </c>
      <c r="E1395">
        <v>39</v>
      </c>
      <c r="F1395" t="s">
        <v>6</v>
      </c>
      <c r="G1395" s="8">
        <f t="shared" ca="1" si="146"/>
        <v>951</v>
      </c>
      <c r="H1395">
        <f t="shared" si="147"/>
        <v>5</v>
      </c>
      <c r="I1395" t="str">
        <f t="shared" si="145"/>
        <v>Thursday</v>
      </c>
      <c r="L1395">
        <f t="shared" ca="1" si="148"/>
        <v>0</v>
      </c>
    </row>
    <row r="1396" spans="1:12" x14ac:dyDescent="0.25">
      <c r="A1396">
        <v>205615727</v>
      </c>
      <c r="B1396" s="1">
        <v>44987</v>
      </c>
      <c r="C1396" s="1">
        <v>45103</v>
      </c>
      <c r="D1396" t="s">
        <v>7</v>
      </c>
      <c r="E1396">
        <v>39</v>
      </c>
      <c r="F1396" t="s">
        <v>6</v>
      </c>
      <c r="G1396" s="8">
        <f t="shared" si="146"/>
        <v>116</v>
      </c>
      <c r="H1396">
        <f t="shared" si="147"/>
        <v>5</v>
      </c>
      <c r="I1396" t="str">
        <f t="shared" si="145"/>
        <v>Thursday</v>
      </c>
      <c r="L1396">
        <f t="shared" si="148"/>
        <v>0</v>
      </c>
    </row>
    <row r="1397" spans="1:12" x14ac:dyDescent="0.25">
      <c r="A1397">
        <v>205448424</v>
      </c>
      <c r="B1397" s="1">
        <v>44987</v>
      </c>
      <c r="C1397" s="1">
        <v>45076</v>
      </c>
      <c r="D1397" t="s">
        <v>7</v>
      </c>
      <c r="E1397">
        <v>39</v>
      </c>
      <c r="F1397" t="s">
        <v>6</v>
      </c>
      <c r="G1397" s="8">
        <f t="shared" si="146"/>
        <v>89</v>
      </c>
      <c r="H1397">
        <f t="shared" si="147"/>
        <v>5</v>
      </c>
      <c r="I1397" t="str">
        <f t="shared" si="145"/>
        <v>Thursday</v>
      </c>
      <c r="L1397">
        <f t="shared" si="148"/>
        <v>0</v>
      </c>
    </row>
    <row r="1398" spans="1:12" x14ac:dyDescent="0.25">
      <c r="A1398">
        <v>196009696</v>
      </c>
      <c r="B1398" s="1">
        <v>44987</v>
      </c>
      <c r="C1398" s="1">
        <v>45048</v>
      </c>
      <c r="D1398" t="s">
        <v>7</v>
      </c>
      <c r="E1398">
        <v>39</v>
      </c>
      <c r="F1398" t="s">
        <v>6</v>
      </c>
      <c r="G1398" s="8">
        <f t="shared" si="146"/>
        <v>61</v>
      </c>
      <c r="H1398">
        <f t="shared" si="147"/>
        <v>5</v>
      </c>
      <c r="I1398" t="str">
        <f t="shared" si="145"/>
        <v>Thursday</v>
      </c>
      <c r="L1398">
        <f t="shared" si="148"/>
        <v>0</v>
      </c>
    </row>
    <row r="1399" spans="1:12" x14ac:dyDescent="0.25">
      <c r="A1399">
        <v>205026372</v>
      </c>
      <c r="B1399" s="1">
        <v>44987</v>
      </c>
      <c r="C1399" s="1">
        <v>45048</v>
      </c>
      <c r="D1399" t="s">
        <v>7</v>
      </c>
      <c r="E1399">
        <v>39</v>
      </c>
      <c r="F1399" t="s">
        <v>6</v>
      </c>
      <c r="G1399" s="8">
        <f t="shared" si="146"/>
        <v>61</v>
      </c>
      <c r="H1399">
        <f t="shared" si="147"/>
        <v>5</v>
      </c>
      <c r="I1399" t="str">
        <f t="shared" si="145"/>
        <v>Thursday</v>
      </c>
      <c r="L1399">
        <f t="shared" si="148"/>
        <v>0</v>
      </c>
    </row>
    <row r="1400" spans="1:12" x14ac:dyDescent="0.25">
      <c r="A1400">
        <v>167165752</v>
      </c>
      <c r="B1400" s="1">
        <v>44987</v>
      </c>
      <c r="C1400" s="1">
        <v>45076</v>
      </c>
      <c r="D1400" t="s">
        <v>7</v>
      </c>
      <c r="E1400">
        <v>39</v>
      </c>
      <c r="F1400" t="s">
        <v>6</v>
      </c>
      <c r="G1400" s="8">
        <f t="shared" si="146"/>
        <v>89</v>
      </c>
      <c r="H1400">
        <f t="shared" si="147"/>
        <v>5</v>
      </c>
      <c r="I1400" t="str">
        <f t="shared" si="145"/>
        <v>Thursday</v>
      </c>
      <c r="L1400">
        <f t="shared" si="148"/>
        <v>0</v>
      </c>
    </row>
    <row r="1401" spans="1:12" x14ac:dyDescent="0.25">
      <c r="A1401">
        <v>205664425</v>
      </c>
      <c r="B1401" s="1">
        <v>44987</v>
      </c>
      <c r="C1401" s="1">
        <v>45041</v>
      </c>
      <c r="D1401" t="s">
        <v>7</v>
      </c>
      <c r="E1401">
        <v>39</v>
      </c>
      <c r="F1401" t="s">
        <v>6</v>
      </c>
      <c r="G1401" s="8">
        <f t="shared" si="146"/>
        <v>54</v>
      </c>
      <c r="H1401">
        <f t="shared" si="147"/>
        <v>5</v>
      </c>
      <c r="I1401" t="str">
        <f t="shared" si="145"/>
        <v>Thursday</v>
      </c>
      <c r="L1401">
        <f t="shared" si="148"/>
        <v>0</v>
      </c>
    </row>
    <row r="1402" spans="1:12" x14ac:dyDescent="0.25">
      <c r="A1402">
        <v>199179611</v>
      </c>
      <c r="B1402" s="1">
        <v>44987</v>
      </c>
      <c r="C1402" s="1">
        <v>45039</v>
      </c>
      <c r="D1402" t="s">
        <v>7</v>
      </c>
      <c r="E1402">
        <v>39</v>
      </c>
      <c r="F1402" t="s">
        <v>6</v>
      </c>
      <c r="G1402" s="8">
        <f t="shared" si="146"/>
        <v>52</v>
      </c>
      <c r="H1402">
        <f t="shared" si="147"/>
        <v>5</v>
      </c>
      <c r="I1402" t="str">
        <f t="shared" si="145"/>
        <v>Thursday</v>
      </c>
      <c r="L1402">
        <f t="shared" si="148"/>
        <v>0</v>
      </c>
    </row>
    <row r="1403" spans="1:12" x14ac:dyDescent="0.25">
      <c r="A1403">
        <v>205660933</v>
      </c>
      <c r="B1403" s="1">
        <v>44987</v>
      </c>
      <c r="C1403" s="1">
        <v>45018</v>
      </c>
      <c r="D1403" t="s">
        <v>7</v>
      </c>
      <c r="E1403">
        <v>39</v>
      </c>
      <c r="F1403" t="s">
        <v>6</v>
      </c>
      <c r="G1403" s="8">
        <f t="shared" si="146"/>
        <v>31</v>
      </c>
      <c r="H1403">
        <f t="shared" si="147"/>
        <v>5</v>
      </c>
      <c r="I1403" t="str">
        <f t="shared" si="145"/>
        <v>Thursday</v>
      </c>
      <c r="L1403">
        <f t="shared" si="148"/>
        <v>0</v>
      </c>
    </row>
    <row r="1404" spans="1:12" x14ac:dyDescent="0.25">
      <c r="A1404">
        <v>205660195</v>
      </c>
      <c r="B1404" s="1">
        <v>44987</v>
      </c>
      <c r="C1404" s="1">
        <v>45019</v>
      </c>
      <c r="D1404" t="s">
        <v>7</v>
      </c>
      <c r="E1404">
        <v>39</v>
      </c>
      <c r="F1404" t="s">
        <v>6</v>
      </c>
      <c r="G1404" s="8">
        <f t="shared" si="146"/>
        <v>32</v>
      </c>
      <c r="H1404">
        <f t="shared" si="147"/>
        <v>5</v>
      </c>
      <c r="I1404" t="str">
        <f t="shared" si="145"/>
        <v>Thursday</v>
      </c>
      <c r="L1404">
        <f t="shared" si="148"/>
        <v>0</v>
      </c>
    </row>
    <row r="1405" spans="1:12" x14ac:dyDescent="0.25">
      <c r="A1405">
        <v>168598418</v>
      </c>
      <c r="B1405" s="1">
        <v>44987</v>
      </c>
      <c r="C1405" s="1">
        <v>45038</v>
      </c>
      <c r="D1405" t="s">
        <v>7</v>
      </c>
      <c r="E1405">
        <v>39</v>
      </c>
      <c r="F1405" t="s">
        <v>6</v>
      </c>
      <c r="G1405" s="8">
        <f t="shared" si="146"/>
        <v>51</v>
      </c>
      <c r="H1405">
        <f t="shared" si="147"/>
        <v>5</v>
      </c>
      <c r="I1405" t="str">
        <f t="shared" si="145"/>
        <v>Thursday</v>
      </c>
      <c r="L1405">
        <f t="shared" si="148"/>
        <v>0</v>
      </c>
    </row>
    <row r="1406" spans="1:12" x14ac:dyDescent="0.25">
      <c r="A1406">
        <v>161182367</v>
      </c>
      <c r="B1406" s="1">
        <v>44987</v>
      </c>
      <c r="C1406" s="1">
        <v>45025</v>
      </c>
      <c r="D1406" t="s">
        <v>7</v>
      </c>
      <c r="E1406">
        <v>39</v>
      </c>
      <c r="F1406" t="s">
        <v>6</v>
      </c>
      <c r="G1406" s="8">
        <f t="shared" si="146"/>
        <v>38</v>
      </c>
      <c r="H1406">
        <f t="shared" si="147"/>
        <v>5</v>
      </c>
      <c r="I1406" t="str">
        <f t="shared" si="145"/>
        <v>Thursday</v>
      </c>
      <c r="L1406">
        <f t="shared" si="148"/>
        <v>0</v>
      </c>
    </row>
    <row r="1407" spans="1:12" x14ac:dyDescent="0.25">
      <c r="A1407">
        <v>156943008</v>
      </c>
      <c r="B1407" s="1">
        <v>44987</v>
      </c>
      <c r="C1407" s="1">
        <v>44987</v>
      </c>
      <c r="D1407" t="s">
        <v>7</v>
      </c>
      <c r="E1407">
        <v>39</v>
      </c>
      <c r="F1407" t="s">
        <v>6</v>
      </c>
      <c r="G1407" s="8">
        <f t="shared" si="146"/>
        <v>0</v>
      </c>
      <c r="H1407">
        <f t="shared" si="147"/>
        <v>5</v>
      </c>
      <c r="I1407" t="str">
        <f t="shared" si="145"/>
        <v>Thursday</v>
      </c>
      <c r="L1407">
        <f t="shared" si="148"/>
        <v>1</v>
      </c>
    </row>
    <row r="1408" spans="1:12" x14ac:dyDescent="0.25">
      <c r="A1408">
        <v>190657026</v>
      </c>
      <c r="B1408" s="1">
        <v>44987</v>
      </c>
      <c r="C1408" s="1">
        <v>45014</v>
      </c>
      <c r="D1408" t="s">
        <v>7</v>
      </c>
      <c r="E1408">
        <v>39</v>
      </c>
      <c r="F1408" t="s">
        <v>6</v>
      </c>
      <c r="G1408" s="8">
        <f t="shared" si="146"/>
        <v>27</v>
      </c>
      <c r="H1408">
        <f t="shared" si="147"/>
        <v>5</v>
      </c>
      <c r="I1408" t="str">
        <f t="shared" si="145"/>
        <v>Thursday</v>
      </c>
      <c r="L1408">
        <f t="shared" si="148"/>
        <v>0</v>
      </c>
    </row>
    <row r="1409" spans="1:12" x14ac:dyDescent="0.25">
      <c r="A1409">
        <v>205700946</v>
      </c>
      <c r="B1409" s="1">
        <v>44988</v>
      </c>
      <c r="C1409" s="1">
        <f t="shared" ref="C1409:C1410" ca="1" si="154">TODAY()</f>
        <v>45938</v>
      </c>
      <c r="D1409" t="s">
        <v>7</v>
      </c>
      <c r="E1409">
        <v>39</v>
      </c>
      <c r="F1409" t="s">
        <v>6</v>
      </c>
      <c r="G1409" s="8">
        <f t="shared" ca="1" si="146"/>
        <v>950</v>
      </c>
      <c r="H1409">
        <f t="shared" si="147"/>
        <v>6</v>
      </c>
      <c r="I1409" t="str">
        <f t="shared" si="145"/>
        <v>Friday</v>
      </c>
      <c r="L1409">
        <f t="shared" ca="1" si="148"/>
        <v>0</v>
      </c>
    </row>
    <row r="1410" spans="1:12" x14ac:dyDescent="0.25">
      <c r="A1410">
        <v>165807144</v>
      </c>
      <c r="B1410" s="1">
        <v>44988</v>
      </c>
      <c r="C1410" s="1">
        <f t="shared" ca="1" si="154"/>
        <v>45938</v>
      </c>
      <c r="D1410" t="s">
        <v>7</v>
      </c>
      <c r="E1410">
        <v>39</v>
      </c>
      <c r="F1410" t="s">
        <v>6</v>
      </c>
      <c r="G1410" s="8">
        <f t="shared" ca="1" si="146"/>
        <v>950</v>
      </c>
      <c r="H1410">
        <f t="shared" si="147"/>
        <v>6</v>
      </c>
      <c r="I1410" t="str">
        <f t="shared" ref="I1410:I1473" si="155">TEXT(B1410,"DDDD")</f>
        <v>Friday</v>
      </c>
      <c r="L1410">
        <f t="shared" ca="1" si="148"/>
        <v>0</v>
      </c>
    </row>
    <row r="1411" spans="1:12" x14ac:dyDescent="0.25">
      <c r="A1411">
        <v>125635419</v>
      </c>
      <c r="B1411" s="1">
        <v>44988</v>
      </c>
      <c r="C1411" s="1">
        <v>44989</v>
      </c>
      <c r="D1411" t="s">
        <v>7</v>
      </c>
      <c r="E1411">
        <v>39</v>
      </c>
      <c r="F1411" t="s">
        <v>6</v>
      </c>
      <c r="G1411" s="8">
        <f t="shared" ref="G1411:G1474" si="156">IFERROR(DATEDIF(B1411,C1411,"D"),"0")</f>
        <v>1</v>
      </c>
      <c r="H1411">
        <f t="shared" ref="H1411:H1474" si="157">WEEKDAY(B1411,1)</f>
        <v>6</v>
      </c>
      <c r="I1411" t="str">
        <f t="shared" si="155"/>
        <v>Friday</v>
      </c>
      <c r="L1411">
        <f t="shared" ref="L1411:L1474" si="158">IF( OR($G1411=0,$G1411 = 1, $G1411 = 2), 1, 0 )</f>
        <v>1</v>
      </c>
    </row>
    <row r="1412" spans="1:12" x14ac:dyDescent="0.25">
      <c r="A1412">
        <v>205707486</v>
      </c>
      <c r="B1412" s="1">
        <v>44988</v>
      </c>
      <c r="C1412" s="1">
        <v>44989</v>
      </c>
      <c r="D1412" t="s">
        <v>8</v>
      </c>
      <c r="E1412">
        <v>39</v>
      </c>
      <c r="F1412" t="s">
        <v>6</v>
      </c>
      <c r="G1412" s="8">
        <f t="shared" si="156"/>
        <v>1</v>
      </c>
      <c r="H1412">
        <f t="shared" si="157"/>
        <v>6</v>
      </c>
      <c r="I1412" t="str">
        <f t="shared" si="155"/>
        <v>Friday</v>
      </c>
      <c r="L1412">
        <f t="shared" si="158"/>
        <v>1</v>
      </c>
    </row>
    <row r="1413" spans="1:12" x14ac:dyDescent="0.25">
      <c r="A1413">
        <v>150663700</v>
      </c>
      <c r="B1413" s="1">
        <v>44988</v>
      </c>
      <c r="C1413" s="1">
        <v>44989</v>
      </c>
      <c r="D1413" t="s">
        <v>8</v>
      </c>
      <c r="E1413">
        <v>39</v>
      </c>
      <c r="F1413" t="s">
        <v>6</v>
      </c>
      <c r="G1413" s="8">
        <f t="shared" si="156"/>
        <v>1</v>
      </c>
      <c r="H1413">
        <f t="shared" si="157"/>
        <v>6</v>
      </c>
      <c r="I1413" t="str">
        <f t="shared" si="155"/>
        <v>Friday</v>
      </c>
      <c r="L1413">
        <f t="shared" si="158"/>
        <v>1</v>
      </c>
    </row>
    <row r="1414" spans="1:12" x14ac:dyDescent="0.25">
      <c r="A1414">
        <v>149157588</v>
      </c>
      <c r="B1414" s="1">
        <v>44988</v>
      </c>
      <c r="C1414" s="1">
        <v>45056</v>
      </c>
      <c r="D1414" t="s">
        <v>7</v>
      </c>
      <c r="E1414">
        <v>39</v>
      </c>
      <c r="F1414" t="s">
        <v>6</v>
      </c>
      <c r="G1414" s="8">
        <f t="shared" si="156"/>
        <v>68</v>
      </c>
      <c r="H1414">
        <f t="shared" si="157"/>
        <v>6</v>
      </c>
      <c r="I1414" t="str">
        <f t="shared" si="155"/>
        <v>Friday</v>
      </c>
      <c r="L1414">
        <f t="shared" si="158"/>
        <v>0</v>
      </c>
    </row>
    <row r="1415" spans="1:12" x14ac:dyDescent="0.25">
      <c r="A1415">
        <v>205686881</v>
      </c>
      <c r="B1415" s="1">
        <v>44988</v>
      </c>
      <c r="C1415" s="1">
        <v>45087</v>
      </c>
      <c r="D1415" t="s">
        <v>7</v>
      </c>
      <c r="E1415">
        <v>39</v>
      </c>
      <c r="F1415" t="s">
        <v>6</v>
      </c>
      <c r="G1415" s="8">
        <f t="shared" si="156"/>
        <v>99</v>
      </c>
      <c r="H1415">
        <f t="shared" si="157"/>
        <v>6</v>
      </c>
      <c r="I1415" t="str">
        <f t="shared" si="155"/>
        <v>Friday</v>
      </c>
      <c r="L1415">
        <f t="shared" si="158"/>
        <v>0</v>
      </c>
    </row>
    <row r="1416" spans="1:12" x14ac:dyDescent="0.25">
      <c r="A1416">
        <v>138347540</v>
      </c>
      <c r="B1416" s="1">
        <v>44988</v>
      </c>
      <c r="C1416" s="1">
        <v>45054</v>
      </c>
      <c r="D1416" t="s">
        <v>7</v>
      </c>
      <c r="E1416">
        <v>39</v>
      </c>
      <c r="F1416" t="s">
        <v>6</v>
      </c>
      <c r="G1416" s="8">
        <f t="shared" si="156"/>
        <v>66</v>
      </c>
      <c r="H1416">
        <f t="shared" si="157"/>
        <v>6</v>
      </c>
      <c r="I1416" t="str">
        <f t="shared" si="155"/>
        <v>Friday</v>
      </c>
      <c r="L1416">
        <f t="shared" si="158"/>
        <v>0</v>
      </c>
    </row>
    <row r="1417" spans="1:12" x14ac:dyDescent="0.25">
      <c r="A1417">
        <v>154344817</v>
      </c>
      <c r="B1417" s="1">
        <v>44988</v>
      </c>
      <c r="C1417" s="1">
        <v>45036</v>
      </c>
      <c r="D1417" t="s">
        <v>7</v>
      </c>
      <c r="E1417">
        <v>39</v>
      </c>
      <c r="F1417" t="s">
        <v>6</v>
      </c>
      <c r="G1417" s="8">
        <f t="shared" si="156"/>
        <v>48</v>
      </c>
      <c r="H1417">
        <f t="shared" si="157"/>
        <v>6</v>
      </c>
      <c r="I1417" t="str">
        <f t="shared" si="155"/>
        <v>Friday</v>
      </c>
      <c r="L1417">
        <f t="shared" si="158"/>
        <v>0</v>
      </c>
    </row>
    <row r="1418" spans="1:12" x14ac:dyDescent="0.25">
      <c r="A1418">
        <v>205530810</v>
      </c>
      <c r="B1418" s="1">
        <v>44988</v>
      </c>
      <c r="C1418" s="1">
        <v>45026</v>
      </c>
      <c r="D1418" t="s">
        <v>7</v>
      </c>
      <c r="E1418">
        <v>39</v>
      </c>
      <c r="F1418" t="s">
        <v>6</v>
      </c>
      <c r="G1418" s="8">
        <f t="shared" si="156"/>
        <v>38</v>
      </c>
      <c r="H1418">
        <f t="shared" si="157"/>
        <v>6</v>
      </c>
      <c r="I1418" t="str">
        <f t="shared" si="155"/>
        <v>Friday</v>
      </c>
      <c r="L1418">
        <f t="shared" si="158"/>
        <v>0</v>
      </c>
    </row>
    <row r="1419" spans="1:12" x14ac:dyDescent="0.25">
      <c r="A1419">
        <v>205731473</v>
      </c>
      <c r="B1419" s="1">
        <v>44988</v>
      </c>
      <c r="C1419" s="1">
        <v>45004</v>
      </c>
      <c r="D1419" t="s">
        <v>7</v>
      </c>
      <c r="E1419">
        <v>39</v>
      </c>
      <c r="F1419" t="s">
        <v>6</v>
      </c>
      <c r="G1419" s="8">
        <f t="shared" si="156"/>
        <v>16</v>
      </c>
      <c r="H1419">
        <f t="shared" si="157"/>
        <v>6</v>
      </c>
      <c r="I1419" t="str">
        <f t="shared" si="155"/>
        <v>Friday</v>
      </c>
      <c r="L1419">
        <f t="shared" si="158"/>
        <v>0</v>
      </c>
    </row>
    <row r="1420" spans="1:12" x14ac:dyDescent="0.25">
      <c r="A1420">
        <v>205692510</v>
      </c>
      <c r="B1420" s="1">
        <v>44989</v>
      </c>
      <c r="C1420" s="1">
        <f t="shared" ref="C1420" ca="1" si="159">TODAY()</f>
        <v>45938</v>
      </c>
      <c r="D1420" t="s">
        <v>7</v>
      </c>
      <c r="E1420">
        <v>39</v>
      </c>
      <c r="F1420" t="s">
        <v>6</v>
      </c>
      <c r="G1420" s="8">
        <f t="shared" ca="1" si="156"/>
        <v>949</v>
      </c>
      <c r="H1420">
        <f t="shared" si="157"/>
        <v>7</v>
      </c>
      <c r="I1420" t="str">
        <f t="shared" si="155"/>
        <v>Saturday</v>
      </c>
      <c r="L1420">
        <f t="shared" ca="1" si="158"/>
        <v>0</v>
      </c>
    </row>
    <row r="1421" spans="1:12" x14ac:dyDescent="0.25">
      <c r="A1421">
        <v>191670525</v>
      </c>
      <c r="B1421" s="1">
        <v>44989</v>
      </c>
      <c r="C1421" s="1">
        <v>45058</v>
      </c>
      <c r="D1421" t="s">
        <v>7</v>
      </c>
      <c r="E1421">
        <v>39</v>
      </c>
      <c r="F1421" t="s">
        <v>6</v>
      </c>
      <c r="G1421" s="8">
        <f t="shared" si="156"/>
        <v>69</v>
      </c>
      <c r="H1421">
        <f t="shared" si="157"/>
        <v>7</v>
      </c>
      <c r="I1421" t="str">
        <f t="shared" si="155"/>
        <v>Saturday</v>
      </c>
      <c r="L1421">
        <f t="shared" si="158"/>
        <v>0</v>
      </c>
    </row>
    <row r="1422" spans="1:12" x14ac:dyDescent="0.25">
      <c r="A1422">
        <v>205492489</v>
      </c>
      <c r="B1422" s="1">
        <v>44989</v>
      </c>
      <c r="C1422" s="1">
        <v>45057</v>
      </c>
      <c r="D1422" t="s">
        <v>7</v>
      </c>
      <c r="E1422">
        <v>39</v>
      </c>
      <c r="F1422" t="s">
        <v>6</v>
      </c>
      <c r="G1422" s="8">
        <f t="shared" si="156"/>
        <v>68</v>
      </c>
      <c r="H1422">
        <f t="shared" si="157"/>
        <v>7</v>
      </c>
      <c r="I1422" t="str">
        <f t="shared" si="155"/>
        <v>Saturday</v>
      </c>
      <c r="L1422">
        <f t="shared" si="158"/>
        <v>0</v>
      </c>
    </row>
    <row r="1423" spans="1:12" x14ac:dyDescent="0.25">
      <c r="A1423">
        <v>205026942</v>
      </c>
      <c r="B1423" s="1">
        <v>44989</v>
      </c>
      <c r="C1423" s="1">
        <v>45050</v>
      </c>
      <c r="D1423" t="s">
        <v>7</v>
      </c>
      <c r="E1423">
        <v>39</v>
      </c>
      <c r="F1423" t="s">
        <v>6</v>
      </c>
      <c r="G1423" s="8">
        <f t="shared" si="156"/>
        <v>61</v>
      </c>
      <c r="H1423">
        <f t="shared" si="157"/>
        <v>7</v>
      </c>
      <c r="I1423" t="str">
        <f t="shared" si="155"/>
        <v>Saturday</v>
      </c>
      <c r="L1423">
        <f t="shared" si="158"/>
        <v>0</v>
      </c>
    </row>
    <row r="1424" spans="1:12" x14ac:dyDescent="0.25">
      <c r="A1424">
        <v>205768824</v>
      </c>
      <c r="B1424" s="1">
        <v>44989</v>
      </c>
      <c r="C1424" s="1">
        <v>45017</v>
      </c>
      <c r="D1424" t="s">
        <v>7</v>
      </c>
      <c r="E1424">
        <v>39</v>
      </c>
      <c r="F1424" t="s">
        <v>6</v>
      </c>
      <c r="G1424" s="8">
        <f t="shared" si="156"/>
        <v>28</v>
      </c>
      <c r="H1424">
        <f t="shared" si="157"/>
        <v>7</v>
      </c>
      <c r="I1424" t="str">
        <f t="shared" si="155"/>
        <v>Saturday</v>
      </c>
      <c r="L1424">
        <f t="shared" si="158"/>
        <v>0</v>
      </c>
    </row>
    <row r="1425" spans="1:12" x14ac:dyDescent="0.25">
      <c r="A1425">
        <v>160824884</v>
      </c>
      <c r="B1425" s="1">
        <v>44989</v>
      </c>
      <c r="C1425" s="1">
        <v>45018</v>
      </c>
      <c r="D1425" t="s">
        <v>7</v>
      </c>
      <c r="E1425">
        <v>39</v>
      </c>
      <c r="F1425" t="s">
        <v>6</v>
      </c>
      <c r="G1425" s="8">
        <f t="shared" si="156"/>
        <v>29</v>
      </c>
      <c r="H1425">
        <f t="shared" si="157"/>
        <v>7</v>
      </c>
      <c r="I1425" t="str">
        <f t="shared" si="155"/>
        <v>Saturday</v>
      </c>
      <c r="L1425">
        <f t="shared" si="158"/>
        <v>0</v>
      </c>
    </row>
    <row r="1426" spans="1:12" x14ac:dyDescent="0.25">
      <c r="A1426">
        <v>205742224</v>
      </c>
      <c r="B1426" s="1">
        <v>44989</v>
      </c>
      <c r="C1426" s="1">
        <v>44989</v>
      </c>
      <c r="D1426" t="s">
        <v>7</v>
      </c>
      <c r="E1426">
        <v>39</v>
      </c>
      <c r="F1426" t="s">
        <v>6</v>
      </c>
      <c r="G1426" s="8">
        <f t="shared" si="156"/>
        <v>0</v>
      </c>
      <c r="H1426">
        <f t="shared" si="157"/>
        <v>7</v>
      </c>
      <c r="I1426" t="str">
        <f t="shared" si="155"/>
        <v>Saturday</v>
      </c>
      <c r="L1426">
        <f t="shared" si="158"/>
        <v>1</v>
      </c>
    </row>
    <row r="1427" spans="1:12" x14ac:dyDescent="0.25">
      <c r="A1427">
        <v>205804144</v>
      </c>
      <c r="B1427" s="1">
        <v>44990</v>
      </c>
      <c r="C1427" s="1">
        <v>45103</v>
      </c>
      <c r="D1427" t="s">
        <v>7</v>
      </c>
      <c r="E1427">
        <v>39</v>
      </c>
      <c r="F1427" t="s">
        <v>6</v>
      </c>
      <c r="G1427" s="8">
        <f t="shared" si="156"/>
        <v>113</v>
      </c>
      <c r="H1427">
        <f t="shared" si="157"/>
        <v>1</v>
      </c>
      <c r="I1427" t="str">
        <f t="shared" si="155"/>
        <v>Sunday</v>
      </c>
      <c r="L1427">
        <f t="shared" si="158"/>
        <v>0</v>
      </c>
    </row>
    <row r="1428" spans="1:12" x14ac:dyDescent="0.25">
      <c r="A1428">
        <v>205703512</v>
      </c>
      <c r="B1428" s="1">
        <v>44990</v>
      </c>
      <c r="C1428" s="1">
        <v>45075</v>
      </c>
      <c r="D1428" t="s">
        <v>7</v>
      </c>
      <c r="E1428">
        <v>39</v>
      </c>
      <c r="F1428" t="s">
        <v>6</v>
      </c>
      <c r="G1428" s="8">
        <f t="shared" si="156"/>
        <v>85</v>
      </c>
      <c r="H1428">
        <f t="shared" si="157"/>
        <v>1</v>
      </c>
      <c r="I1428" t="str">
        <f t="shared" si="155"/>
        <v>Sunday</v>
      </c>
      <c r="L1428">
        <f t="shared" si="158"/>
        <v>0</v>
      </c>
    </row>
    <row r="1429" spans="1:12" x14ac:dyDescent="0.25">
      <c r="A1429">
        <v>131181843</v>
      </c>
      <c r="B1429" s="1">
        <v>44990</v>
      </c>
      <c r="C1429" s="1">
        <v>44990</v>
      </c>
      <c r="D1429" t="s">
        <v>7</v>
      </c>
      <c r="E1429">
        <v>39</v>
      </c>
      <c r="F1429" t="s">
        <v>6</v>
      </c>
      <c r="G1429" s="8">
        <f t="shared" si="156"/>
        <v>0</v>
      </c>
      <c r="H1429">
        <f t="shared" si="157"/>
        <v>1</v>
      </c>
      <c r="I1429" t="str">
        <f t="shared" si="155"/>
        <v>Sunday</v>
      </c>
      <c r="L1429">
        <f t="shared" si="158"/>
        <v>1</v>
      </c>
    </row>
    <row r="1430" spans="1:12" x14ac:dyDescent="0.25">
      <c r="A1430">
        <v>205713052</v>
      </c>
      <c r="B1430" s="1">
        <v>44991</v>
      </c>
      <c r="C1430" s="1">
        <f t="shared" ref="C1430:C1434" ca="1" si="160">TODAY()</f>
        <v>45938</v>
      </c>
      <c r="D1430" t="s">
        <v>7</v>
      </c>
      <c r="E1430">
        <v>39</v>
      </c>
      <c r="F1430" t="s">
        <v>6</v>
      </c>
      <c r="G1430" s="8">
        <f t="shared" ca="1" si="156"/>
        <v>947</v>
      </c>
      <c r="H1430">
        <f t="shared" si="157"/>
        <v>2</v>
      </c>
      <c r="I1430" t="str">
        <f t="shared" si="155"/>
        <v>Monday</v>
      </c>
      <c r="L1430">
        <f t="shared" ca="1" si="158"/>
        <v>0</v>
      </c>
    </row>
    <row r="1431" spans="1:12" x14ac:dyDescent="0.25">
      <c r="A1431">
        <v>138121122</v>
      </c>
      <c r="B1431" s="1">
        <v>44991</v>
      </c>
      <c r="C1431" s="1">
        <f t="shared" ca="1" si="160"/>
        <v>45938</v>
      </c>
      <c r="D1431" t="s">
        <v>7</v>
      </c>
      <c r="E1431">
        <v>39</v>
      </c>
      <c r="F1431" t="s">
        <v>6</v>
      </c>
      <c r="G1431" s="8">
        <f t="shared" ca="1" si="156"/>
        <v>947</v>
      </c>
      <c r="H1431">
        <f t="shared" si="157"/>
        <v>2</v>
      </c>
      <c r="I1431" t="str">
        <f t="shared" si="155"/>
        <v>Monday</v>
      </c>
      <c r="L1431">
        <f t="shared" ca="1" si="158"/>
        <v>0</v>
      </c>
    </row>
    <row r="1432" spans="1:12" x14ac:dyDescent="0.25">
      <c r="A1432">
        <v>191326286</v>
      </c>
      <c r="B1432" s="1">
        <v>44991</v>
      </c>
      <c r="C1432" s="1">
        <f t="shared" ca="1" si="160"/>
        <v>45938</v>
      </c>
      <c r="D1432" t="s">
        <v>7</v>
      </c>
      <c r="E1432">
        <v>39</v>
      </c>
      <c r="F1432" t="s">
        <v>6</v>
      </c>
      <c r="G1432" s="8">
        <f t="shared" ca="1" si="156"/>
        <v>947</v>
      </c>
      <c r="H1432">
        <f t="shared" si="157"/>
        <v>2</v>
      </c>
      <c r="I1432" t="str">
        <f t="shared" si="155"/>
        <v>Monday</v>
      </c>
      <c r="L1432">
        <f t="shared" ca="1" si="158"/>
        <v>0</v>
      </c>
    </row>
    <row r="1433" spans="1:12" x14ac:dyDescent="0.25">
      <c r="A1433">
        <v>178838732</v>
      </c>
      <c r="B1433" s="1">
        <v>44991</v>
      </c>
      <c r="C1433" s="1">
        <f t="shared" ca="1" si="160"/>
        <v>45938</v>
      </c>
      <c r="D1433" t="s">
        <v>7</v>
      </c>
      <c r="E1433">
        <v>39</v>
      </c>
      <c r="F1433" t="s">
        <v>6</v>
      </c>
      <c r="G1433" s="8">
        <f t="shared" ca="1" si="156"/>
        <v>947</v>
      </c>
      <c r="H1433">
        <f t="shared" si="157"/>
        <v>2</v>
      </c>
      <c r="I1433" t="str">
        <f t="shared" si="155"/>
        <v>Monday</v>
      </c>
      <c r="L1433">
        <f t="shared" ca="1" si="158"/>
        <v>0</v>
      </c>
    </row>
    <row r="1434" spans="1:12" x14ac:dyDescent="0.25">
      <c r="A1434">
        <v>205871342</v>
      </c>
      <c r="B1434" s="1">
        <v>44991</v>
      </c>
      <c r="C1434" s="1">
        <f t="shared" ca="1" si="160"/>
        <v>45938</v>
      </c>
      <c r="D1434" t="s">
        <v>7</v>
      </c>
      <c r="E1434">
        <v>39</v>
      </c>
      <c r="F1434" t="s">
        <v>6</v>
      </c>
      <c r="G1434" s="8">
        <f t="shared" ca="1" si="156"/>
        <v>947</v>
      </c>
      <c r="H1434">
        <f t="shared" si="157"/>
        <v>2</v>
      </c>
      <c r="I1434" t="str">
        <f t="shared" si="155"/>
        <v>Monday</v>
      </c>
      <c r="L1434">
        <f t="shared" ca="1" si="158"/>
        <v>0</v>
      </c>
    </row>
    <row r="1435" spans="1:12" x14ac:dyDescent="0.25">
      <c r="A1435">
        <v>202160641</v>
      </c>
      <c r="B1435" s="1">
        <v>44991</v>
      </c>
      <c r="C1435" s="1">
        <v>45082</v>
      </c>
      <c r="D1435" t="s">
        <v>7</v>
      </c>
      <c r="E1435">
        <v>39</v>
      </c>
      <c r="F1435" t="s">
        <v>6</v>
      </c>
      <c r="G1435" s="8">
        <f t="shared" si="156"/>
        <v>91</v>
      </c>
      <c r="H1435">
        <f t="shared" si="157"/>
        <v>2</v>
      </c>
      <c r="I1435" t="str">
        <f t="shared" si="155"/>
        <v>Monday</v>
      </c>
      <c r="L1435">
        <f t="shared" si="158"/>
        <v>0</v>
      </c>
    </row>
    <row r="1436" spans="1:12" x14ac:dyDescent="0.25">
      <c r="A1436">
        <v>205786362</v>
      </c>
      <c r="B1436" s="1">
        <v>44991</v>
      </c>
      <c r="C1436" s="1">
        <v>45072</v>
      </c>
      <c r="D1436" t="s">
        <v>7</v>
      </c>
      <c r="E1436">
        <v>39</v>
      </c>
      <c r="F1436" t="s">
        <v>6</v>
      </c>
      <c r="G1436" s="8">
        <f t="shared" si="156"/>
        <v>81</v>
      </c>
      <c r="H1436">
        <f t="shared" si="157"/>
        <v>2</v>
      </c>
      <c r="I1436" t="str">
        <f t="shared" si="155"/>
        <v>Monday</v>
      </c>
      <c r="L1436">
        <f t="shared" si="158"/>
        <v>0</v>
      </c>
    </row>
    <row r="1437" spans="1:12" x14ac:dyDescent="0.25">
      <c r="A1437">
        <v>159798906</v>
      </c>
      <c r="B1437" s="1">
        <v>44991</v>
      </c>
      <c r="C1437" s="1">
        <v>45023</v>
      </c>
      <c r="D1437" t="s">
        <v>7</v>
      </c>
      <c r="E1437">
        <v>39</v>
      </c>
      <c r="F1437" t="s">
        <v>6</v>
      </c>
      <c r="G1437" s="8">
        <f t="shared" si="156"/>
        <v>32</v>
      </c>
      <c r="H1437">
        <f t="shared" si="157"/>
        <v>2</v>
      </c>
      <c r="I1437" t="str">
        <f t="shared" si="155"/>
        <v>Monday</v>
      </c>
      <c r="L1437">
        <f t="shared" si="158"/>
        <v>0</v>
      </c>
    </row>
    <row r="1438" spans="1:12" x14ac:dyDescent="0.25">
      <c r="A1438">
        <v>166276152</v>
      </c>
      <c r="B1438" s="1">
        <v>44991</v>
      </c>
      <c r="C1438" s="1">
        <v>45019</v>
      </c>
      <c r="D1438" t="s">
        <v>7</v>
      </c>
      <c r="E1438">
        <v>39</v>
      </c>
      <c r="F1438" t="s">
        <v>6</v>
      </c>
      <c r="G1438" s="8">
        <f t="shared" si="156"/>
        <v>28</v>
      </c>
      <c r="H1438">
        <f t="shared" si="157"/>
        <v>2</v>
      </c>
      <c r="I1438" t="str">
        <f t="shared" si="155"/>
        <v>Monday</v>
      </c>
      <c r="L1438">
        <f t="shared" si="158"/>
        <v>0</v>
      </c>
    </row>
    <row r="1439" spans="1:12" x14ac:dyDescent="0.25">
      <c r="A1439">
        <v>156353738</v>
      </c>
      <c r="B1439" s="1">
        <v>44991</v>
      </c>
      <c r="C1439" s="1">
        <v>44998</v>
      </c>
      <c r="D1439" t="s">
        <v>7</v>
      </c>
      <c r="E1439">
        <v>39</v>
      </c>
      <c r="F1439" t="s">
        <v>6</v>
      </c>
      <c r="G1439" s="8">
        <f t="shared" si="156"/>
        <v>7</v>
      </c>
      <c r="H1439">
        <f t="shared" si="157"/>
        <v>2</v>
      </c>
      <c r="I1439" t="str">
        <f t="shared" si="155"/>
        <v>Monday</v>
      </c>
      <c r="L1439">
        <f t="shared" si="158"/>
        <v>0</v>
      </c>
    </row>
    <row r="1440" spans="1:12" x14ac:dyDescent="0.25">
      <c r="A1440">
        <v>205864612</v>
      </c>
      <c r="B1440" s="1">
        <v>44991</v>
      </c>
      <c r="C1440" s="1">
        <v>45003</v>
      </c>
      <c r="D1440" t="s">
        <v>7</v>
      </c>
      <c r="E1440">
        <v>39</v>
      </c>
      <c r="F1440" t="s">
        <v>6</v>
      </c>
      <c r="G1440" s="8">
        <f t="shared" si="156"/>
        <v>12</v>
      </c>
      <c r="H1440">
        <f t="shared" si="157"/>
        <v>2</v>
      </c>
      <c r="I1440" t="str">
        <f t="shared" si="155"/>
        <v>Monday</v>
      </c>
      <c r="L1440">
        <f t="shared" si="158"/>
        <v>0</v>
      </c>
    </row>
    <row r="1441" spans="1:12" x14ac:dyDescent="0.25">
      <c r="A1441">
        <v>142757196</v>
      </c>
      <c r="B1441" s="1">
        <v>44992</v>
      </c>
      <c r="C1441" s="1">
        <v>45116</v>
      </c>
      <c r="D1441" t="s">
        <v>7</v>
      </c>
      <c r="E1441">
        <v>39</v>
      </c>
      <c r="F1441" t="s">
        <v>6</v>
      </c>
      <c r="G1441" s="8">
        <f t="shared" si="156"/>
        <v>124</v>
      </c>
      <c r="H1441">
        <f t="shared" si="157"/>
        <v>3</v>
      </c>
      <c r="I1441" t="str">
        <f t="shared" si="155"/>
        <v>Tuesday</v>
      </c>
      <c r="L1441">
        <f t="shared" si="158"/>
        <v>0</v>
      </c>
    </row>
    <row r="1442" spans="1:12" x14ac:dyDescent="0.25">
      <c r="A1442">
        <v>205971108</v>
      </c>
      <c r="B1442" s="1">
        <v>44992</v>
      </c>
      <c r="C1442" s="1">
        <v>45099</v>
      </c>
      <c r="D1442" t="s">
        <v>7</v>
      </c>
      <c r="E1442">
        <v>39</v>
      </c>
      <c r="F1442" t="s">
        <v>6</v>
      </c>
      <c r="G1442" s="8">
        <f t="shared" si="156"/>
        <v>107</v>
      </c>
      <c r="H1442">
        <f t="shared" si="157"/>
        <v>3</v>
      </c>
      <c r="I1442" t="str">
        <f t="shared" si="155"/>
        <v>Tuesday</v>
      </c>
      <c r="L1442">
        <f t="shared" si="158"/>
        <v>0</v>
      </c>
    </row>
    <row r="1443" spans="1:12" x14ac:dyDescent="0.25">
      <c r="A1443">
        <v>206001231</v>
      </c>
      <c r="B1443" s="1">
        <v>44992</v>
      </c>
      <c r="C1443" s="1">
        <v>45077</v>
      </c>
      <c r="D1443" t="s">
        <v>7</v>
      </c>
      <c r="E1443">
        <v>39</v>
      </c>
      <c r="F1443" t="s">
        <v>6</v>
      </c>
      <c r="G1443" s="8">
        <f t="shared" si="156"/>
        <v>85</v>
      </c>
      <c r="H1443">
        <f t="shared" si="157"/>
        <v>3</v>
      </c>
      <c r="I1443" t="str">
        <f t="shared" si="155"/>
        <v>Tuesday</v>
      </c>
      <c r="L1443">
        <f t="shared" si="158"/>
        <v>0</v>
      </c>
    </row>
    <row r="1444" spans="1:12" x14ac:dyDescent="0.25">
      <c r="A1444">
        <v>205878686</v>
      </c>
      <c r="B1444" s="1">
        <v>44992</v>
      </c>
      <c r="C1444" s="1">
        <v>44992</v>
      </c>
      <c r="D1444" t="s">
        <v>7</v>
      </c>
      <c r="E1444">
        <v>39</v>
      </c>
      <c r="F1444" t="s">
        <v>6</v>
      </c>
      <c r="G1444" s="8">
        <f t="shared" si="156"/>
        <v>0</v>
      </c>
      <c r="H1444">
        <f t="shared" si="157"/>
        <v>3</v>
      </c>
      <c r="I1444" t="str">
        <f t="shared" si="155"/>
        <v>Tuesday</v>
      </c>
      <c r="L1444">
        <f t="shared" si="158"/>
        <v>1</v>
      </c>
    </row>
    <row r="1445" spans="1:12" x14ac:dyDescent="0.25">
      <c r="A1445">
        <v>206052140</v>
      </c>
      <c r="B1445" s="1">
        <v>44993</v>
      </c>
      <c r="C1445" s="1">
        <f t="shared" ref="C1445" ca="1" si="161">TODAY()</f>
        <v>45938</v>
      </c>
      <c r="D1445" t="s">
        <v>7</v>
      </c>
      <c r="E1445">
        <v>39</v>
      </c>
      <c r="F1445" t="s">
        <v>6</v>
      </c>
      <c r="G1445" s="8">
        <f t="shared" ca="1" si="156"/>
        <v>945</v>
      </c>
      <c r="H1445">
        <f t="shared" si="157"/>
        <v>4</v>
      </c>
      <c r="I1445" t="str">
        <f t="shared" si="155"/>
        <v>Wednesday</v>
      </c>
      <c r="L1445">
        <f t="shared" ca="1" si="158"/>
        <v>0</v>
      </c>
    </row>
    <row r="1446" spans="1:12" x14ac:dyDescent="0.25">
      <c r="A1446">
        <v>154082747</v>
      </c>
      <c r="B1446" s="1">
        <v>44993</v>
      </c>
      <c r="C1446" s="1">
        <v>44994</v>
      </c>
      <c r="D1446" t="s">
        <v>7</v>
      </c>
      <c r="E1446">
        <v>39</v>
      </c>
      <c r="F1446" t="s">
        <v>6</v>
      </c>
      <c r="G1446" s="8">
        <f t="shared" si="156"/>
        <v>1</v>
      </c>
      <c r="H1446">
        <f t="shared" si="157"/>
        <v>4</v>
      </c>
      <c r="I1446" t="str">
        <f t="shared" si="155"/>
        <v>Wednesday</v>
      </c>
      <c r="L1446">
        <f t="shared" si="158"/>
        <v>1</v>
      </c>
    </row>
    <row r="1447" spans="1:12" x14ac:dyDescent="0.25">
      <c r="A1447">
        <v>206017161</v>
      </c>
      <c r="B1447" s="1">
        <v>44993</v>
      </c>
      <c r="C1447" s="1">
        <v>44994</v>
      </c>
      <c r="D1447" t="s">
        <v>8</v>
      </c>
      <c r="E1447">
        <v>39</v>
      </c>
      <c r="F1447" t="s">
        <v>6</v>
      </c>
      <c r="G1447" s="8">
        <f t="shared" si="156"/>
        <v>1</v>
      </c>
      <c r="H1447">
        <f t="shared" si="157"/>
        <v>4</v>
      </c>
      <c r="I1447" t="str">
        <f t="shared" si="155"/>
        <v>Wednesday</v>
      </c>
      <c r="L1447">
        <f t="shared" si="158"/>
        <v>1</v>
      </c>
    </row>
    <row r="1448" spans="1:12" x14ac:dyDescent="0.25">
      <c r="A1448">
        <v>203152686</v>
      </c>
      <c r="B1448" s="1">
        <v>44993</v>
      </c>
      <c r="C1448" s="1">
        <v>45067</v>
      </c>
      <c r="D1448" t="s">
        <v>7</v>
      </c>
      <c r="E1448">
        <v>39</v>
      </c>
      <c r="F1448" t="s">
        <v>6</v>
      </c>
      <c r="G1448" s="8">
        <f t="shared" si="156"/>
        <v>74</v>
      </c>
      <c r="H1448">
        <f t="shared" si="157"/>
        <v>4</v>
      </c>
      <c r="I1448" t="str">
        <f t="shared" si="155"/>
        <v>Wednesday</v>
      </c>
      <c r="L1448">
        <f t="shared" si="158"/>
        <v>0</v>
      </c>
    </row>
    <row r="1449" spans="1:12" x14ac:dyDescent="0.25">
      <c r="A1449">
        <v>203320717</v>
      </c>
      <c r="B1449" s="1">
        <v>44993</v>
      </c>
      <c r="C1449" s="1">
        <v>45023</v>
      </c>
      <c r="D1449" t="s">
        <v>7</v>
      </c>
      <c r="E1449">
        <v>39</v>
      </c>
      <c r="F1449" t="s">
        <v>6</v>
      </c>
      <c r="G1449" s="8">
        <f t="shared" si="156"/>
        <v>30</v>
      </c>
      <c r="H1449">
        <f t="shared" si="157"/>
        <v>4</v>
      </c>
      <c r="I1449" t="str">
        <f t="shared" si="155"/>
        <v>Wednesday</v>
      </c>
      <c r="L1449">
        <f t="shared" si="158"/>
        <v>0</v>
      </c>
    </row>
    <row r="1450" spans="1:12" x14ac:dyDescent="0.25">
      <c r="A1450">
        <v>206076518</v>
      </c>
      <c r="B1450" s="1">
        <v>44994</v>
      </c>
      <c r="C1450" s="1">
        <f t="shared" ref="C1450" ca="1" si="162">TODAY()</f>
        <v>45938</v>
      </c>
      <c r="D1450" t="s">
        <v>7</v>
      </c>
      <c r="E1450">
        <v>39</v>
      </c>
      <c r="F1450" t="s">
        <v>6</v>
      </c>
      <c r="G1450" s="8">
        <f t="shared" ca="1" si="156"/>
        <v>944</v>
      </c>
      <c r="H1450">
        <f t="shared" si="157"/>
        <v>5</v>
      </c>
      <c r="I1450" t="str">
        <f t="shared" si="155"/>
        <v>Thursday</v>
      </c>
      <c r="L1450">
        <f t="shared" ca="1" si="158"/>
        <v>0</v>
      </c>
    </row>
    <row r="1451" spans="1:12" x14ac:dyDescent="0.25">
      <c r="A1451">
        <v>205881578</v>
      </c>
      <c r="B1451" s="1">
        <v>44994</v>
      </c>
      <c r="C1451" s="1">
        <v>45165</v>
      </c>
      <c r="D1451" t="s">
        <v>7</v>
      </c>
      <c r="E1451">
        <v>39</v>
      </c>
      <c r="F1451" t="s">
        <v>6</v>
      </c>
      <c r="G1451" s="8">
        <f t="shared" si="156"/>
        <v>171</v>
      </c>
      <c r="H1451">
        <f t="shared" si="157"/>
        <v>5</v>
      </c>
      <c r="I1451" t="str">
        <f t="shared" si="155"/>
        <v>Thursday</v>
      </c>
      <c r="L1451">
        <f t="shared" si="158"/>
        <v>0</v>
      </c>
    </row>
    <row r="1452" spans="1:12" x14ac:dyDescent="0.25">
      <c r="A1452">
        <v>152513944</v>
      </c>
      <c r="B1452" s="1">
        <v>44994</v>
      </c>
      <c r="C1452" s="1">
        <v>44995</v>
      </c>
      <c r="D1452" t="s">
        <v>7</v>
      </c>
      <c r="E1452">
        <v>39</v>
      </c>
      <c r="F1452" t="s">
        <v>6</v>
      </c>
      <c r="G1452" s="8">
        <f t="shared" si="156"/>
        <v>1</v>
      </c>
      <c r="H1452">
        <f t="shared" si="157"/>
        <v>5</v>
      </c>
      <c r="I1452" t="str">
        <f t="shared" si="155"/>
        <v>Thursday</v>
      </c>
      <c r="L1452">
        <f t="shared" si="158"/>
        <v>1</v>
      </c>
    </row>
    <row r="1453" spans="1:12" x14ac:dyDescent="0.25">
      <c r="A1453">
        <v>132371176</v>
      </c>
      <c r="B1453" s="1">
        <v>44994</v>
      </c>
      <c r="C1453" s="1">
        <v>44995</v>
      </c>
      <c r="D1453" t="s">
        <v>8</v>
      </c>
      <c r="E1453">
        <v>39</v>
      </c>
      <c r="F1453" t="s">
        <v>6</v>
      </c>
      <c r="G1453" s="8">
        <f t="shared" si="156"/>
        <v>1</v>
      </c>
      <c r="H1453">
        <f t="shared" si="157"/>
        <v>5</v>
      </c>
      <c r="I1453" t="str">
        <f t="shared" si="155"/>
        <v>Thursday</v>
      </c>
      <c r="L1453">
        <f t="shared" si="158"/>
        <v>1</v>
      </c>
    </row>
    <row r="1454" spans="1:12" x14ac:dyDescent="0.25">
      <c r="A1454">
        <v>135092264</v>
      </c>
      <c r="B1454" s="1">
        <v>44994</v>
      </c>
      <c r="C1454" s="1">
        <v>45118</v>
      </c>
      <c r="D1454" t="s">
        <v>7</v>
      </c>
      <c r="E1454">
        <v>39</v>
      </c>
      <c r="F1454" t="s">
        <v>6</v>
      </c>
      <c r="G1454" s="8">
        <f t="shared" si="156"/>
        <v>124</v>
      </c>
      <c r="H1454">
        <f t="shared" si="157"/>
        <v>5</v>
      </c>
      <c r="I1454" t="str">
        <f t="shared" si="155"/>
        <v>Thursday</v>
      </c>
      <c r="L1454">
        <f t="shared" si="158"/>
        <v>0</v>
      </c>
    </row>
    <row r="1455" spans="1:12" x14ac:dyDescent="0.25">
      <c r="A1455">
        <v>151297084</v>
      </c>
      <c r="B1455" s="1">
        <v>44994</v>
      </c>
      <c r="C1455" s="1">
        <v>45071</v>
      </c>
      <c r="D1455" t="s">
        <v>7</v>
      </c>
      <c r="E1455">
        <v>39</v>
      </c>
      <c r="F1455" t="s">
        <v>6</v>
      </c>
      <c r="G1455" s="8">
        <f t="shared" si="156"/>
        <v>77</v>
      </c>
      <c r="H1455">
        <f t="shared" si="157"/>
        <v>5</v>
      </c>
      <c r="I1455" t="str">
        <f t="shared" si="155"/>
        <v>Thursday</v>
      </c>
      <c r="L1455">
        <f t="shared" si="158"/>
        <v>0</v>
      </c>
    </row>
    <row r="1456" spans="1:12" x14ac:dyDescent="0.25">
      <c r="A1456">
        <v>167010855</v>
      </c>
      <c r="B1456" s="1">
        <v>44994</v>
      </c>
      <c r="C1456" s="1">
        <v>45085</v>
      </c>
      <c r="D1456" t="s">
        <v>7</v>
      </c>
      <c r="E1456">
        <v>39</v>
      </c>
      <c r="F1456" t="s">
        <v>6</v>
      </c>
      <c r="G1456" s="8">
        <f t="shared" si="156"/>
        <v>91</v>
      </c>
      <c r="H1456">
        <f t="shared" si="157"/>
        <v>5</v>
      </c>
      <c r="I1456" t="str">
        <f t="shared" si="155"/>
        <v>Thursday</v>
      </c>
      <c r="L1456">
        <f t="shared" si="158"/>
        <v>0</v>
      </c>
    </row>
    <row r="1457" spans="1:12" x14ac:dyDescent="0.25">
      <c r="A1457">
        <v>206122788</v>
      </c>
      <c r="B1457" s="1">
        <v>44994</v>
      </c>
      <c r="C1457" s="1">
        <v>45093</v>
      </c>
      <c r="D1457" t="s">
        <v>7</v>
      </c>
      <c r="E1457">
        <v>39</v>
      </c>
      <c r="F1457" t="s">
        <v>6</v>
      </c>
      <c r="G1457" s="8">
        <f t="shared" si="156"/>
        <v>99</v>
      </c>
      <c r="H1457">
        <f t="shared" si="157"/>
        <v>5</v>
      </c>
      <c r="I1457" t="str">
        <f t="shared" si="155"/>
        <v>Thursday</v>
      </c>
      <c r="L1457">
        <f t="shared" si="158"/>
        <v>0</v>
      </c>
    </row>
    <row r="1458" spans="1:12" x14ac:dyDescent="0.25">
      <c r="A1458">
        <v>158439764</v>
      </c>
      <c r="B1458" s="1">
        <v>44994</v>
      </c>
      <c r="C1458" s="1">
        <v>45047</v>
      </c>
      <c r="D1458" t="s">
        <v>7</v>
      </c>
      <c r="E1458">
        <v>39</v>
      </c>
      <c r="F1458" t="s">
        <v>6</v>
      </c>
      <c r="G1458" s="8">
        <f t="shared" si="156"/>
        <v>53</v>
      </c>
      <c r="H1458">
        <f t="shared" si="157"/>
        <v>5</v>
      </c>
      <c r="I1458" t="str">
        <f t="shared" si="155"/>
        <v>Thursday</v>
      </c>
      <c r="L1458">
        <f t="shared" si="158"/>
        <v>0</v>
      </c>
    </row>
    <row r="1459" spans="1:12" x14ac:dyDescent="0.25">
      <c r="A1459">
        <v>136723151</v>
      </c>
      <c r="B1459" s="1">
        <v>44994</v>
      </c>
      <c r="C1459" s="1">
        <v>45023</v>
      </c>
      <c r="D1459" t="s">
        <v>7</v>
      </c>
      <c r="E1459">
        <v>39</v>
      </c>
      <c r="F1459" t="s">
        <v>6</v>
      </c>
      <c r="G1459" s="8">
        <f t="shared" si="156"/>
        <v>29</v>
      </c>
      <c r="H1459">
        <f t="shared" si="157"/>
        <v>5</v>
      </c>
      <c r="I1459" t="str">
        <f t="shared" si="155"/>
        <v>Thursday</v>
      </c>
      <c r="L1459">
        <f t="shared" si="158"/>
        <v>0</v>
      </c>
    </row>
    <row r="1460" spans="1:12" x14ac:dyDescent="0.25">
      <c r="A1460">
        <v>205875358</v>
      </c>
      <c r="B1460" s="1">
        <v>44994</v>
      </c>
      <c r="C1460" s="1">
        <v>45038</v>
      </c>
      <c r="D1460" t="s">
        <v>7</v>
      </c>
      <c r="E1460">
        <v>39</v>
      </c>
      <c r="F1460" t="s">
        <v>6</v>
      </c>
      <c r="G1460" s="8">
        <f t="shared" si="156"/>
        <v>44</v>
      </c>
      <c r="H1460">
        <f t="shared" si="157"/>
        <v>5</v>
      </c>
      <c r="I1460" t="str">
        <f t="shared" si="155"/>
        <v>Thursday</v>
      </c>
      <c r="L1460">
        <f t="shared" si="158"/>
        <v>0</v>
      </c>
    </row>
    <row r="1461" spans="1:12" x14ac:dyDescent="0.25">
      <c r="A1461">
        <v>206082900</v>
      </c>
      <c r="B1461" s="1">
        <v>44994</v>
      </c>
      <c r="C1461" s="1">
        <v>45139</v>
      </c>
      <c r="D1461" t="s">
        <v>7</v>
      </c>
      <c r="E1461">
        <v>39</v>
      </c>
      <c r="F1461" t="s">
        <v>6</v>
      </c>
      <c r="G1461" s="8">
        <f t="shared" si="156"/>
        <v>145</v>
      </c>
      <c r="H1461">
        <f t="shared" si="157"/>
        <v>5</v>
      </c>
      <c r="I1461" t="str">
        <f t="shared" si="155"/>
        <v>Thursday</v>
      </c>
      <c r="L1461">
        <f t="shared" si="158"/>
        <v>0</v>
      </c>
    </row>
    <row r="1462" spans="1:12" x14ac:dyDescent="0.25">
      <c r="A1462">
        <v>206139451</v>
      </c>
      <c r="B1462" s="1">
        <v>44995</v>
      </c>
      <c r="C1462" s="1">
        <f t="shared" ref="C1462:C1463" ca="1" si="163">TODAY()</f>
        <v>45938</v>
      </c>
      <c r="D1462" t="s">
        <v>7</v>
      </c>
      <c r="E1462">
        <v>39</v>
      </c>
      <c r="F1462" t="s">
        <v>6</v>
      </c>
      <c r="G1462" s="8">
        <f t="shared" ca="1" si="156"/>
        <v>943</v>
      </c>
      <c r="H1462">
        <f t="shared" si="157"/>
        <v>6</v>
      </c>
      <c r="I1462" t="str">
        <f t="shared" si="155"/>
        <v>Friday</v>
      </c>
      <c r="L1462">
        <f t="shared" ca="1" si="158"/>
        <v>0</v>
      </c>
    </row>
    <row r="1463" spans="1:12" x14ac:dyDescent="0.25">
      <c r="A1463">
        <v>206196328</v>
      </c>
      <c r="B1463" s="1">
        <v>44995</v>
      </c>
      <c r="C1463" s="1">
        <f t="shared" ca="1" si="163"/>
        <v>45938</v>
      </c>
      <c r="D1463" t="s">
        <v>7</v>
      </c>
      <c r="E1463">
        <v>39</v>
      </c>
      <c r="F1463" t="s">
        <v>6</v>
      </c>
      <c r="G1463" s="8">
        <f t="shared" ca="1" si="156"/>
        <v>943</v>
      </c>
      <c r="H1463">
        <f t="shared" si="157"/>
        <v>6</v>
      </c>
      <c r="I1463" t="str">
        <f t="shared" si="155"/>
        <v>Friday</v>
      </c>
      <c r="L1463">
        <f t="shared" ca="1" si="158"/>
        <v>0</v>
      </c>
    </row>
    <row r="1464" spans="1:12" x14ac:dyDescent="0.25">
      <c r="A1464">
        <v>201122030</v>
      </c>
      <c r="B1464" s="1">
        <v>44995</v>
      </c>
      <c r="C1464" s="1">
        <v>45082</v>
      </c>
      <c r="D1464" t="s">
        <v>7</v>
      </c>
      <c r="E1464">
        <v>39</v>
      </c>
      <c r="F1464" t="s">
        <v>6</v>
      </c>
      <c r="G1464" s="8">
        <f t="shared" si="156"/>
        <v>87</v>
      </c>
      <c r="H1464">
        <f t="shared" si="157"/>
        <v>6</v>
      </c>
      <c r="I1464" t="str">
        <f t="shared" si="155"/>
        <v>Friday</v>
      </c>
      <c r="L1464">
        <f t="shared" si="158"/>
        <v>0</v>
      </c>
    </row>
    <row r="1465" spans="1:12" x14ac:dyDescent="0.25">
      <c r="A1465">
        <v>156218152</v>
      </c>
      <c r="B1465" s="1">
        <v>44995</v>
      </c>
      <c r="C1465" s="1">
        <v>45086</v>
      </c>
      <c r="D1465" t="s">
        <v>7</v>
      </c>
      <c r="E1465">
        <v>39</v>
      </c>
      <c r="F1465" t="s">
        <v>6</v>
      </c>
      <c r="G1465" s="8">
        <f t="shared" si="156"/>
        <v>91</v>
      </c>
      <c r="H1465">
        <f t="shared" si="157"/>
        <v>6</v>
      </c>
      <c r="I1465" t="str">
        <f t="shared" si="155"/>
        <v>Friday</v>
      </c>
      <c r="L1465">
        <f t="shared" si="158"/>
        <v>0</v>
      </c>
    </row>
    <row r="1466" spans="1:12" x14ac:dyDescent="0.25">
      <c r="A1466">
        <v>162718092</v>
      </c>
      <c r="B1466" s="1">
        <v>44995</v>
      </c>
      <c r="C1466" s="1">
        <v>45056</v>
      </c>
      <c r="D1466" t="s">
        <v>7</v>
      </c>
      <c r="E1466">
        <v>39</v>
      </c>
      <c r="F1466" t="s">
        <v>6</v>
      </c>
      <c r="G1466" s="8">
        <f t="shared" si="156"/>
        <v>61</v>
      </c>
      <c r="H1466">
        <f t="shared" si="157"/>
        <v>6</v>
      </c>
      <c r="I1466" t="str">
        <f t="shared" si="155"/>
        <v>Friday</v>
      </c>
      <c r="L1466">
        <f t="shared" si="158"/>
        <v>0</v>
      </c>
    </row>
    <row r="1467" spans="1:12" x14ac:dyDescent="0.25">
      <c r="A1467">
        <v>174606946</v>
      </c>
      <c r="B1467" s="1">
        <v>44995</v>
      </c>
      <c r="C1467" s="1">
        <v>45055</v>
      </c>
      <c r="D1467" t="s">
        <v>7</v>
      </c>
      <c r="E1467">
        <v>39</v>
      </c>
      <c r="F1467" t="s">
        <v>6</v>
      </c>
      <c r="G1467" s="8">
        <f t="shared" si="156"/>
        <v>60</v>
      </c>
      <c r="H1467">
        <f t="shared" si="157"/>
        <v>6</v>
      </c>
      <c r="I1467" t="str">
        <f t="shared" si="155"/>
        <v>Friday</v>
      </c>
      <c r="L1467">
        <f t="shared" si="158"/>
        <v>0</v>
      </c>
    </row>
    <row r="1468" spans="1:12" x14ac:dyDescent="0.25">
      <c r="A1468">
        <v>206159331</v>
      </c>
      <c r="B1468" s="1">
        <v>44995</v>
      </c>
      <c r="C1468" s="1">
        <v>45010</v>
      </c>
      <c r="D1468" t="s">
        <v>7</v>
      </c>
      <c r="E1468">
        <v>39</v>
      </c>
      <c r="F1468" t="s">
        <v>6</v>
      </c>
      <c r="G1468" s="8">
        <f t="shared" si="156"/>
        <v>15</v>
      </c>
      <c r="H1468">
        <f t="shared" si="157"/>
        <v>6</v>
      </c>
      <c r="I1468" t="str">
        <f t="shared" si="155"/>
        <v>Friday</v>
      </c>
      <c r="L1468">
        <f t="shared" si="158"/>
        <v>0</v>
      </c>
    </row>
    <row r="1469" spans="1:12" x14ac:dyDescent="0.25">
      <c r="A1469">
        <v>206272716</v>
      </c>
      <c r="B1469" s="1">
        <v>44996</v>
      </c>
      <c r="C1469" s="1">
        <f t="shared" ref="C1469" ca="1" si="164">TODAY()</f>
        <v>45938</v>
      </c>
      <c r="D1469" t="s">
        <v>7</v>
      </c>
      <c r="E1469">
        <v>39</v>
      </c>
      <c r="F1469" t="s">
        <v>6</v>
      </c>
      <c r="G1469" s="8">
        <f t="shared" ca="1" si="156"/>
        <v>942</v>
      </c>
      <c r="H1469">
        <f t="shared" si="157"/>
        <v>7</v>
      </c>
      <c r="I1469" t="str">
        <f t="shared" si="155"/>
        <v>Saturday</v>
      </c>
      <c r="L1469">
        <f t="shared" ca="1" si="158"/>
        <v>0</v>
      </c>
    </row>
    <row r="1470" spans="1:12" x14ac:dyDescent="0.25">
      <c r="A1470">
        <v>138104184</v>
      </c>
      <c r="B1470" s="1">
        <v>44996</v>
      </c>
      <c r="C1470" s="1">
        <v>45176</v>
      </c>
      <c r="D1470" t="s">
        <v>7</v>
      </c>
      <c r="E1470">
        <v>39</v>
      </c>
      <c r="F1470" t="s">
        <v>6</v>
      </c>
      <c r="G1470" s="8">
        <f t="shared" si="156"/>
        <v>180</v>
      </c>
      <c r="H1470">
        <f t="shared" si="157"/>
        <v>7</v>
      </c>
      <c r="I1470" t="str">
        <f t="shared" si="155"/>
        <v>Saturday</v>
      </c>
      <c r="L1470">
        <f t="shared" si="158"/>
        <v>0</v>
      </c>
    </row>
    <row r="1471" spans="1:12" x14ac:dyDescent="0.25">
      <c r="A1471">
        <v>168264884</v>
      </c>
      <c r="B1471" s="1">
        <v>44996</v>
      </c>
      <c r="C1471" s="1">
        <v>45056</v>
      </c>
      <c r="D1471" t="s">
        <v>7</v>
      </c>
      <c r="E1471">
        <v>39</v>
      </c>
      <c r="F1471" t="s">
        <v>6</v>
      </c>
      <c r="G1471" s="8">
        <f t="shared" si="156"/>
        <v>60</v>
      </c>
      <c r="H1471">
        <f t="shared" si="157"/>
        <v>7</v>
      </c>
      <c r="I1471" t="str">
        <f t="shared" si="155"/>
        <v>Saturday</v>
      </c>
      <c r="L1471">
        <f t="shared" si="158"/>
        <v>0</v>
      </c>
    </row>
    <row r="1472" spans="1:12" x14ac:dyDescent="0.25">
      <c r="A1472">
        <v>153200640</v>
      </c>
      <c r="B1472" s="1">
        <v>44996</v>
      </c>
      <c r="C1472" s="1">
        <v>45028</v>
      </c>
      <c r="D1472" t="s">
        <v>7</v>
      </c>
      <c r="E1472">
        <v>39</v>
      </c>
      <c r="F1472" t="s">
        <v>6</v>
      </c>
      <c r="G1472" s="8">
        <f t="shared" si="156"/>
        <v>32</v>
      </c>
      <c r="H1472">
        <f t="shared" si="157"/>
        <v>7</v>
      </c>
      <c r="I1472" t="str">
        <f t="shared" si="155"/>
        <v>Saturday</v>
      </c>
      <c r="L1472">
        <f t="shared" si="158"/>
        <v>0</v>
      </c>
    </row>
    <row r="1473" spans="1:12" x14ac:dyDescent="0.25">
      <c r="A1473">
        <v>206251362</v>
      </c>
      <c r="B1473" s="1">
        <v>44996</v>
      </c>
      <c r="C1473" s="1">
        <v>45034</v>
      </c>
      <c r="D1473" t="s">
        <v>7</v>
      </c>
      <c r="E1473">
        <v>39</v>
      </c>
      <c r="F1473" t="s">
        <v>6</v>
      </c>
      <c r="G1473" s="8">
        <f t="shared" si="156"/>
        <v>38</v>
      </c>
      <c r="H1473">
        <f t="shared" si="157"/>
        <v>7</v>
      </c>
      <c r="I1473" t="str">
        <f t="shared" si="155"/>
        <v>Saturday</v>
      </c>
      <c r="L1473">
        <f t="shared" si="158"/>
        <v>0</v>
      </c>
    </row>
    <row r="1474" spans="1:12" x14ac:dyDescent="0.25">
      <c r="A1474">
        <v>192386902</v>
      </c>
      <c r="B1474" s="1">
        <v>44996</v>
      </c>
      <c r="C1474" s="1">
        <v>45034</v>
      </c>
      <c r="D1474" t="s">
        <v>7</v>
      </c>
      <c r="E1474">
        <v>39</v>
      </c>
      <c r="F1474" t="s">
        <v>6</v>
      </c>
      <c r="G1474" s="8">
        <f t="shared" si="156"/>
        <v>38</v>
      </c>
      <c r="H1474">
        <f t="shared" si="157"/>
        <v>7</v>
      </c>
      <c r="I1474" t="str">
        <f t="shared" ref="I1474:I1537" si="165">TEXT(B1474,"DDDD")</f>
        <v>Saturday</v>
      </c>
      <c r="L1474">
        <f t="shared" si="158"/>
        <v>0</v>
      </c>
    </row>
    <row r="1475" spans="1:12" x14ac:dyDescent="0.25">
      <c r="A1475">
        <v>205851263</v>
      </c>
      <c r="B1475" s="1">
        <v>44996</v>
      </c>
      <c r="C1475" s="1">
        <v>44999</v>
      </c>
      <c r="D1475" t="s">
        <v>7</v>
      </c>
      <c r="E1475">
        <v>39</v>
      </c>
      <c r="F1475" t="s">
        <v>6</v>
      </c>
      <c r="G1475" s="8">
        <f t="shared" ref="G1475:G1538" si="166">IFERROR(DATEDIF(B1475,C1475,"D"),"0")</f>
        <v>3</v>
      </c>
      <c r="H1475">
        <f t="shared" ref="H1475:H1538" si="167">WEEKDAY(B1475,1)</f>
        <v>7</v>
      </c>
      <c r="I1475" t="str">
        <f t="shared" si="165"/>
        <v>Saturday</v>
      </c>
      <c r="L1475">
        <f t="shared" ref="L1475:L1538" si="168">IF( OR($G1475=0,$G1475 = 1, $G1475 = 2), 1, 0 )</f>
        <v>0</v>
      </c>
    </row>
    <row r="1476" spans="1:12" x14ac:dyDescent="0.25">
      <c r="A1476">
        <v>197873706</v>
      </c>
      <c r="B1476" s="1">
        <v>44997</v>
      </c>
      <c r="C1476" s="1">
        <v>45150</v>
      </c>
      <c r="D1476" t="s">
        <v>7</v>
      </c>
      <c r="E1476">
        <v>39</v>
      </c>
      <c r="F1476" t="s">
        <v>6</v>
      </c>
      <c r="G1476" s="8">
        <f t="shared" si="166"/>
        <v>153</v>
      </c>
      <c r="H1476">
        <f t="shared" si="167"/>
        <v>1</v>
      </c>
      <c r="I1476" t="str">
        <f t="shared" si="165"/>
        <v>Sunday</v>
      </c>
      <c r="L1476">
        <f t="shared" si="168"/>
        <v>0</v>
      </c>
    </row>
    <row r="1477" spans="1:12" x14ac:dyDescent="0.25">
      <c r="A1477">
        <v>206284048</v>
      </c>
      <c r="B1477" s="1">
        <v>44997</v>
      </c>
      <c r="C1477" s="1">
        <v>45003</v>
      </c>
      <c r="D1477" t="s">
        <v>7</v>
      </c>
      <c r="E1477">
        <v>39</v>
      </c>
      <c r="F1477" t="s">
        <v>6</v>
      </c>
      <c r="G1477" s="8">
        <f t="shared" si="166"/>
        <v>6</v>
      </c>
      <c r="H1477">
        <f t="shared" si="167"/>
        <v>1</v>
      </c>
      <c r="I1477" t="str">
        <f t="shared" si="165"/>
        <v>Sunday</v>
      </c>
      <c r="L1477">
        <f t="shared" si="168"/>
        <v>0</v>
      </c>
    </row>
    <row r="1478" spans="1:12" x14ac:dyDescent="0.25">
      <c r="A1478">
        <v>149761545</v>
      </c>
      <c r="B1478" s="1">
        <v>44997</v>
      </c>
      <c r="C1478" s="1">
        <v>45131</v>
      </c>
      <c r="D1478" t="s">
        <v>7</v>
      </c>
      <c r="E1478">
        <v>39</v>
      </c>
      <c r="F1478" t="s">
        <v>6</v>
      </c>
      <c r="G1478" s="8">
        <f t="shared" si="166"/>
        <v>134</v>
      </c>
      <c r="H1478">
        <f t="shared" si="167"/>
        <v>1</v>
      </c>
      <c r="I1478" t="str">
        <f t="shared" si="165"/>
        <v>Sunday</v>
      </c>
      <c r="L1478">
        <f t="shared" si="168"/>
        <v>0</v>
      </c>
    </row>
    <row r="1479" spans="1:12" x14ac:dyDescent="0.25">
      <c r="A1479">
        <v>155010717</v>
      </c>
      <c r="B1479" s="1">
        <v>44998</v>
      </c>
      <c r="C1479" s="1">
        <v>45077</v>
      </c>
      <c r="D1479" t="s">
        <v>7</v>
      </c>
      <c r="E1479">
        <v>39</v>
      </c>
      <c r="F1479" t="s">
        <v>6</v>
      </c>
      <c r="G1479" s="8">
        <f t="shared" si="166"/>
        <v>79</v>
      </c>
      <c r="H1479">
        <f t="shared" si="167"/>
        <v>2</v>
      </c>
      <c r="I1479" t="str">
        <f t="shared" si="165"/>
        <v>Monday</v>
      </c>
      <c r="L1479">
        <f t="shared" si="168"/>
        <v>0</v>
      </c>
    </row>
    <row r="1480" spans="1:12" x14ac:dyDescent="0.25">
      <c r="A1480">
        <v>151407531</v>
      </c>
      <c r="B1480" s="1">
        <v>44998</v>
      </c>
      <c r="C1480" s="1">
        <v>45028</v>
      </c>
      <c r="D1480" t="s">
        <v>7</v>
      </c>
      <c r="E1480">
        <v>39</v>
      </c>
      <c r="F1480" t="s">
        <v>6</v>
      </c>
      <c r="G1480" s="8">
        <f t="shared" si="166"/>
        <v>30</v>
      </c>
      <c r="H1480">
        <f t="shared" si="167"/>
        <v>2</v>
      </c>
      <c r="I1480" t="str">
        <f t="shared" si="165"/>
        <v>Monday</v>
      </c>
      <c r="L1480">
        <f t="shared" si="168"/>
        <v>0</v>
      </c>
    </row>
    <row r="1481" spans="1:12" x14ac:dyDescent="0.25">
      <c r="A1481">
        <v>206407796</v>
      </c>
      <c r="B1481" s="1">
        <v>44998</v>
      </c>
      <c r="C1481" s="1">
        <v>45058</v>
      </c>
      <c r="D1481" t="s">
        <v>7</v>
      </c>
      <c r="E1481">
        <v>39</v>
      </c>
      <c r="F1481" t="s">
        <v>6</v>
      </c>
      <c r="G1481" s="8">
        <f t="shared" si="166"/>
        <v>60</v>
      </c>
      <c r="H1481">
        <f t="shared" si="167"/>
        <v>2</v>
      </c>
      <c r="I1481" t="str">
        <f t="shared" si="165"/>
        <v>Monday</v>
      </c>
      <c r="L1481">
        <f t="shared" si="168"/>
        <v>0</v>
      </c>
    </row>
    <row r="1482" spans="1:12" x14ac:dyDescent="0.25">
      <c r="A1482">
        <v>206247835</v>
      </c>
      <c r="B1482" s="1">
        <v>44998</v>
      </c>
      <c r="C1482" s="1">
        <v>45071</v>
      </c>
      <c r="D1482" t="s">
        <v>7</v>
      </c>
      <c r="E1482">
        <v>39</v>
      </c>
      <c r="F1482" t="s">
        <v>6</v>
      </c>
      <c r="G1482" s="8">
        <f t="shared" si="166"/>
        <v>73</v>
      </c>
      <c r="H1482">
        <f t="shared" si="167"/>
        <v>2</v>
      </c>
      <c r="I1482" t="str">
        <f t="shared" si="165"/>
        <v>Monday</v>
      </c>
      <c r="L1482">
        <f t="shared" si="168"/>
        <v>0</v>
      </c>
    </row>
    <row r="1483" spans="1:12" x14ac:dyDescent="0.25">
      <c r="A1483">
        <v>206382927</v>
      </c>
      <c r="B1483" s="1">
        <v>44998</v>
      </c>
      <c r="C1483" s="1">
        <v>45070</v>
      </c>
      <c r="D1483" t="s">
        <v>7</v>
      </c>
      <c r="E1483">
        <v>39</v>
      </c>
      <c r="F1483" t="s">
        <v>6</v>
      </c>
      <c r="G1483" s="8">
        <f t="shared" si="166"/>
        <v>72</v>
      </c>
      <c r="H1483">
        <f t="shared" si="167"/>
        <v>2</v>
      </c>
      <c r="I1483" t="str">
        <f t="shared" si="165"/>
        <v>Monday</v>
      </c>
      <c r="L1483">
        <f t="shared" si="168"/>
        <v>0</v>
      </c>
    </row>
    <row r="1484" spans="1:12" x14ac:dyDescent="0.25">
      <c r="A1484">
        <v>206147500</v>
      </c>
      <c r="B1484" s="1">
        <v>44998</v>
      </c>
      <c r="C1484" s="1">
        <v>45064</v>
      </c>
      <c r="D1484" t="s">
        <v>7</v>
      </c>
      <c r="E1484">
        <v>39</v>
      </c>
      <c r="F1484" t="s">
        <v>6</v>
      </c>
      <c r="G1484" s="8">
        <f t="shared" si="166"/>
        <v>66</v>
      </c>
      <c r="H1484">
        <f t="shared" si="167"/>
        <v>2</v>
      </c>
      <c r="I1484" t="str">
        <f t="shared" si="165"/>
        <v>Monday</v>
      </c>
      <c r="L1484">
        <f t="shared" si="168"/>
        <v>0</v>
      </c>
    </row>
    <row r="1485" spans="1:12" x14ac:dyDescent="0.25">
      <c r="A1485">
        <v>206330714</v>
      </c>
      <c r="B1485" s="1">
        <v>44998</v>
      </c>
      <c r="C1485" s="1">
        <v>45023</v>
      </c>
      <c r="D1485" t="s">
        <v>7</v>
      </c>
      <c r="E1485">
        <v>39</v>
      </c>
      <c r="F1485" t="s">
        <v>6</v>
      </c>
      <c r="G1485" s="8">
        <f t="shared" si="166"/>
        <v>25</v>
      </c>
      <c r="H1485">
        <f t="shared" si="167"/>
        <v>2</v>
      </c>
      <c r="I1485" t="str">
        <f t="shared" si="165"/>
        <v>Monday</v>
      </c>
      <c r="L1485">
        <f t="shared" si="168"/>
        <v>0</v>
      </c>
    </row>
    <row r="1486" spans="1:12" x14ac:dyDescent="0.25">
      <c r="A1486">
        <v>206121650</v>
      </c>
      <c r="B1486" s="1">
        <v>44998</v>
      </c>
      <c r="C1486" s="1">
        <v>45025</v>
      </c>
      <c r="D1486" t="s">
        <v>7</v>
      </c>
      <c r="E1486">
        <v>39</v>
      </c>
      <c r="F1486" t="s">
        <v>6</v>
      </c>
      <c r="G1486" s="8">
        <f t="shared" si="166"/>
        <v>27</v>
      </c>
      <c r="H1486">
        <f t="shared" si="167"/>
        <v>2</v>
      </c>
      <c r="I1486" t="str">
        <f t="shared" si="165"/>
        <v>Monday</v>
      </c>
      <c r="L1486">
        <f t="shared" si="168"/>
        <v>0</v>
      </c>
    </row>
    <row r="1487" spans="1:12" x14ac:dyDescent="0.25">
      <c r="A1487">
        <v>182504578</v>
      </c>
      <c r="B1487" s="1">
        <v>44998</v>
      </c>
      <c r="C1487" s="1">
        <v>45036</v>
      </c>
      <c r="D1487" t="s">
        <v>7</v>
      </c>
      <c r="E1487">
        <v>39</v>
      </c>
      <c r="F1487" t="s">
        <v>6</v>
      </c>
      <c r="G1487" s="8">
        <f t="shared" si="166"/>
        <v>38</v>
      </c>
      <c r="H1487">
        <f t="shared" si="167"/>
        <v>2</v>
      </c>
      <c r="I1487" t="str">
        <f t="shared" si="165"/>
        <v>Monday</v>
      </c>
      <c r="L1487">
        <f t="shared" si="168"/>
        <v>0</v>
      </c>
    </row>
    <row r="1488" spans="1:12" x14ac:dyDescent="0.25">
      <c r="A1488">
        <v>204362311</v>
      </c>
      <c r="B1488" s="1">
        <v>44998</v>
      </c>
      <c r="C1488" s="1">
        <v>45091</v>
      </c>
      <c r="D1488" t="s">
        <v>7</v>
      </c>
      <c r="E1488">
        <v>39</v>
      </c>
      <c r="F1488" t="s">
        <v>6</v>
      </c>
      <c r="G1488" s="8">
        <f t="shared" si="166"/>
        <v>93</v>
      </c>
      <c r="H1488">
        <f t="shared" si="167"/>
        <v>2</v>
      </c>
      <c r="I1488" t="str">
        <f t="shared" si="165"/>
        <v>Monday</v>
      </c>
      <c r="L1488">
        <f t="shared" si="168"/>
        <v>0</v>
      </c>
    </row>
    <row r="1489" spans="1:12" x14ac:dyDescent="0.25">
      <c r="A1489">
        <v>206504573</v>
      </c>
      <c r="B1489" s="1">
        <v>44999</v>
      </c>
      <c r="C1489" s="1">
        <f t="shared" ref="C1489:C1492" ca="1" si="169">TODAY()</f>
        <v>45938</v>
      </c>
      <c r="D1489" t="s">
        <v>7</v>
      </c>
      <c r="E1489">
        <v>39</v>
      </c>
      <c r="F1489" t="s">
        <v>6</v>
      </c>
      <c r="G1489" s="8">
        <f t="shared" ca="1" si="166"/>
        <v>939</v>
      </c>
      <c r="H1489">
        <f t="shared" si="167"/>
        <v>3</v>
      </c>
      <c r="I1489" t="str">
        <f t="shared" si="165"/>
        <v>Tuesday</v>
      </c>
      <c r="L1489">
        <f t="shared" ca="1" si="168"/>
        <v>0</v>
      </c>
    </row>
    <row r="1490" spans="1:12" x14ac:dyDescent="0.25">
      <c r="A1490">
        <v>206490851</v>
      </c>
      <c r="B1490" s="1">
        <v>44999</v>
      </c>
      <c r="C1490" s="1">
        <f t="shared" ca="1" si="169"/>
        <v>45938</v>
      </c>
      <c r="D1490" t="s">
        <v>7</v>
      </c>
      <c r="E1490">
        <v>39</v>
      </c>
      <c r="F1490" t="s">
        <v>6</v>
      </c>
      <c r="G1490" s="8">
        <f t="shared" ca="1" si="166"/>
        <v>939</v>
      </c>
      <c r="H1490">
        <f t="shared" si="167"/>
        <v>3</v>
      </c>
      <c r="I1490" t="str">
        <f t="shared" si="165"/>
        <v>Tuesday</v>
      </c>
      <c r="L1490">
        <f t="shared" ca="1" si="168"/>
        <v>0</v>
      </c>
    </row>
    <row r="1491" spans="1:12" x14ac:dyDescent="0.25">
      <c r="A1491">
        <v>206468868</v>
      </c>
      <c r="B1491" s="1">
        <v>44999</v>
      </c>
      <c r="C1491" s="1">
        <f t="shared" ca="1" si="169"/>
        <v>45938</v>
      </c>
      <c r="D1491" t="s">
        <v>7</v>
      </c>
      <c r="E1491">
        <v>39</v>
      </c>
      <c r="F1491" t="s">
        <v>6</v>
      </c>
      <c r="G1491" s="8">
        <f t="shared" ca="1" si="166"/>
        <v>939</v>
      </c>
      <c r="H1491">
        <f t="shared" si="167"/>
        <v>3</v>
      </c>
      <c r="I1491" t="str">
        <f t="shared" si="165"/>
        <v>Tuesday</v>
      </c>
      <c r="L1491">
        <f t="shared" ca="1" si="168"/>
        <v>0</v>
      </c>
    </row>
    <row r="1492" spans="1:12" x14ac:dyDescent="0.25">
      <c r="A1492">
        <v>206316124</v>
      </c>
      <c r="B1492" s="1">
        <v>44999</v>
      </c>
      <c r="C1492" s="1">
        <f t="shared" ca="1" si="169"/>
        <v>45938</v>
      </c>
      <c r="D1492" t="s">
        <v>7</v>
      </c>
      <c r="E1492">
        <v>39</v>
      </c>
      <c r="F1492" t="s">
        <v>6</v>
      </c>
      <c r="G1492" s="8">
        <f t="shared" ca="1" si="166"/>
        <v>939</v>
      </c>
      <c r="H1492">
        <f t="shared" si="167"/>
        <v>3</v>
      </c>
      <c r="I1492" t="str">
        <f t="shared" si="165"/>
        <v>Tuesday</v>
      </c>
      <c r="L1492">
        <f t="shared" ca="1" si="168"/>
        <v>0</v>
      </c>
    </row>
    <row r="1493" spans="1:12" x14ac:dyDescent="0.25">
      <c r="A1493">
        <v>203404034</v>
      </c>
      <c r="B1493" s="1">
        <v>44999</v>
      </c>
      <c r="C1493" s="1">
        <v>45099</v>
      </c>
      <c r="D1493" t="s">
        <v>7</v>
      </c>
      <c r="E1493">
        <v>39</v>
      </c>
      <c r="F1493" t="s">
        <v>6</v>
      </c>
      <c r="G1493" s="8">
        <f t="shared" si="166"/>
        <v>100</v>
      </c>
      <c r="H1493">
        <f t="shared" si="167"/>
        <v>3</v>
      </c>
      <c r="I1493" t="str">
        <f t="shared" si="165"/>
        <v>Tuesday</v>
      </c>
      <c r="L1493">
        <f t="shared" si="168"/>
        <v>0</v>
      </c>
    </row>
    <row r="1494" spans="1:12" x14ac:dyDescent="0.25">
      <c r="A1494">
        <v>206284545</v>
      </c>
      <c r="B1494" s="1">
        <v>44999</v>
      </c>
      <c r="C1494" s="1">
        <v>45080</v>
      </c>
      <c r="D1494" t="s">
        <v>7</v>
      </c>
      <c r="E1494">
        <v>39</v>
      </c>
      <c r="F1494" t="s">
        <v>6</v>
      </c>
      <c r="G1494" s="8">
        <f t="shared" si="166"/>
        <v>81</v>
      </c>
      <c r="H1494">
        <f t="shared" si="167"/>
        <v>3</v>
      </c>
      <c r="I1494" t="str">
        <f t="shared" si="165"/>
        <v>Tuesday</v>
      </c>
      <c r="L1494">
        <f t="shared" si="168"/>
        <v>0</v>
      </c>
    </row>
    <row r="1495" spans="1:12" x14ac:dyDescent="0.25">
      <c r="A1495">
        <v>206470657</v>
      </c>
      <c r="B1495" s="1">
        <v>44999</v>
      </c>
      <c r="C1495" s="1">
        <v>45049</v>
      </c>
      <c r="D1495" t="s">
        <v>7</v>
      </c>
      <c r="E1495">
        <v>39</v>
      </c>
      <c r="F1495" t="s">
        <v>6</v>
      </c>
      <c r="G1495" s="8">
        <f t="shared" si="166"/>
        <v>50</v>
      </c>
      <c r="H1495">
        <f t="shared" si="167"/>
        <v>3</v>
      </c>
      <c r="I1495" t="str">
        <f t="shared" si="165"/>
        <v>Tuesday</v>
      </c>
      <c r="L1495">
        <f t="shared" si="168"/>
        <v>0</v>
      </c>
    </row>
    <row r="1496" spans="1:12" x14ac:dyDescent="0.25">
      <c r="A1496">
        <v>206458744</v>
      </c>
      <c r="B1496" s="1">
        <v>44999</v>
      </c>
      <c r="C1496" s="1">
        <v>45040</v>
      </c>
      <c r="D1496" t="s">
        <v>7</v>
      </c>
      <c r="E1496">
        <v>39</v>
      </c>
      <c r="F1496" t="s">
        <v>6</v>
      </c>
      <c r="G1496" s="8">
        <f t="shared" si="166"/>
        <v>41</v>
      </c>
      <c r="H1496">
        <f t="shared" si="167"/>
        <v>3</v>
      </c>
      <c r="I1496" t="str">
        <f t="shared" si="165"/>
        <v>Tuesday</v>
      </c>
      <c r="L1496">
        <f t="shared" si="168"/>
        <v>0</v>
      </c>
    </row>
    <row r="1497" spans="1:12" x14ac:dyDescent="0.25">
      <c r="A1497">
        <v>206122814</v>
      </c>
      <c r="B1497" s="1">
        <v>44999</v>
      </c>
      <c r="C1497" s="1">
        <v>45029</v>
      </c>
      <c r="D1497" t="s">
        <v>7</v>
      </c>
      <c r="E1497">
        <v>39</v>
      </c>
      <c r="F1497" t="s">
        <v>6</v>
      </c>
      <c r="G1497" s="8">
        <f t="shared" si="166"/>
        <v>30</v>
      </c>
      <c r="H1497">
        <f t="shared" si="167"/>
        <v>3</v>
      </c>
      <c r="I1497" t="str">
        <f t="shared" si="165"/>
        <v>Tuesday</v>
      </c>
      <c r="L1497">
        <f t="shared" si="168"/>
        <v>0</v>
      </c>
    </row>
    <row r="1498" spans="1:12" x14ac:dyDescent="0.25">
      <c r="A1498">
        <v>206549666</v>
      </c>
      <c r="B1498" s="1">
        <v>45000</v>
      </c>
      <c r="C1498" s="1">
        <f t="shared" ref="C1498:C1500" ca="1" si="170">TODAY()</f>
        <v>45938</v>
      </c>
      <c r="D1498" t="s">
        <v>7</v>
      </c>
      <c r="E1498">
        <v>39</v>
      </c>
      <c r="F1498" t="s">
        <v>6</v>
      </c>
      <c r="G1498" s="8">
        <f t="shared" ca="1" si="166"/>
        <v>938</v>
      </c>
      <c r="H1498">
        <f t="shared" si="167"/>
        <v>4</v>
      </c>
      <c r="I1498" t="str">
        <f t="shared" si="165"/>
        <v>Wednesday</v>
      </c>
      <c r="L1498">
        <f t="shared" ca="1" si="168"/>
        <v>0</v>
      </c>
    </row>
    <row r="1499" spans="1:12" x14ac:dyDescent="0.25">
      <c r="A1499">
        <v>133623621</v>
      </c>
      <c r="B1499" s="1">
        <v>45000</v>
      </c>
      <c r="C1499" s="1">
        <f t="shared" ca="1" si="170"/>
        <v>45938</v>
      </c>
      <c r="D1499" t="s">
        <v>7</v>
      </c>
      <c r="E1499">
        <v>39</v>
      </c>
      <c r="F1499" t="s">
        <v>6</v>
      </c>
      <c r="G1499" s="8">
        <f t="shared" ca="1" si="166"/>
        <v>938</v>
      </c>
      <c r="H1499">
        <f t="shared" si="167"/>
        <v>4</v>
      </c>
      <c r="I1499" t="str">
        <f t="shared" si="165"/>
        <v>Wednesday</v>
      </c>
      <c r="L1499">
        <f t="shared" ca="1" si="168"/>
        <v>0</v>
      </c>
    </row>
    <row r="1500" spans="1:12" x14ac:dyDescent="0.25">
      <c r="A1500">
        <v>130982816</v>
      </c>
      <c r="B1500" s="1">
        <v>45000</v>
      </c>
      <c r="C1500" s="1">
        <f t="shared" ca="1" si="170"/>
        <v>45938</v>
      </c>
      <c r="D1500" t="s">
        <v>7</v>
      </c>
      <c r="E1500">
        <v>39</v>
      </c>
      <c r="F1500" t="s">
        <v>6</v>
      </c>
      <c r="G1500" s="8">
        <f t="shared" ca="1" si="166"/>
        <v>938</v>
      </c>
      <c r="H1500">
        <f t="shared" si="167"/>
        <v>4</v>
      </c>
      <c r="I1500" t="str">
        <f t="shared" si="165"/>
        <v>Wednesday</v>
      </c>
      <c r="L1500">
        <f t="shared" ca="1" si="168"/>
        <v>0</v>
      </c>
    </row>
    <row r="1501" spans="1:12" x14ac:dyDescent="0.25">
      <c r="A1501">
        <v>143776119</v>
      </c>
      <c r="B1501" s="1">
        <v>45000</v>
      </c>
      <c r="C1501" s="1">
        <v>45166</v>
      </c>
      <c r="D1501" t="s">
        <v>7</v>
      </c>
      <c r="E1501">
        <v>39</v>
      </c>
      <c r="F1501" t="s">
        <v>6</v>
      </c>
      <c r="G1501" s="8">
        <f t="shared" si="166"/>
        <v>166</v>
      </c>
      <c r="H1501">
        <f t="shared" si="167"/>
        <v>4</v>
      </c>
      <c r="I1501" t="str">
        <f t="shared" si="165"/>
        <v>Wednesday</v>
      </c>
      <c r="L1501">
        <f t="shared" si="168"/>
        <v>0</v>
      </c>
    </row>
    <row r="1502" spans="1:12" x14ac:dyDescent="0.25">
      <c r="A1502">
        <v>206542743</v>
      </c>
      <c r="B1502" s="1">
        <v>45000</v>
      </c>
      <c r="C1502" s="1">
        <v>45001</v>
      </c>
      <c r="D1502" t="s">
        <v>8</v>
      </c>
      <c r="E1502">
        <v>39</v>
      </c>
      <c r="F1502" t="s">
        <v>6</v>
      </c>
      <c r="G1502" s="8">
        <f t="shared" si="166"/>
        <v>1</v>
      </c>
      <c r="H1502">
        <f t="shared" si="167"/>
        <v>4</v>
      </c>
      <c r="I1502" t="str">
        <f t="shared" si="165"/>
        <v>Wednesday</v>
      </c>
      <c r="L1502">
        <f t="shared" si="168"/>
        <v>1</v>
      </c>
    </row>
    <row r="1503" spans="1:12" x14ac:dyDescent="0.25">
      <c r="A1503">
        <v>206158603</v>
      </c>
      <c r="B1503" s="1">
        <v>45000</v>
      </c>
      <c r="C1503" s="1">
        <v>45001</v>
      </c>
      <c r="D1503" t="s">
        <v>8</v>
      </c>
      <c r="E1503">
        <v>39</v>
      </c>
      <c r="F1503" t="s">
        <v>6</v>
      </c>
      <c r="G1503" s="8">
        <f t="shared" si="166"/>
        <v>1</v>
      </c>
      <c r="H1503">
        <f t="shared" si="167"/>
        <v>4</v>
      </c>
      <c r="I1503" t="str">
        <f t="shared" si="165"/>
        <v>Wednesday</v>
      </c>
      <c r="L1503">
        <f t="shared" si="168"/>
        <v>1</v>
      </c>
    </row>
    <row r="1504" spans="1:12" x14ac:dyDescent="0.25">
      <c r="A1504">
        <v>206548046</v>
      </c>
      <c r="B1504" s="1">
        <v>45000</v>
      </c>
      <c r="C1504" s="1">
        <v>45085</v>
      </c>
      <c r="D1504" t="s">
        <v>7</v>
      </c>
      <c r="E1504">
        <v>39</v>
      </c>
      <c r="F1504" t="s">
        <v>6</v>
      </c>
      <c r="G1504" s="8">
        <f t="shared" si="166"/>
        <v>85</v>
      </c>
      <c r="H1504">
        <f t="shared" si="167"/>
        <v>4</v>
      </c>
      <c r="I1504" t="str">
        <f t="shared" si="165"/>
        <v>Wednesday</v>
      </c>
      <c r="L1504">
        <f t="shared" si="168"/>
        <v>0</v>
      </c>
    </row>
    <row r="1505" spans="1:12" x14ac:dyDescent="0.25">
      <c r="A1505">
        <v>168464004</v>
      </c>
      <c r="B1505" s="1">
        <v>45000</v>
      </c>
      <c r="C1505" s="1">
        <v>45078</v>
      </c>
      <c r="D1505" t="s">
        <v>7</v>
      </c>
      <c r="E1505">
        <v>39</v>
      </c>
      <c r="F1505" t="s">
        <v>6</v>
      </c>
      <c r="G1505" s="8">
        <f t="shared" si="166"/>
        <v>78</v>
      </c>
      <c r="H1505">
        <f t="shared" si="167"/>
        <v>4</v>
      </c>
      <c r="I1505" t="str">
        <f t="shared" si="165"/>
        <v>Wednesday</v>
      </c>
      <c r="L1505">
        <f t="shared" si="168"/>
        <v>0</v>
      </c>
    </row>
    <row r="1506" spans="1:12" x14ac:dyDescent="0.25">
      <c r="A1506">
        <v>146330379</v>
      </c>
      <c r="B1506" s="1">
        <v>45000</v>
      </c>
      <c r="C1506" s="1">
        <v>45035</v>
      </c>
      <c r="D1506" t="s">
        <v>7</v>
      </c>
      <c r="E1506">
        <v>39</v>
      </c>
      <c r="F1506" t="s">
        <v>6</v>
      </c>
      <c r="G1506" s="8">
        <f t="shared" si="166"/>
        <v>35</v>
      </c>
      <c r="H1506">
        <f t="shared" si="167"/>
        <v>4</v>
      </c>
      <c r="I1506" t="str">
        <f t="shared" si="165"/>
        <v>Wednesday</v>
      </c>
      <c r="L1506">
        <f t="shared" si="168"/>
        <v>0</v>
      </c>
    </row>
    <row r="1507" spans="1:12" x14ac:dyDescent="0.25">
      <c r="A1507">
        <v>206006946</v>
      </c>
      <c r="B1507" s="1">
        <v>45000</v>
      </c>
      <c r="C1507" s="1">
        <v>45068</v>
      </c>
      <c r="D1507" t="s">
        <v>7</v>
      </c>
      <c r="E1507">
        <v>39</v>
      </c>
      <c r="F1507" t="s">
        <v>6</v>
      </c>
      <c r="G1507" s="8">
        <f t="shared" si="166"/>
        <v>68</v>
      </c>
      <c r="H1507">
        <f t="shared" si="167"/>
        <v>4</v>
      </c>
      <c r="I1507" t="str">
        <f t="shared" si="165"/>
        <v>Wednesday</v>
      </c>
      <c r="L1507">
        <f t="shared" si="168"/>
        <v>0</v>
      </c>
    </row>
    <row r="1508" spans="1:12" x14ac:dyDescent="0.25">
      <c r="A1508">
        <v>206531388</v>
      </c>
      <c r="B1508" s="1">
        <v>45000</v>
      </c>
      <c r="C1508" s="1">
        <v>45021</v>
      </c>
      <c r="D1508" t="s">
        <v>7</v>
      </c>
      <c r="E1508">
        <v>39</v>
      </c>
      <c r="F1508" t="s">
        <v>6</v>
      </c>
      <c r="G1508" s="8">
        <f t="shared" si="166"/>
        <v>21</v>
      </c>
      <c r="H1508">
        <f t="shared" si="167"/>
        <v>4</v>
      </c>
      <c r="I1508" t="str">
        <f t="shared" si="165"/>
        <v>Wednesday</v>
      </c>
      <c r="L1508">
        <f t="shared" si="168"/>
        <v>0</v>
      </c>
    </row>
    <row r="1509" spans="1:12" x14ac:dyDescent="0.25">
      <c r="A1509">
        <v>206512820</v>
      </c>
      <c r="B1509" s="1">
        <v>45000</v>
      </c>
      <c r="C1509" s="1">
        <v>45119</v>
      </c>
      <c r="D1509" t="s">
        <v>7</v>
      </c>
      <c r="E1509">
        <v>39</v>
      </c>
      <c r="F1509" t="s">
        <v>6</v>
      </c>
      <c r="G1509" s="8">
        <f t="shared" si="166"/>
        <v>119</v>
      </c>
      <c r="H1509">
        <f t="shared" si="167"/>
        <v>4</v>
      </c>
      <c r="I1509" t="str">
        <f t="shared" si="165"/>
        <v>Wednesday</v>
      </c>
      <c r="L1509">
        <f t="shared" si="168"/>
        <v>0</v>
      </c>
    </row>
    <row r="1510" spans="1:12" x14ac:dyDescent="0.25">
      <c r="A1510">
        <v>206501414</v>
      </c>
      <c r="B1510" s="1">
        <v>45001</v>
      </c>
      <c r="C1510" s="1">
        <f t="shared" ref="C1510" ca="1" si="171">TODAY()</f>
        <v>45938</v>
      </c>
      <c r="D1510" t="s">
        <v>7</v>
      </c>
      <c r="E1510">
        <v>39</v>
      </c>
      <c r="F1510" t="s">
        <v>6</v>
      </c>
      <c r="G1510" s="8">
        <f t="shared" ca="1" si="166"/>
        <v>937</v>
      </c>
      <c r="H1510">
        <f t="shared" si="167"/>
        <v>5</v>
      </c>
      <c r="I1510" t="str">
        <f t="shared" si="165"/>
        <v>Thursday</v>
      </c>
      <c r="L1510">
        <f t="shared" ca="1" si="168"/>
        <v>0</v>
      </c>
    </row>
    <row r="1511" spans="1:12" x14ac:dyDescent="0.25">
      <c r="A1511">
        <v>181175226</v>
      </c>
      <c r="B1511" s="1">
        <v>45001</v>
      </c>
      <c r="C1511" s="1">
        <v>45016</v>
      </c>
      <c r="D1511" t="s">
        <v>7</v>
      </c>
      <c r="E1511">
        <v>39</v>
      </c>
      <c r="F1511" t="s">
        <v>6</v>
      </c>
      <c r="G1511" s="8">
        <f t="shared" si="166"/>
        <v>15</v>
      </c>
      <c r="H1511">
        <f t="shared" si="167"/>
        <v>5</v>
      </c>
      <c r="I1511" t="str">
        <f t="shared" si="165"/>
        <v>Thursday</v>
      </c>
      <c r="L1511">
        <f t="shared" si="168"/>
        <v>0</v>
      </c>
    </row>
    <row r="1512" spans="1:12" x14ac:dyDescent="0.25">
      <c r="A1512">
        <v>148758550</v>
      </c>
      <c r="B1512" s="1">
        <v>45002</v>
      </c>
      <c r="C1512" s="1">
        <f t="shared" ref="C1512:C1516" ca="1" si="172">TODAY()</f>
        <v>45938</v>
      </c>
      <c r="D1512" t="s">
        <v>7</v>
      </c>
      <c r="E1512">
        <v>39</v>
      </c>
      <c r="F1512" t="s">
        <v>6</v>
      </c>
      <c r="G1512" s="8">
        <f t="shared" ca="1" si="166"/>
        <v>936</v>
      </c>
      <c r="H1512">
        <f t="shared" si="167"/>
        <v>6</v>
      </c>
      <c r="I1512" t="str">
        <f t="shared" si="165"/>
        <v>Friday</v>
      </c>
      <c r="L1512">
        <f t="shared" ca="1" si="168"/>
        <v>0</v>
      </c>
    </row>
    <row r="1513" spans="1:12" x14ac:dyDescent="0.25">
      <c r="A1513">
        <v>206682036</v>
      </c>
      <c r="B1513" s="1">
        <v>45002</v>
      </c>
      <c r="C1513" s="1">
        <f t="shared" ca="1" si="172"/>
        <v>45938</v>
      </c>
      <c r="D1513" t="s">
        <v>7</v>
      </c>
      <c r="E1513">
        <v>39</v>
      </c>
      <c r="F1513" t="s">
        <v>6</v>
      </c>
      <c r="G1513" s="8">
        <f t="shared" ca="1" si="166"/>
        <v>936</v>
      </c>
      <c r="H1513">
        <f t="shared" si="167"/>
        <v>6</v>
      </c>
      <c r="I1513" t="str">
        <f t="shared" si="165"/>
        <v>Friday</v>
      </c>
      <c r="L1513">
        <f t="shared" ca="1" si="168"/>
        <v>0</v>
      </c>
    </row>
    <row r="1514" spans="1:12" x14ac:dyDescent="0.25">
      <c r="A1514">
        <v>206149654</v>
      </c>
      <c r="B1514" s="1">
        <v>45002</v>
      </c>
      <c r="C1514" s="1">
        <f t="shared" ca="1" si="172"/>
        <v>45938</v>
      </c>
      <c r="D1514" t="s">
        <v>7</v>
      </c>
      <c r="E1514">
        <v>39</v>
      </c>
      <c r="F1514" t="s">
        <v>6</v>
      </c>
      <c r="G1514" s="8">
        <f t="shared" ca="1" si="166"/>
        <v>936</v>
      </c>
      <c r="H1514">
        <f t="shared" si="167"/>
        <v>6</v>
      </c>
      <c r="I1514" t="str">
        <f t="shared" si="165"/>
        <v>Friday</v>
      </c>
      <c r="L1514">
        <f t="shared" ca="1" si="168"/>
        <v>0</v>
      </c>
    </row>
    <row r="1515" spans="1:12" x14ac:dyDescent="0.25">
      <c r="A1515">
        <v>206653056</v>
      </c>
      <c r="B1515" s="1">
        <v>45002</v>
      </c>
      <c r="C1515" s="1">
        <f t="shared" ca="1" si="172"/>
        <v>45938</v>
      </c>
      <c r="D1515" t="s">
        <v>7</v>
      </c>
      <c r="E1515">
        <v>39</v>
      </c>
      <c r="F1515" t="s">
        <v>6</v>
      </c>
      <c r="G1515" s="8">
        <f t="shared" ca="1" si="166"/>
        <v>936</v>
      </c>
      <c r="H1515">
        <f t="shared" si="167"/>
        <v>6</v>
      </c>
      <c r="I1515" t="str">
        <f t="shared" si="165"/>
        <v>Friday</v>
      </c>
      <c r="L1515">
        <f t="shared" ca="1" si="168"/>
        <v>0</v>
      </c>
    </row>
    <row r="1516" spans="1:12" x14ac:dyDescent="0.25">
      <c r="A1516">
        <v>198466025</v>
      </c>
      <c r="B1516" s="1">
        <v>45002</v>
      </c>
      <c r="C1516" s="1">
        <f t="shared" ca="1" si="172"/>
        <v>45938</v>
      </c>
      <c r="D1516" t="s">
        <v>7</v>
      </c>
      <c r="E1516">
        <v>39</v>
      </c>
      <c r="F1516" t="s">
        <v>6</v>
      </c>
      <c r="G1516" s="8">
        <f t="shared" ca="1" si="166"/>
        <v>936</v>
      </c>
      <c r="H1516">
        <f t="shared" si="167"/>
        <v>6</v>
      </c>
      <c r="I1516" t="str">
        <f t="shared" si="165"/>
        <v>Friday</v>
      </c>
      <c r="L1516">
        <f t="shared" ca="1" si="168"/>
        <v>0</v>
      </c>
    </row>
    <row r="1517" spans="1:12" x14ac:dyDescent="0.25">
      <c r="A1517">
        <v>206685935</v>
      </c>
      <c r="B1517" s="1">
        <v>45002</v>
      </c>
      <c r="C1517" s="1">
        <v>45003</v>
      </c>
      <c r="D1517" t="s">
        <v>8</v>
      </c>
      <c r="E1517">
        <v>39</v>
      </c>
      <c r="F1517" t="s">
        <v>6</v>
      </c>
      <c r="G1517" s="8">
        <f t="shared" si="166"/>
        <v>1</v>
      </c>
      <c r="H1517">
        <f t="shared" si="167"/>
        <v>6</v>
      </c>
      <c r="I1517" t="str">
        <f t="shared" si="165"/>
        <v>Friday</v>
      </c>
      <c r="L1517">
        <f t="shared" si="168"/>
        <v>1</v>
      </c>
    </row>
    <row r="1518" spans="1:12" x14ac:dyDescent="0.25">
      <c r="A1518">
        <v>206659390</v>
      </c>
      <c r="B1518" s="1">
        <v>45002</v>
      </c>
      <c r="C1518" s="1">
        <v>45003</v>
      </c>
      <c r="D1518" t="s">
        <v>8</v>
      </c>
      <c r="E1518">
        <v>39</v>
      </c>
      <c r="F1518" t="s">
        <v>6</v>
      </c>
      <c r="G1518" s="8">
        <f t="shared" si="166"/>
        <v>1</v>
      </c>
      <c r="H1518">
        <f t="shared" si="167"/>
        <v>6</v>
      </c>
      <c r="I1518" t="str">
        <f t="shared" si="165"/>
        <v>Friday</v>
      </c>
      <c r="L1518">
        <f t="shared" si="168"/>
        <v>1</v>
      </c>
    </row>
    <row r="1519" spans="1:12" x14ac:dyDescent="0.25">
      <c r="A1519">
        <v>206550926</v>
      </c>
      <c r="B1519" s="1">
        <v>45002</v>
      </c>
      <c r="C1519" s="1">
        <v>45033</v>
      </c>
      <c r="D1519" t="s">
        <v>7</v>
      </c>
      <c r="E1519">
        <v>39</v>
      </c>
      <c r="F1519" t="s">
        <v>6</v>
      </c>
      <c r="G1519" s="8">
        <f t="shared" si="166"/>
        <v>31</v>
      </c>
      <c r="H1519">
        <f t="shared" si="167"/>
        <v>6</v>
      </c>
      <c r="I1519" t="str">
        <f t="shared" si="165"/>
        <v>Friday</v>
      </c>
      <c r="L1519">
        <f t="shared" si="168"/>
        <v>0</v>
      </c>
    </row>
    <row r="1520" spans="1:12" x14ac:dyDescent="0.25">
      <c r="A1520">
        <v>206673590</v>
      </c>
      <c r="B1520" s="1">
        <v>45002</v>
      </c>
      <c r="C1520" s="1">
        <v>45015</v>
      </c>
      <c r="D1520" t="s">
        <v>7</v>
      </c>
      <c r="E1520">
        <v>39</v>
      </c>
      <c r="F1520" t="s">
        <v>6</v>
      </c>
      <c r="G1520" s="8">
        <f t="shared" si="166"/>
        <v>13</v>
      </c>
      <c r="H1520">
        <f t="shared" si="167"/>
        <v>6</v>
      </c>
      <c r="I1520" t="str">
        <f t="shared" si="165"/>
        <v>Friday</v>
      </c>
      <c r="L1520">
        <f t="shared" si="168"/>
        <v>0</v>
      </c>
    </row>
    <row r="1521" spans="1:12" x14ac:dyDescent="0.25">
      <c r="A1521">
        <v>205593462</v>
      </c>
      <c r="B1521" s="1">
        <v>45002</v>
      </c>
      <c r="C1521" s="1">
        <v>45148</v>
      </c>
      <c r="D1521" t="s">
        <v>7</v>
      </c>
      <c r="E1521">
        <v>39</v>
      </c>
      <c r="F1521" t="s">
        <v>6</v>
      </c>
      <c r="G1521" s="8">
        <f t="shared" si="166"/>
        <v>146</v>
      </c>
      <c r="H1521">
        <f t="shared" si="167"/>
        <v>6</v>
      </c>
      <c r="I1521" t="str">
        <f t="shared" si="165"/>
        <v>Friday</v>
      </c>
      <c r="L1521">
        <f t="shared" si="168"/>
        <v>0</v>
      </c>
    </row>
    <row r="1522" spans="1:12" x14ac:dyDescent="0.25">
      <c r="A1522">
        <v>205889926</v>
      </c>
      <c r="B1522" s="1">
        <v>45003</v>
      </c>
      <c r="C1522" s="1">
        <f t="shared" ref="C1522:C1523" ca="1" si="173">TODAY()</f>
        <v>45938</v>
      </c>
      <c r="D1522" t="s">
        <v>7</v>
      </c>
      <c r="E1522">
        <v>39</v>
      </c>
      <c r="F1522" t="s">
        <v>6</v>
      </c>
      <c r="G1522" s="8">
        <f t="shared" ca="1" si="166"/>
        <v>935</v>
      </c>
      <c r="H1522">
        <f t="shared" si="167"/>
        <v>7</v>
      </c>
      <c r="I1522" t="str">
        <f t="shared" si="165"/>
        <v>Saturday</v>
      </c>
      <c r="L1522">
        <f t="shared" ca="1" si="168"/>
        <v>0</v>
      </c>
    </row>
    <row r="1523" spans="1:12" x14ac:dyDescent="0.25">
      <c r="A1523">
        <v>151713121</v>
      </c>
      <c r="B1523" s="1">
        <v>45003</v>
      </c>
      <c r="C1523" s="1">
        <f t="shared" ca="1" si="173"/>
        <v>45938</v>
      </c>
      <c r="D1523" t="s">
        <v>7</v>
      </c>
      <c r="E1523">
        <v>39</v>
      </c>
      <c r="F1523" t="s">
        <v>6</v>
      </c>
      <c r="G1523" s="8">
        <f t="shared" ca="1" si="166"/>
        <v>935</v>
      </c>
      <c r="H1523">
        <f t="shared" si="167"/>
        <v>7</v>
      </c>
      <c r="I1523" t="str">
        <f t="shared" si="165"/>
        <v>Saturday</v>
      </c>
      <c r="L1523">
        <f t="shared" ca="1" si="168"/>
        <v>0</v>
      </c>
    </row>
    <row r="1524" spans="1:12" x14ac:dyDescent="0.25">
      <c r="A1524">
        <v>206759898</v>
      </c>
      <c r="B1524" s="1">
        <v>45003</v>
      </c>
      <c r="C1524" s="1">
        <v>45004</v>
      </c>
      <c r="D1524" t="s">
        <v>8</v>
      </c>
      <c r="E1524">
        <v>39</v>
      </c>
      <c r="F1524" t="s">
        <v>6</v>
      </c>
      <c r="G1524" s="8">
        <f t="shared" si="166"/>
        <v>1</v>
      </c>
      <c r="H1524">
        <f t="shared" si="167"/>
        <v>7</v>
      </c>
      <c r="I1524" t="str">
        <f t="shared" si="165"/>
        <v>Saturday</v>
      </c>
      <c r="L1524">
        <f t="shared" si="168"/>
        <v>1</v>
      </c>
    </row>
    <row r="1525" spans="1:12" x14ac:dyDescent="0.25">
      <c r="A1525">
        <v>206750792</v>
      </c>
      <c r="B1525" s="1">
        <v>45003</v>
      </c>
      <c r="C1525" s="1">
        <v>45004</v>
      </c>
      <c r="D1525" t="s">
        <v>8</v>
      </c>
      <c r="E1525">
        <v>39</v>
      </c>
      <c r="F1525" t="s">
        <v>6</v>
      </c>
      <c r="G1525" s="8">
        <f t="shared" si="166"/>
        <v>1</v>
      </c>
      <c r="H1525">
        <f t="shared" si="167"/>
        <v>7</v>
      </c>
      <c r="I1525" t="str">
        <f t="shared" si="165"/>
        <v>Saturday</v>
      </c>
      <c r="L1525">
        <f t="shared" si="168"/>
        <v>1</v>
      </c>
    </row>
    <row r="1526" spans="1:12" x14ac:dyDescent="0.25">
      <c r="A1526">
        <v>206742592</v>
      </c>
      <c r="B1526" s="1">
        <v>45003</v>
      </c>
      <c r="C1526" s="1">
        <v>45004</v>
      </c>
      <c r="D1526" t="s">
        <v>8</v>
      </c>
      <c r="E1526">
        <v>39</v>
      </c>
      <c r="F1526" t="s">
        <v>6</v>
      </c>
      <c r="G1526" s="8">
        <f t="shared" si="166"/>
        <v>1</v>
      </c>
      <c r="H1526">
        <f t="shared" si="167"/>
        <v>7</v>
      </c>
      <c r="I1526" t="str">
        <f t="shared" si="165"/>
        <v>Saturday</v>
      </c>
      <c r="L1526">
        <f t="shared" si="168"/>
        <v>1</v>
      </c>
    </row>
    <row r="1527" spans="1:12" x14ac:dyDescent="0.25">
      <c r="A1527">
        <v>206700008</v>
      </c>
      <c r="B1527" s="1">
        <v>45003</v>
      </c>
      <c r="C1527" s="1">
        <v>45004</v>
      </c>
      <c r="D1527" t="s">
        <v>8</v>
      </c>
      <c r="E1527">
        <v>39</v>
      </c>
      <c r="F1527" t="s">
        <v>6</v>
      </c>
      <c r="G1527" s="8">
        <f t="shared" si="166"/>
        <v>1</v>
      </c>
      <c r="H1527">
        <f t="shared" si="167"/>
        <v>7</v>
      </c>
      <c r="I1527" t="str">
        <f t="shared" si="165"/>
        <v>Saturday</v>
      </c>
      <c r="L1527">
        <f t="shared" si="168"/>
        <v>1</v>
      </c>
    </row>
    <row r="1528" spans="1:12" x14ac:dyDescent="0.25">
      <c r="A1528">
        <v>156170916</v>
      </c>
      <c r="B1528" s="1">
        <v>45003</v>
      </c>
      <c r="C1528" s="1">
        <v>45152</v>
      </c>
      <c r="D1528" t="s">
        <v>7</v>
      </c>
      <c r="E1528">
        <v>39</v>
      </c>
      <c r="F1528" t="s">
        <v>6</v>
      </c>
      <c r="G1528" s="8">
        <f t="shared" si="166"/>
        <v>149</v>
      </c>
      <c r="H1528">
        <f t="shared" si="167"/>
        <v>7</v>
      </c>
      <c r="I1528" t="str">
        <f t="shared" si="165"/>
        <v>Saturday</v>
      </c>
      <c r="L1528">
        <f t="shared" si="168"/>
        <v>0</v>
      </c>
    </row>
    <row r="1529" spans="1:12" x14ac:dyDescent="0.25">
      <c r="A1529">
        <v>206607664</v>
      </c>
      <c r="B1529" s="1">
        <v>45003</v>
      </c>
      <c r="C1529" s="1">
        <v>45041</v>
      </c>
      <c r="D1529" t="s">
        <v>7</v>
      </c>
      <c r="E1529">
        <v>39</v>
      </c>
      <c r="F1529" t="s">
        <v>6</v>
      </c>
      <c r="G1529" s="8">
        <f t="shared" si="166"/>
        <v>38</v>
      </c>
      <c r="H1529">
        <f t="shared" si="167"/>
        <v>7</v>
      </c>
      <c r="I1529" t="str">
        <f t="shared" si="165"/>
        <v>Saturday</v>
      </c>
      <c r="L1529">
        <f t="shared" si="168"/>
        <v>0</v>
      </c>
    </row>
    <row r="1530" spans="1:12" x14ac:dyDescent="0.25">
      <c r="A1530">
        <v>183332399</v>
      </c>
      <c r="B1530" s="1">
        <v>45004</v>
      </c>
      <c r="C1530" s="1">
        <f t="shared" ref="C1530" ca="1" si="174">TODAY()</f>
        <v>45938</v>
      </c>
      <c r="D1530" t="s">
        <v>7</v>
      </c>
      <c r="E1530">
        <v>39</v>
      </c>
      <c r="F1530" t="s">
        <v>6</v>
      </c>
      <c r="G1530" s="8">
        <f t="shared" ca="1" si="166"/>
        <v>934</v>
      </c>
      <c r="H1530">
        <f t="shared" si="167"/>
        <v>1</v>
      </c>
      <c r="I1530" t="str">
        <f t="shared" si="165"/>
        <v>Sunday</v>
      </c>
      <c r="L1530">
        <f t="shared" ca="1" si="168"/>
        <v>0</v>
      </c>
    </row>
    <row r="1531" spans="1:12" x14ac:dyDescent="0.25">
      <c r="A1531">
        <v>176705210</v>
      </c>
      <c r="B1531" s="1">
        <v>45004</v>
      </c>
      <c r="C1531" s="1">
        <v>45005</v>
      </c>
      <c r="D1531" t="s">
        <v>7</v>
      </c>
      <c r="E1531">
        <v>39</v>
      </c>
      <c r="F1531" t="s">
        <v>6</v>
      </c>
      <c r="G1531" s="8">
        <f t="shared" si="166"/>
        <v>1</v>
      </c>
      <c r="H1531">
        <f t="shared" si="167"/>
        <v>1</v>
      </c>
      <c r="I1531" t="str">
        <f t="shared" si="165"/>
        <v>Sunday</v>
      </c>
      <c r="L1531">
        <f t="shared" si="168"/>
        <v>1</v>
      </c>
    </row>
    <row r="1532" spans="1:12" x14ac:dyDescent="0.25">
      <c r="A1532">
        <v>154901722</v>
      </c>
      <c r="B1532" s="1">
        <v>45004</v>
      </c>
      <c r="C1532" s="1">
        <v>45004</v>
      </c>
      <c r="D1532" t="s">
        <v>7</v>
      </c>
      <c r="E1532">
        <v>39</v>
      </c>
      <c r="F1532" t="s">
        <v>6</v>
      </c>
      <c r="G1532" s="8">
        <f t="shared" si="166"/>
        <v>0</v>
      </c>
      <c r="H1532">
        <f t="shared" si="167"/>
        <v>1</v>
      </c>
      <c r="I1532" t="str">
        <f t="shared" si="165"/>
        <v>Sunday</v>
      </c>
      <c r="L1532">
        <f t="shared" si="168"/>
        <v>1</v>
      </c>
    </row>
    <row r="1533" spans="1:12" x14ac:dyDescent="0.25">
      <c r="A1533">
        <v>153438676</v>
      </c>
      <c r="B1533" s="1">
        <v>45004</v>
      </c>
      <c r="C1533" s="1">
        <v>45072</v>
      </c>
      <c r="D1533" t="s">
        <v>7</v>
      </c>
      <c r="E1533">
        <v>39</v>
      </c>
      <c r="F1533" t="s">
        <v>6</v>
      </c>
      <c r="G1533" s="8">
        <f t="shared" si="166"/>
        <v>68</v>
      </c>
      <c r="H1533">
        <f t="shared" si="167"/>
        <v>1</v>
      </c>
      <c r="I1533" t="str">
        <f t="shared" si="165"/>
        <v>Sunday</v>
      </c>
      <c r="L1533">
        <f t="shared" si="168"/>
        <v>0</v>
      </c>
    </row>
    <row r="1534" spans="1:12" x14ac:dyDescent="0.25">
      <c r="A1534">
        <v>154901722</v>
      </c>
      <c r="B1534" s="1">
        <v>45004</v>
      </c>
      <c r="C1534" s="1">
        <v>45050</v>
      </c>
      <c r="D1534" t="s">
        <v>7</v>
      </c>
      <c r="E1534">
        <v>39</v>
      </c>
      <c r="F1534" t="s">
        <v>6</v>
      </c>
      <c r="G1534" s="8">
        <f t="shared" si="166"/>
        <v>46</v>
      </c>
      <c r="H1534">
        <f t="shared" si="167"/>
        <v>1</v>
      </c>
      <c r="I1534" t="str">
        <f t="shared" si="165"/>
        <v>Sunday</v>
      </c>
      <c r="L1534">
        <f t="shared" si="168"/>
        <v>0</v>
      </c>
    </row>
    <row r="1535" spans="1:12" x14ac:dyDescent="0.25">
      <c r="A1535">
        <v>123768696</v>
      </c>
      <c r="B1535" s="1">
        <v>45004</v>
      </c>
      <c r="C1535" s="1">
        <v>45027</v>
      </c>
      <c r="D1535" t="s">
        <v>7</v>
      </c>
      <c r="E1535">
        <v>39</v>
      </c>
      <c r="F1535" t="s">
        <v>6</v>
      </c>
      <c r="G1535" s="8">
        <f t="shared" si="166"/>
        <v>23</v>
      </c>
      <c r="H1535">
        <f t="shared" si="167"/>
        <v>1</v>
      </c>
      <c r="I1535" t="str">
        <f t="shared" si="165"/>
        <v>Sunday</v>
      </c>
      <c r="L1535">
        <f t="shared" si="168"/>
        <v>0</v>
      </c>
    </row>
    <row r="1536" spans="1:12" x14ac:dyDescent="0.25">
      <c r="A1536">
        <v>142976081</v>
      </c>
      <c r="B1536" s="1">
        <v>45004</v>
      </c>
      <c r="C1536" s="1">
        <v>45035</v>
      </c>
      <c r="D1536" t="s">
        <v>7</v>
      </c>
      <c r="E1536">
        <v>39</v>
      </c>
      <c r="F1536" t="s">
        <v>6</v>
      </c>
      <c r="G1536" s="8">
        <f t="shared" si="166"/>
        <v>31</v>
      </c>
      <c r="H1536">
        <f t="shared" si="167"/>
        <v>1</v>
      </c>
      <c r="I1536" t="str">
        <f t="shared" si="165"/>
        <v>Sunday</v>
      </c>
      <c r="L1536">
        <f t="shared" si="168"/>
        <v>0</v>
      </c>
    </row>
    <row r="1537" spans="1:12" x14ac:dyDescent="0.25">
      <c r="A1537">
        <v>152223051</v>
      </c>
      <c r="B1537" s="1">
        <v>45005</v>
      </c>
      <c r="C1537" s="1">
        <f t="shared" ref="C1537:C1539" ca="1" si="175">TODAY()</f>
        <v>45938</v>
      </c>
      <c r="D1537" t="s">
        <v>7</v>
      </c>
      <c r="E1537">
        <v>39</v>
      </c>
      <c r="F1537" t="s">
        <v>6</v>
      </c>
      <c r="G1537" s="8">
        <f t="shared" ca="1" si="166"/>
        <v>933</v>
      </c>
      <c r="H1537">
        <f t="shared" si="167"/>
        <v>2</v>
      </c>
      <c r="I1537" t="str">
        <f t="shared" si="165"/>
        <v>Monday</v>
      </c>
      <c r="L1537">
        <f t="shared" ca="1" si="168"/>
        <v>0</v>
      </c>
    </row>
    <row r="1538" spans="1:12" x14ac:dyDescent="0.25">
      <c r="A1538">
        <v>206865174</v>
      </c>
      <c r="B1538" s="1">
        <v>45005</v>
      </c>
      <c r="C1538" s="1">
        <f t="shared" ca="1" si="175"/>
        <v>45938</v>
      </c>
      <c r="D1538" t="s">
        <v>7</v>
      </c>
      <c r="E1538">
        <v>39</v>
      </c>
      <c r="F1538" t="s">
        <v>6</v>
      </c>
      <c r="G1538" s="8">
        <f t="shared" ca="1" si="166"/>
        <v>933</v>
      </c>
      <c r="H1538">
        <f t="shared" si="167"/>
        <v>2</v>
      </c>
      <c r="I1538" t="str">
        <f t="shared" ref="I1538:I1601" si="176">TEXT(B1538,"DDDD")</f>
        <v>Monday</v>
      </c>
      <c r="L1538">
        <f t="shared" ca="1" si="168"/>
        <v>0</v>
      </c>
    </row>
    <row r="1539" spans="1:12" x14ac:dyDescent="0.25">
      <c r="A1539">
        <v>143327052</v>
      </c>
      <c r="B1539" s="1">
        <v>45005</v>
      </c>
      <c r="C1539" s="1">
        <f t="shared" ca="1" si="175"/>
        <v>45938</v>
      </c>
      <c r="D1539" t="s">
        <v>7</v>
      </c>
      <c r="E1539">
        <v>39</v>
      </c>
      <c r="F1539" t="s">
        <v>6</v>
      </c>
      <c r="G1539" s="8">
        <f t="shared" ref="G1539:G1602" ca="1" si="177">IFERROR(DATEDIF(B1539,C1539,"D"),"0")</f>
        <v>933</v>
      </c>
      <c r="H1539">
        <f t="shared" ref="H1539:H1602" si="178">WEEKDAY(B1539,1)</f>
        <v>2</v>
      </c>
      <c r="I1539" t="str">
        <f t="shared" si="176"/>
        <v>Monday</v>
      </c>
      <c r="L1539">
        <f t="shared" ref="L1539:L1602" ca="1" si="179">IF( OR($G1539=0,$G1539 = 1, $G1539 = 2), 1, 0 )</f>
        <v>0</v>
      </c>
    </row>
    <row r="1540" spans="1:12" x14ac:dyDescent="0.25">
      <c r="A1540">
        <v>202270426</v>
      </c>
      <c r="B1540" s="1">
        <v>45005</v>
      </c>
      <c r="C1540" s="1">
        <v>45006</v>
      </c>
      <c r="D1540" t="s">
        <v>7</v>
      </c>
      <c r="E1540">
        <v>39</v>
      </c>
      <c r="F1540" t="s">
        <v>6</v>
      </c>
      <c r="G1540" s="8">
        <f t="shared" si="177"/>
        <v>1</v>
      </c>
      <c r="H1540">
        <f t="shared" si="178"/>
        <v>2</v>
      </c>
      <c r="I1540" t="str">
        <f t="shared" si="176"/>
        <v>Monday</v>
      </c>
      <c r="L1540">
        <f t="shared" si="179"/>
        <v>1</v>
      </c>
    </row>
    <row r="1541" spans="1:12" x14ac:dyDescent="0.25">
      <c r="A1541">
        <v>185602413</v>
      </c>
      <c r="B1541" s="1">
        <v>45005</v>
      </c>
      <c r="C1541" s="1">
        <v>45104</v>
      </c>
      <c r="D1541" t="s">
        <v>7</v>
      </c>
      <c r="E1541">
        <v>39</v>
      </c>
      <c r="F1541" t="s">
        <v>6</v>
      </c>
      <c r="G1541" s="8">
        <f t="shared" si="177"/>
        <v>99</v>
      </c>
      <c r="H1541">
        <f t="shared" si="178"/>
        <v>2</v>
      </c>
      <c r="I1541" t="str">
        <f t="shared" si="176"/>
        <v>Monday</v>
      </c>
      <c r="L1541">
        <f t="shared" si="179"/>
        <v>0</v>
      </c>
    </row>
    <row r="1542" spans="1:12" x14ac:dyDescent="0.25">
      <c r="A1542">
        <v>206679618</v>
      </c>
      <c r="B1542" s="1">
        <v>45005</v>
      </c>
      <c r="C1542" s="1">
        <v>45047</v>
      </c>
      <c r="D1542" t="s">
        <v>7</v>
      </c>
      <c r="E1542">
        <v>39</v>
      </c>
      <c r="F1542" t="s">
        <v>6</v>
      </c>
      <c r="G1542" s="8">
        <f t="shared" si="177"/>
        <v>42</v>
      </c>
      <c r="H1542">
        <f t="shared" si="178"/>
        <v>2</v>
      </c>
      <c r="I1542" t="str">
        <f t="shared" si="176"/>
        <v>Monday</v>
      </c>
      <c r="L1542">
        <f t="shared" si="179"/>
        <v>0</v>
      </c>
    </row>
    <row r="1543" spans="1:12" x14ac:dyDescent="0.25">
      <c r="A1543">
        <v>127561439</v>
      </c>
      <c r="B1543" s="1">
        <v>45005</v>
      </c>
      <c r="C1543" s="1">
        <v>45035</v>
      </c>
      <c r="D1543" t="s">
        <v>7</v>
      </c>
      <c r="E1543">
        <v>39</v>
      </c>
      <c r="F1543" t="s">
        <v>6</v>
      </c>
      <c r="G1543" s="8">
        <f t="shared" si="177"/>
        <v>30</v>
      </c>
      <c r="H1543">
        <f t="shared" si="178"/>
        <v>2</v>
      </c>
      <c r="I1543" t="str">
        <f t="shared" si="176"/>
        <v>Monday</v>
      </c>
      <c r="L1543">
        <f t="shared" si="179"/>
        <v>0</v>
      </c>
    </row>
    <row r="1544" spans="1:12" x14ac:dyDescent="0.25">
      <c r="A1544">
        <v>176705210</v>
      </c>
      <c r="B1544" s="1">
        <v>45005</v>
      </c>
      <c r="C1544" s="1">
        <v>45005</v>
      </c>
      <c r="D1544" t="s">
        <v>7</v>
      </c>
      <c r="E1544">
        <v>39</v>
      </c>
      <c r="F1544" t="s">
        <v>6</v>
      </c>
      <c r="G1544" s="8">
        <f t="shared" si="177"/>
        <v>0</v>
      </c>
      <c r="H1544">
        <f t="shared" si="178"/>
        <v>2</v>
      </c>
      <c r="I1544" t="str">
        <f t="shared" si="176"/>
        <v>Monday</v>
      </c>
      <c r="L1544">
        <f t="shared" si="179"/>
        <v>1</v>
      </c>
    </row>
    <row r="1545" spans="1:12" x14ac:dyDescent="0.25">
      <c r="A1545">
        <v>206693452</v>
      </c>
      <c r="B1545" s="1">
        <v>45006</v>
      </c>
      <c r="C1545" s="1">
        <f t="shared" ref="C1545:C1546" ca="1" si="180">TODAY()</f>
        <v>45938</v>
      </c>
      <c r="D1545" t="s">
        <v>7</v>
      </c>
      <c r="E1545">
        <v>39</v>
      </c>
      <c r="F1545" t="s">
        <v>6</v>
      </c>
      <c r="G1545" s="8">
        <f t="shared" ca="1" si="177"/>
        <v>932</v>
      </c>
      <c r="H1545">
        <f t="shared" si="178"/>
        <v>3</v>
      </c>
      <c r="I1545" t="str">
        <f t="shared" si="176"/>
        <v>Tuesday</v>
      </c>
      <c r="L1545">
        <f t="shared" ca="1" si="179"/>
        <v>0</v>
      </c>
    </row>
    <row r="1546" spans="1:12" x14ac:dyDescent="0.25">
      <c r="A1546">
        <v>193499084</v>
      </c>
      <c r="B1546" s="1">
        <v>45006</v>
      </c>
      <c r="C1546" s="1">
        <f t="shared" ca="1" si="180"/>
        <v>45938</v>
      </c>
      <c r="D1546" t="s">
        <v>7</v>
      </c>
      <c r="E1546">
        <v>39</v>
      </c>
      <c r="F1546" t="s">
        <v>6</v>
      </c>
      <c r="G1546" s="8">
        <f t="shared" ca="1" si="177"/>
        <v>932</v>
      </c>
      <c r="H1546">
        <f t="shared" si="178"/>
        <v>3</v>
      </c>
      <c r="I1546" t="str">
        <f t="shared" si="176"/>
        <v>Tuesday</v>
      </c>
      <c r="L1546">
        <f t="shared" ca="1" si="179"/>
        <v>0</v>
      </c>
    </row>
    <row r="1547" spans="1:12" x14ac:dyDescent="0.25">
      <c r="A1547">
        <v>206995576</v>
      </c>
      <c r="B1547" s="1">
        <v>45006</v>
      </c>
      <c r="C1547" s="1">
        <v>45163</v>
      </c>
      <c r="D1547" t="s">
        <v>7</v>
      </c>
      <c r="E1547">
        <v>39</v>
      </c>
      <c r="F1547" t="s">
        <v>6</v>
      </c>
      <c r="G1547" s="8">
        <f t="shared" si="177"/>
        <v>157</v>
      </c>
      <c r="H1547">
        <f t="shared" si="178"/>
        <v>3</v>
      </c>
      <c r="I1547" t="str">
        <f t="shared" si="176"/>
        <v>Tuesday</v>
      </c>
      <c r="L1547">
        <f t="shared" si="179"/>
        <v>0</v>
      </c>
    </row>
    <row r="1548" spans="1:12" x14ac:dyDescent="0.25">
      <c r="A1548">
        <v>154783053</v>
      </c>
      <c r="B1548" s="1">
        <v>45006</v>
      </c>
      <c r="C1548" s="1">
        <v>45050</v>
      </c>
      <c r="D1548" t="s">
        <v>7</v>
      </c>
      <c r="E1548">
        <v>39</v>
      </c>
      <c r="F1548" t="s">
        <v>6</v>
      </c>
      <c r="G1548" s="8">
        <f t="shared" si="177"/>
        <v>44</v>
      </c>
      <c r="H1548">
        <f t="shared" si="178"/>
        <v>3</v>
      </c>
      <c r="I1548" t="str">
        <f t="shared" si="176"/>
        <v>Tuesday</v>
      </c>
      <c r="L1548">
        <f t="shared" si="179"/>
        <v>0</v>
      </c>
    </row>
    <row r="1549" spans="1:12" x14ac:dyDescent="0.25">
      <c r="A1549">
        <v>158349405</v>
      </c>
      <c r="B1549" s="1">
        <v>45006</v>
      </c>
      <c r="C1549" s="1">
        <v>45154</v>
      </c>
      <c r="D1549" t="s">
        <v>7</v>
      </c>
      <c r="E1549">
        <v>39</v>
      </c>
      <c r="F1549" t="s">
        <v>6</v>
      </c>
      <c r="G1549" s="8">
        <f t="shared" si="177"/>
        <v>148</v>
      </c>
      <c r="H1549">
        <f t="shared" si="178"/>
        <v>3</v>
      </c>
      <c r="I1549" t="str">
        <f t="shared" si="176"/>
        <v>Tuesday</v>
      </c>
      <c r="L1549">
        <f t="shared" si="179"/>
        <v>0</v>
      </c>
    </row>
    <row r="1550" spans="1:12" x14ac:dyDescent="0.25">
      <c r="A1550">
        <v>205554002</v>
      </c>
      <c r="B1550" s="1">
        <v>45006</v>
      </c>
      <c r="C1550" s="1">
        <v>45153</v>
      </c>
      <c r="D1550" t="s">
        <v>7</v>
      </c>
      <c r="E1550">
        <v>39</v>
      </c>
      <c r="F1550" t="s">
        <v>6</v>
      </c>
      <c r="G1550" s="8">
        <f t="shared" si="177"/>
        <v>147</v>
      </c>
      <c r="H1550">
        <f t="shared" si="178"/>
        <v>3</v>
      </c>
      <c r="I1550" t="str">
        <f t="shared" si="176"/>
        <v>Tuesday</v>
      </c>
      <c r="L1550">
        <f t="shared" si="179"/>
        <v>0</v>
      </c>
    </row>
    <row r="1551" spans="1:12" x14ac:dyDescent="0.25">
      <c r="A1551">
        <v>207045565</v>
      </c>
      <c r="B1551" s="1">
        <v>45007</v>
      </c>
      <c r="C1551" s="1">
        <f t="shared" ref="C1551:C1553" ca="1" si="181">TODAY()</f>
        <v>45938</v>
      </c>
      <c r="D1551" t="s">
        <v>7</v>
      </c>
      <c r="E1551">
        <v>39</v>
      </c>
      <c r="F1551" t="s">
        <v>6</v>
      </c>
      <c r="G1551" s="8">
        <f t="shared" ca="1" si="177"/>
        <v>931</v>
      </c>
      <c r="H1551">
        <f t="shared" si="178"/>
        <v>4</v>
      </c>
      <c r="I1551" t="str">
        <f t="shared" si="176"/>
        <v>Wednesday</v>
      </c>
      <c r="L1551">
        <f t="shared" ca="1" si="179"/>
        <v>0</v>
      </c>
    </row>
    <row r="1552" spans="1:12" x14ac:dyDescent="0.25">
      <c r="A1552">
        <v>205483607</v>
      </c>
      <c r="B1552" s="1">
        <v>45007</v>
      </c>
      <c r="C1552" s="1">
        <f t="shared" ca="1" si="181"/>
        <v>45938</v>
      </c>
      <c r="D1552" t="s">
        <v>7</v>
      </c>
      <c r="E1552">
        <v>39</v>
      </c>
      <c r="F1552" t="s">
        <v>6</v>
      </c>
      <c r="G1552" s="8">
        <f t="shared" ca="1" si="177"/>
        <v>931</v>
      </c>
      <c r="H1552">
        <f t="shared" si="178"/>
        <v>4</v>
      </c>
      <c r="I1552" t="str">
        <f t="shared" si="176"/>
        <v>Wednesday</v>
      </c>
      <c r="L1552">
        <f t="shared" ca="1" si="179"/>
        <v>0</v>
      </c>
    </row>
    <row r="1553" spans="1:12" x14ac:dyDescent="0.25">
      <c r="A1553">
        <v>147662374</v>
      </c>
      <c r="B1553" s="1">
        <v>45007</v>
      </c>
      <c r="C1553" s="1">
        <f t="shared" ca="1" si="181"/>
        <v>45938</v>
      </c>
      <c r="D1553" t="s">
        <v>7</v>
      </c>
      <c r="E1553">
        <v>39</v>
      </c>
      <c r="F1553" t="s">
        <v>6</v>
      </c>
      <c r="G1553" s="8">
        <f t="shared" ca="1" si="177"/>
        <v>931</v>
      </c>
      <c r="H1553">
        <f t="shared" si="178"/>
        <v>4</v>
      </c>
      <c r="I1553" t="str">
        <f t="shared" si="176"/>
        <v>Wednesday</v>
      </c>
      <c r="L1553">
        <f t="shared" ca="1" si="179"/>
        <v>0</v>
      </c>
    </row>
    <row r="1554" spans="1:12" x14ac:dyDescent="0.25">
      <c r="A1554">
        <v>150652956</v>
      </c>
      <c r="B1554" s="1">
        <v>45007</v>
      </c>
      <c r="C1554" s="1">
        <v>45027</v>
      </c>
      <c r="D1554" t="s">
        <v>7</v>
      </c>
      <c r="E1554">
        <v>39</v>
      </c>
      <c r="F1554" t="s">
        <v>6</v>
      </c>
      <c r="G1554" s="8">
        <f t="shared" si="177"/>
        <v>20</v>
      </c>
      <c r="H1554">
        <f t="shared" si="178"/>
        <v>4</v>
      </c>
      <c r="I1554" t="str">
        <f t="shared" si="176"/>
        <v>Wednesday</v>
      </c>
      <c r="L1554">
        <f t="shared" si="179"/>
        <v>0</v>
      </c>
    </row>
    <row r="1555" spans="1:12" x14ac:dyDescent="0.25">
      <c r="A1555">
        <v>206527656</v>
      </c>
      <c r="B1555" s="1">
        <v>45007</v>
      </c>
      <c r="C1555" s="1">
        <v>45085</v>
      </c>
      <c r="D1555" t="s">
        <v>7</v>
      </c>
      <c r="E1555">
        <v>39</v>
      </c>
      <c r="F1555" t="s">
        <v>6</v>
      </c>
      <c r="G1555" s="8">
        <f t="shared" si="177"/>
        <v>78</v>
      </c>
      <c r="H1555">
        <f t="shared" si="178"/>
        <v>4</v>
      </c>
      <c r="I1555" t="str">
        <f t="shared" si="176"/>
        <v>Wednesday</v>
      </c>
      <c r="L1555">
        <f t="shared" si="179"/>
        <v>0</v>
      </c>
    </row>
    <row r="1556" spans="1:12" x14ac:dyDescent="0.25">
      <c r="A1556">
        <v>207041353</v>
      </c>
      <c r="B1556" s="1">
        <v>45007</v>
      </c>
      <c r="C1556" s="1">
        <v>45065</v>
      </c>
      <c r="D1556" t="s">
        <v>7</v>
      </c>
      <c r="E1556">
        <v>39</v>
      </c>
      <c r="F1556" t="s">
        <v>6</v>
      </c>
      <c r="G1556" s="8">
        <f t="shared" si="177"/>
        <v>58</v>
      </c>
      <c r="H1556">
        <f t="shared" si="178"/>
        <v>4</v>
      </c>
      <c r="I1556" t="str">
        <f t="shared" si="176"/>
        <v>Wednesday</v>
      </c>
      <c r="L1556">
        <f t="shared" si="179"/>
        <v>0</v>
      </c>
    </row>
    <row r="1557" spans="1:12" x14ac:dyDescent="0.25">
      <c r="A1557">
        <v>204448911</v>
      </c>
      <c r="B1557" s="1">
        <v>45007</v>
      </c>
      <c r="C1557" s="1">
        <v>45037</v>
      </c>
      <c r="D1557" t="s">
        <v>7</v>
      </c>
      <c r="E1557">
        <v>39</v>
      </c>
      <c r="F1557" t="s">
        <v>6</v>
      </c>
      <c r="G1557" s="8">
        <f t="shared" si="177"/>
        <v>30</v>
      </c>
      <c r="H1557">
        <f t="shared" si="178"/>
        <v>4</v>
      </c>
      <c r="I1557" t="str">
        <f t="shared" si="176"/>
        <v>Wednesday</v>
      </c>
      <c r="L1557">
        <f t="shared" si="179"/>
        <v>0</v>
      </c>
    </row>
    <row r="1558" spans="1:12" x14ac:dyDescent="0.25">
      <c r="A1558">
        <v>206951785</v>
      </c>
      <c r="B1558" s="1">
        <v>45007</v>
      </c>
      <c r="C1558" s="1">
        <v>45036</v>
      </c>
      <c r="D1558" t="s">
        <v>7</v>
      </c>
      <c r="E1558">
        <v>39</v>
      </c>
      <c r="F1558" t="s">
        <v>6</v>
      </c>
      <c r="G1558" s="8">
        <f t="shared" si="177"/>
        <v>29</v>
      </c>
      <c r="H1558">
        <f t="shared" si="178"/>
        <v>4</v>
      </c>
      <c r="I1558" t="str">
        <f t="shared" si="176"/>
        <v>Wednesday</v>
      </c>
      <c r="L1558">
        <f t="shared" si="179"/>
        <v>0</v>
      </c>
    </row>
    <row r="1559" spans="1:12" x14ac:dyDescent="0.25">
      <c r="A1559">
        <v>206892555</v>
      </c>
      <c r="B1559" s="1">
        <v>45007</v>
      </c>
      <c r="C1559" s="1">
        <v>45009</v>
      </c>
      <c r="D1559" t="s">
        <v>7</v>
      </c>
      <c r="E1559">
        <v>39</v>
      </c>
      <c r="F1559" t="s">
        <v>6</v>
      </c>
      <c r="G1559" s="8">
        <f t="shared" si="177"/>
        <v>2</v>
      </c>
      <c r="H1559">
        <f t="shared" si="178"/>
        <v>4</v>
      </c>
      <c r="I1559" t="str">
        <f t="shared" si="176"/>
        <v>Wednesday</v>
      </c>
      <c r="L1559">
        <f t="shared" si="179"/>
        <v>1</v>
      </c>
    </row>
    <row r="1560" spans="1:12" x14ac:dyDescent="0.25">
      <c r="A1560">
        <v>207051401</v>
      </c>
      <c r="B1560" s="1">
        <v>45008</v>
      </c>
      <c r="C1560" s="1">
        <f t="shared" ref="C1560:C1561" ca="1" si="182">TODAY()</f>
        <v>45938</v>
      </c>
      <c r="D1560" t="s">
        <v>7</v>
      </c>
      <c r="E1560">
        <v>39</v>
      </c>
      <c r="F1560" t="s">
        <v>6</v>
      </c>
      <c r="G1560" s="8">
        <f t="shared" ca="1" si="177"/>
        <v>930</v>
      </c>
      <c r="H1560">
        <f t="shared" si="178"/>
        <v>5</v>
      </c>
      <c r="I1560" t="str">
        <f t="shared" si="176"/>
        <v>Thursday</v>
      </c>
      <c r="L1560">
        <f t="shared" ca="1" si="179"/>
        <v>0</v>
      </c>
    </row>
    <row r="1561" spans="1:12" x14ac:dyDescent="0.25">
      <c r="A1561">
        <v>206904848</v>
      </c>
      <c r="B1561" s="1">
        <v>45008</v>
      </c>
      <c r="C1561" s="1">
        <f t="shared" ca="1" si="182"/>
        <v>45938</v>
      </c>
      <c r="D1561" t="s">
        <v>7</v>
      </c>
      <c r="E1561">
        <v>39</v>
      </c>
      <c r="F1561" t="s">
        <v>6</v>
      </c>
      <c r="G1561" s="8">
        <f t="shared" ca="1" si="177"/>
        <v>930</v>
      </c>
      <c r="H1561">
        <f t="shared" si="178"/>
        <v>5</v>
      </c>
      <c r="I1561" t="str">
        <f t="shared" si="176"/>
        <v>Thursday</v>
      </c>
      <c r="L1561">
        <f t="shared" ca="1" si="179"/>
        <v>0</v>
      </c>
    </row>
    <row r="1562" spans="1:12" x14ac:dyDescent="0.25">
      <c r="A1562">
        <v>204598188</v>
      </c>
      <c r="B1562" s="1">
        <v>45008</v>
      </c>
      <c r="C1562" s="1">
        <v>45169</v>
      </c>
      <c r="D1562" t="s">
        <v>7</v>
      </c>
      <c r="E1562">
        <v>39</v>
      </c>
      <c r="F1562" t="s">
        <v>6</v>
      </c>
      <c r="G1562" s="8">
        <f t="shared" si="177"/>
        <v>161</v>
      </c>
      <c r="H1562">
        <f t="shared" si="178"/>
        <v>5</v>
      </c>
      <c r="I1562" t="str">
        <f t="shared" si="176"/>
        <v>Thursday</v>
      </c>
      <c r="L1562">
        <f t="shared" si="179"/>
        <v>0</v>
      </c>
    </row>
    <row r="1563" spans="1:12" x14ac:dyDescent="0.25">
      <c r="A1563">
        <v>206447228</v>
      </c>
      <c r="B1563" s="1">
        <v>45008</v>
      </c>
      <c r="C1563" s="1">
        <v>45072</v>
      </c>
      <c r="D1563" t="s">
        <v>7</v>
      </c>
      <c r="E1563">
        <v>39</v>
      </c>
      <c r="F1563" t="s">
        <v>6</v>
      </c>
      <c r="G1563" s="8">
        <f t="shared" si="177"/>
        <v>64</v>
      </c>
      <c r="H1563">
        <f t="shared" si="178"/>
        <v>5</v>
      </c>
      <c r="I1563" t="str">
        <f t="shared" si="176"/>
        <v>Thursday</v>
      </c>
      <c r="L1563">
        <f t="shared" si="179"/>
        <v>0</v>
      </c>
    </row>
    <row r="1564" spans="1:12" x14ac:dyDescent="0.25">
      <c r="A1564">
        <v>206190599</v>
      </c>
      <c r="B1564" s="1">
        <v>45008</v>
      </c>
      <c r="C1564" s="1">
        <v>45057</v>
      </c>
      <c r="D1564" t="s">
        <v>7</v>
      </c>
      <c r="E1564">
        <v>39</v>
      </c>
      <c r="F1564" t="s">
        <v>6</v>
      </c>
      <c r="G1564" s="8">
        <f t="shared" si="177"/>
        <v>49</v>
      </c>
      <c r="H1564">
        <f t="shared" si="178"/>
        <v>5</v>
      </c>
      <c r="I1564" t="str">
        <f t="shared" si="176"/>
        <v>Thursday</v>
      </c>
      <c r="L1564">
        <f t="shared" si="179"/>
        <v>0</v>
      </c>
    </row>
    <row r="1565" spans="1:12" x14ac:dyDescent="0.25">
      <c r="A1565">
        <v>207014740</v>
      </c>
      <c r="B1565" s="1">
        <v>45008</v>
      </c>
      <c r="C1565" s="1">
        <v>45023</v>
      </c>
      <c r="D1565" t="s">
        <v>7</v>
      </c>
      <c r="E1565">
        <v>39</v>
      </c>
      <c r="F1565" t="s">
        <v>6</v>
      </c>
      <c r="G1565" s="8">
        <f t="shared" si="177"/>
        <v>15</v>
      </c>
      <c r="H1565">
        <f t="shared" si="178"/>
        <v>5</v>
      </c>
      <c r="I1565" t="str">
        <f t="shared" si="176"/>
        <v>Thursday</v>
      </c>
      <c r="L1565">
        <f t="shared" si="179"/>
        <v>0</v>
      </c>
    </row>
    <row r="1566" spans="1:12" x14ac:dyDescent="0.25">
      <c r="A1566">
        <v>156762690</v>
      </c>
      <c r="B1566" s="1">
        <v>45008</v>
      </c>
      <c r="C1566" s="1">
        <v>45037</v>
      </c>
      <c r="D1566" t="s">
        <v>7</v>
      </c>
      <c r="E1566">
        <v>39</v>
      </c>
      <c r="F1566" t="s">
        <v>6</v>
      </c>
      <c r="G1566" s="8">
        <f t="shared" si="177"/>
        <v>29</v>
      </c>
      <c r="H1566">
        <f t="shared" si="178"/>
        <v>5</v>
      </c>
      <c r="I1566" t="str">
        <f t="shared" si="176"/>
        <v>Thursday</v>
      </c>
      <c r="L1566">
        <f t="shared" si="179"/>
        <v>0</v>
      </c>
    </row>
    <row r="1567" spans="1:12" x14ac:dyDescent="0.25">
      <c r="A1567">
        <v>207116463</v>
      </c>
      <c r="B1567" s="1">
        <v>45008</v>
      </c>
      <c r="C1567" s="1">
        <v>45037</v>
      </c>
      <c r="D1567" t="s">
        <v>7</v>
      </c>
      <c r="E1567">
        <v>39</v>
      </c>
      <c r="F1567" t="s">
        <v>6</v>
      </c>
      <c r="G1567" s="8">
        <f t="shared" si="177"/>
        <v>29</v>
      </c>
      <c r="H1567">
        <f t="shared" si="178"/>
        <v>5</v>
      </c>
      <c r="I1567" t="str">
        <f t="shared" si="176"/>
        <v>Thursday</v>
      </c>
      <c r="L1567">
        <f t="shared" si="179"/>
        <v>0</v>
      </c>
    </row>
    <row r="1568" spans="1:12" x14ac:dyDescent="0.25">
      <c r="A1568">
        <v>206555111</v>
      </c>
      <c r="B1568" s="1">
        <v>45008</v>
      </c>
      <c r="C1568" s="1">
        <v>45033</v>
      </c>
      <c r="D1568" t="s">
        <v>7</v>
      </c>
      <c r="E1568">
        <v>39</v>
      </c>
      <c r="F1568" t="s">
        <v>6</v>
      </c>
      <c r="G1568" s="8">
        <f t="shared" si="177"/>
        <v>25</v>
      </c>
      <c r="H1568">
        <f t="shared" si="178"/>
        <v>5</v>
      </c>
      <c r="I1568" t="str">
        <f t="shared" si="176"/>
        <v>Thursday</v>
      </c>
      <c r="L1568">
        <f t="shared" si="179"/>
        <v>0</v>
      </c>
    </row>
    <row r="1569" spans="1:12" x14ac:dyDescent="0.25">
      <c r="A1569">
        <v>169543155</v>
      </c>
      <c r="B1569" s="1">
        <v>45008</v>
      </c>
      <c r="C1569" s="1">
        <v>45046</v>
      </c>
      <c r="D1569" t="s">
        <v>7</v>
      </c>
      <c r="E1569">
        <v>39</v>
      </c>
      <c r="F1569" t="s">
        <v>6</v>
      </c>
      <c r="G1569" s="8">
        <f t="shared" si="177"/>
        <v>38</v>
      </c>
      <c r="H1569">
        <f t="shared" si="178"/>
        <v>5</v>
      </c>
      <c r="I1569" t="str">
        <f t="shared" si="176"/>
        <v>Thursday</v>
      </c>
      <c r="L1569">
        <f t="shared" si="179"/>
        <v>0</v>
      </c>
    </row>
    <row r="1570" spans="1:12" x14ac:dyDescent="0.25">
      <c r="A1570">
        <v>202270426</v>
      </c>
      <c r="B1570" s="1">
        <v>45008</v>
      </c>
      <c r="C1570" s="1">
        <v>45046</v>
      </c>
      <c r="D1570" t="s">
        <v>7</v>
      </c>
      <c r="E1570">
        <v>39</v>
      </c>
      <c r="F1570" t="s">
        <v>6</v>
      </c>
      <c r="G1570" s="8">
        <f t="shared" si="177"/>
        <v>38</v>
      </c>
      <c r="H1570">
        <f t="shared" si="178"/>
        <v>5</v>
      </c>
      <c r="I1570" t="str">
        <f t="shared" si="176"/>
        <v>Thursday</v>
      </c>
      <c r="L1570">
        <f t="shared" si="179"/>
        <v>0</v>
      </c>
    </row>
    <row r="1571" spans="1:12" x14ac:dyDescent="0.25">
      <c r="A1571">
        <v>207005361</v>
      </c>
      <c r="B1571" s="1">
        <v>45008</v>
      </c>
      <c r="C1571" s="1">
        <v>45118</v>
      </c>
      <c r="D1571" t="s">
        <v>7</v>
      </c>
      <c r="E1571">
        <v>39</v>
      </c>
      <c r="F1571" t="s">
        <v>6</v>
      </c>
      <c r="G1571" s="8">
        <f t="shared" si="177"/>
        <v>110</v>
      </c>
      <c r="H1571">
        <f t="shared" si="178"/>
        <v>5</v>
      </c>
      <c r="I1571" t="str">
        <f t="shared" si="176"/>
        <v>Thursday</v>
      </c>
      <c r="L1571">
        <f t="shared" si="179"/>
        <v>0</v>
      </c>
    </row>
    <row r="1572" spans="1:12" x14ac:dyDescent="0.25">
      <c r="A1572">
        <v>206105763</v>
      </c>
      <c r="B1572" s="1">
        <v>45009</v>
      </c>
      <c r="C1572" s="1">
        <f t="shared" ref="C1572:C1576" ca="1" si="183">TODAY()</f>
        <v>45938</v>
      </c>
      <c r="D1572" t="s">
        <v>7</v>
      </c>
      <c r="E1572">
        <v>39</v>
      </c>
      <c r="F1572" t="s">
        <v>6</v>
      </c>
      <c r="G1572" s="8">
        <f t="shared" ca="1" si="177"/>
        <v>929</v>
      </c>
      <c r="H1572">
        <f t="shared" si="178"/>
        <v>6</v>
      </c>
      <c r="I1572" t="str">
        <f t="shared" si="176"/>
        <v>Friday</v>
      </c>
      <c r="L1572">
        <f t="shared" ca="1" si="179"/>
        <v>0</v>
      </c>
    </row>
    <row r="1573" spans="1:12" x14ac:dyDescent="0.25">
      <c r="A1573">
        <v>198968224</v>
      </c>
      <c r="B1573" s="1">
        <v>45009</v>
      </c>
      <c r="C1573" s="1">
        <f t="shared" ca="1" si="183"/>
        <v>45938</v>
      </c>
      <c r="D1573" t="s">
        <v>7</v>
      </c>
      <c r="E1573">
        <v>39</v>
      </c>
      <c r="F1573" t="s">
        <v>6</v>
      </c>
      <c r="G1573" s="8">
        <f t="shared" ca="1" si="177"/>
        <v>929</v>
      </c>
      <c r="H1573">
        <f t="shared" si="178"/>
        <v>6</v>
      </c>
      <c r="I1573" t="str">
        <f t="shared" si="176"/>
        <v>Friday</v>
      </c>
      <c r="L1573">
        <f t="shared" ca="1" si="179"/>
        <v>0</v>
      </c>
    </row>
    <row r="1574" spans="1:12" x14ac:dyDescent="0.25">
      <c r="A1574">
        <v>205342230</v>
      </c>
      <c r="B1574" s="1">
        <v>45009</v>
      </c>
      <c r="C1574" s="1">
        <f t="shared" ca="1" si="183"/>
        <v>45938</v>
      </c>
      <c r="D1574" t="s">
        <v>7</v>
      </c>
      <c r="E1574">
        <v>39</v>
      </c>
      <c r="F1574" t="s">
        <v>6</v>
      </c>
      <c r="G1574" s="8">
        <f t="shared" ca="1" si="177"/>
        <v>929</v>
      </c>
      <c r="H1574">
        <f t="shared" si="178"/>
        <v>6</v>
      </c>
      <c r="I1574" t="str">
        <f t="shared" si="176"/>
        <v>Friday</v>
      </c>
      <c r="L1574">
        <f t="shared" ca="1" si="179"/>
        <v>0</v>
      </c>
    </row>
    <row r="1575" spans="1:12" x14ac:dyDescent="0.25">
      <c r="A1575">
        <v>207224044</v>
      </c>
      <c r="B1575" s="1">
        <v>45009</v>
      </c>
      <c r="C1575" s="1">
        <f t="shared" ca="1" si="183"/>
        <v>45938</v>
      </c>
      <c r="D1575" t="s">
        <v>7</v>
      </c>
      <c r="E1575">
        <v>39</v>
      </c>
      <c r="F1575" t="s">
        <v>6</v>
      </c>
      <c r="G1575" s="8">
        <f t="shared" ca="1" si="177"/>
        <v>929</v>
      </c>
      <c r="H1575">
        <f t="shared" si="178"/>
        <v>6</v>
      </c>
      <c r="I1575" t="str">
        <f t="shared" si="176"/>
        <v>Friday</v>
      </c>
      <c r="L1575">
        <f t="shared" ca="1" si="179"/>
        <v>0</v>
      </c>
    </row>
    <row r="1576" spans="1:12" x14ac:dyDescent="0.25">
      <c r="A1576">
        <v>174232231</v>
      </c>
      <c r="B1576" s="1">
        <v>45009</v>
      </c>
      <c r="C1576" s="1">
        <f t="shared" ca="1" si="183"/>
        <v>45938</v>
      </c>
      <c r="D1576" t="s">
        <v>7</v>
      </c>
      <c r="E1576">
        <v>39</v>
      </c>
      <c r="F1576" t="s">
        <v>6</v>
      </c>
      <c r="G1576" s="8">
        <f t="shared" ca="1" si="177"/>
        <v>929</v>
      </c>
      <c r="H1576">
        <f t="shared" si="178"/>
        <v>6</v>
      </c>
      <c r="I1576" t="str">
        <f t="shared" si="176"/>
        <v>Friday</v>
      </c>
      <c r="L1576">
        <f t="shared" ca="1" si="179"/>
        <v>0</v>
      </c>
    </row>
    <row r="1577" spans="1:12" x14ac:dyDescent="0.25">
      <c r="A1577">
        <v>207017124</v>
      </c>
      <c r="B1577" s="1">
        <v>45009</v>
      </c>
      <c r="C1577" s="1">
        <v>45009</v>
      </c>
      <c r="D1577" t="s">
        <v>8</v>
      </c>
      <c r="E1577">
        <v>39</v>
      </c>
      <c r="F1577" t="s">
        <v>6</v>
      </c>
      <c r="G1577" s="8">
        <f t="shared" si="177"/>
        <v>0</v>
      </c>
      <c r="H1577">
        <f t="shared" si="178"/>
        <v>6</v>
      </c>
      <c r="I1577" t="str">
        <f t="shared" si="176"/>
        <v>Friday</v>
      </c>
      <c r="L1577">
        <f t="shared" si="179"/>
        <v>1</v>
      </c>
    </row>
    <row r="1578" spans="1:12" x14ac:dyDescent="0.25">
      <c r="A1578">
        <v>194006146</v>
      </c>
      <c r="B1578" s="1">
        <v>45009</v>
      </c>
      <c r="C1578" s="1">
        <v>45093</v>
      </c>
      <c r="D1578" t="s">
        <v>7</v>
      </c>
      <c r="E1578">
        <v>39</v>
      </c>
      <c r="F1578" t="s">
        <v>6</v>
      </c>
      <c r="G1578" s="8">
        <f t="shared" si="177"/>
        <v>84</v>
      </c>
      <c r="H1578">
        <f t="shared" si="178"/>
        <v>6</v>
      </c>
      <c r="I1578" t="str">
        <f t="shared" si="176"/>
        <v>Friday</v>
      </c>
      <c r="L1578">
        <f t="shared" si="179"/>
        <v>0</v>
      </c>
    </row>
    <row r="1579" spans="1:12" x14ac:dyDescent="0.25">
      <c r="A1579">
        <v>150509580</v>
      </c>
      <c r="B1579" s="1">
        <v>45009</v>
      </c>
      <c r="C1579" s="1">
        <v>45086</v>
      </c>
      <c r="D1579" t="s">
        <v>7</v>
      </c>
      <c r="E1579">
        <v>39</v>
      </c>
      <c r="F1579" t="s">
        <v>6</v>
      </c>
      <c r="G1579" s="8">
        <f t="shared" si="177"/>
        <v>77</v>
      </c>
      <c r="H1579">
        <f t="shared" si="178"/>
        <v>6</v>
      </c>
      <c r="I1579" t="str">
        <f t="shared" si="176"/>
        <v>Friday</v>
      </c>
      <c r="L1579">
        <f t="shared" si="179"/>
        <v>0</v>
      </c>
    </row>
    <row r="1580" spans="1:12" x14ac:dyDescent="0.25">
      <c r="A1580">
        <v>207120479</v>
      </c>
      <c r="B1580" s="1">
        <v>45009</v>
      </c>
      <c r="C1580" s="1">
        <v>45076</v>
      </c>
      <c r="D1580" t="s">
        <v>7</v>
      </c>
      <c r="E1580">
        <v>39</v>
      </c>
      <c r="F1580" t="s">
        <v>6</v>
      </c>
      <c r="G1580" s="8">
        <f t="shared" si="177"/>
        <v>67</v>
      </c>
      <c r="H1580">
        <f t="shared" si="178"/>
        <v>6</v>
      </c>
      <c r="I1580" t="str">
        <f t="shared" si="176"/>
        <v>Friday</v>
      </c>
      <c r="L1580">
        <f t="shared" si="179"/>
        <v>0</v>
      </c>
    </row>
    <row r="1581" spans="1:12" x14ac:dyDescent="0.25">
      <c r="A1581">
        <v>162069198</v>
      </c>
      <c r="B1581" s="1">
        <v>45009</v>
      </c>
      <c r="C1581" s="1">
        <v>45039</v>
      </c>
      <c r="D1581" t="s">
        <v>7</v>
      </c>
      <c r="E1581">
        <v>39</v>
      </c>
      <c r="F1581" t="s">
        <v>6</v>
      </c>
      <c r="G1581" s="8">
        <f t="shared" si="177"/>
        <v>30</v>
      </c>
      <c r="H1581">
        <f t="shared" si="178"/>
        <v>6</v>
      </c>
      <c r="I1581" t="str">
        <f t="shared" si="176"/>
        <v>Friday</v>
      </c>
      <c r="L1581">
        <f t="shared" si="179"/>
        <v>0</v>
      </c>
    </row>
    <row r="1582" spans="1:12" x14ac:dyDescent="0.25">
      <c r="A1582">
        <v>206742272</v>
      </c>
      <c r="B1582" s="1">
        <v>45009</v>
      </c>
      <c r="C1582" s="1">
        <v>45044</v>
      </c>
      <c r="D1582" t="s">
        <v>7</v>
      </c>
      <c r="E1582">
        <v>39</v>
      </c>
      <c r="F1582" t="s">
        <v>6</v>
      </c>
      <c r="G1582" s="8">
        <f t="shared" si="177"/>
        <v>35</v>
      </c>
      <c r="H1582">
        <f t="shared" si="178"/>
        <v>6</v>
      </c>
      <c r="I1582" t="str">
        <f t="shared" si="176"/>
        <v>Friday</v>
      </c>
      <c r="L1582">
        <f t="shared" si="179"/>
        <v>0</v>
      </c>
    </row>
    <row r="1583" spans="1:12" x14ac:dyDescent="0.25">
      <c r="A1583">
        <v>207433836</v>
      </c>
      <c r="B1583" s="1">
        <v>45010</v>
      </c>
      <c r="C1583" s="1">
        <f t="shared" ref="C1583:C1585" ca="1" si="184">TODAY()</f>
        <v>45938</v>
      </c>
      <c r="D1583" t="s">
        <v>7</v>
      </c>
      <c r="E1583">
        <v>39</v>
      </c>
      <c r="F1583" t="s">
        <v>6</v>
      </c>
      <c r="G1583" s="8">
        <f t="shared" ca="1" si="177"/>
        <v>928</v>
      </c>
      <c r="H1583">
        <f t="shared" si="178"/>
        <v>7</v>
      </c>
      <c r="I1583" t="str">
        <f t="shared" si="176"/>
        <v>Saturday</v>
      </c>
      <c r="L1583">
        <f t="shared" ca="1" si="179"/>
        <v>0</v>
      </c>
    </row>
    <row r="1584" spans="1:12" x14ac:dyDescent="0.25">
      <c r="A1584">
        <v>207382183</v>
      </c>
      <c r="B1584" s="1">
        <v>45010</v>
      </c>
      <c r="C1584" s="1">
        <f t="shared" ca="1" si="184"/>
        <v>45938</v>
      </c>
      <c r="D1584" t="s">
        <v>7</v>
      </c>
      <c r="E1584">
        <v>39</v>
      </c>
      <c r="F1584" t="s">
        <v>6</v>
      </c>
      <c r="G1584" s="8">
        <f t="shared" ca="1" si="177"/>
        <v>928</v>
      </c>
      <c r="H1584">
        <f t="shared" si="178"/>
        <v>7</v>
      </c>
      <c r="I1584" t="str">
        <f t="shared" si="176"/>
        <v>Saturday</v>
      </c>
      <c r="L1584">
        <f t="shared" ca="1" si="179"/>
        <v>0</v>
      </c>
    </row>
    <row r="1585" spans="1:12" x14ac:dyDescent="0.25">
      <c r="A1585">
        <v>205051942</v>
      </c>
      <c r="B1585" s="1">
        <v>45010</v>
      </c>
      <c r="C1585" s="1">
        <f t="shared" ca="1" si="184"/>
        <v>45938</v>
      </c>
      <c r="D1585" t="s">
        <v>7</v>
      </c>
      <c r="E1585">
        <v>39</v>
      </c>
      <c r="F1585" t="s">
        <v>6</v>
      </c>
      <c r="G1585" s="8">
        <f t="shared" ca="1" si="177"/>
        <v>928</v>
      </c>
      <c r="H1585">
        <f t="shared" si="178"/>
        <v>7</v>
      </c>
      <c r="I1585" t="str">
        <f t="shared" si="176"/>
        <v>Saturday</v>
      </c>
      <c r="L1585">
        <f t="shared" ca="1" si="179"/>
        <v>0</v>
      </c>
    </row>
    <row r="1586" spans="1:12" x14ac:dyDescent="0.25">
      <c r="A1586">
        <v>132631414</v>
      </c>
      <c r="B1586" s="1">
        <v>45010</v>
      </c>
      <c r="C1586" s="1">
        <v>45109</v>
      </c>
      <c r="D1586" t="s">
        <v>7</v>
      </c>
      <c r="E1586">
        <v>39</v>
      </c>
      <c r="F1586" t="s">
        <v>6</v>
      </c>
      <c r="G1586" s="8">
        <f t="shared" si="177"/>
        <v>99</v>
      </c>
      <c r="H1586">
        <f t="shared" si="178"/>
        <v>7</v>
      </c>
      <c r="I1586" t="str">
        <f t="shared" si="176"/>
        <v>Saturday</v>
      </c>
      <c r="L1586">
        <f t="shared" si="179"/>
        <v>0</v>
      </c>
    </row>
    <row r="1587" spans="1:12" x14ac:dyDescent="0.25">
      <c r="A1587">
        <v>207529664</v>
      </c>
      <c r="B1587" s="1">
        <v>45010</v>
      </c>
      <c r="C1587" s="1">
        <v>45016</v>
      </c>
      <c r="D1587" t="s">
        <v>7</v>
      </c>
      <c r="E1587">
        <v>39</v>
      </c>
      <c r="F1587" t="s">
        <v>6</v>
      </c>
      <c r="G1587" s="8">
        <f t="shared" si="177"/>
        <v>6</v>
      </c>
      <c r="H1587">
        <f t="shared" si="178"/>
        <v>7</v>
      </c>
      <c r="I1587" t="str">
        <f t="shared" si="176"/>
        <v>Saturday</v>
      </c>
      <c r="L1587">
        <f t="shared" si="179"/>
        <v>0</v>
      </c>
    </row>
    <row r="1588" spans="1:12" x14ac:dyDescent="0.25">
      <c r="A1588">
        <v>207022940</v>
      </c>
      <c r="B1588" s="1">
        <v>45010</v>
      </c>
      <c r="C1588" s="1">
        <v>45117</v>
      </c>
      <c r="D1588" t="s">
        <v>7</v>
      </c>
      <c r="E1588">
        <v>39</v>
      </c>
      <c r="F1588" t="s">
        <v>6</v>
      </c>
      <c r="G1588" s="8">
        <f t="shared" si="177"/>
        <v>107</v>
      </c>
      <c r="H1588">
        <f t="shared" si="178"/>
        <v>7</v>
      </c>
      <c r="I1588" t="str">
        <f t="shared" si="176"/>
        <v>Saturday</v>
      </c>
      <c r="L1588">
        <f t="shared" si="179"/>
        <v>0</v>
      </c>
    </row>
    <row r="1589" spans="1:12" x14ac:dyDescent="0.25">
      <c r="A1589">
        <v>207388337</v>
      </c>
      <c r="B1589" s="1">
        <v>45010</v>
      </c>
      <c r="C1589" s="1">
        <v>45141</v>
      </c>
      <c r="D1589" t="s">
        <v>7</v>
      </c>
      <c r="E1589">
        <v>39</v>
      </c>
      <c r="F1589" t="s">
        <v>6</v>
      </c>
      <c r="G1589" s="8">
        <f t="shared" si="177"/>
        <v>131</v>
      </c>
      <c r="H1589">
        <f t="shared" si="178"/>
        <v>7</v>
      </c>
      <c r="I1589" t="str">
        <f t="shared" si="176"/>
        <v>Saturday</v>
      </c>
      <c r="L1589">
        <f t="shared" si="179"/>
        <v>0</v>
      </c>
    </row>
    <row r="1590" spans="1:12" x14ac:dyDescent="0.25">
      <c r="A1590">
        <v>205883858</v>
      </c>
      <c r="B1590" s="1">
        <v>45011</v>
      </c>
      <c r="C1590" s="1">
        <f t="shared" ref="C1590" ca="1" si="185">TODAY()</f>
        <v>45938</v>
      </c>
      <c r="D1590" t="s">
        <v>7</v>
      </c>
      <c r="E1590">
        <v>39</v>
      </c>
      <c r="F1590" t="s">
        <v>6</v>
      </c>
      <c r="G1590" s="8">
        <f t="shared" ca="1" si="177"/>
        <v>927</v>
      </c>
      <c r="H1590">
        <f t="shared" si="178"/>
        <v>1</v>
      </c>
      <c r="I1590" t="str">
        <f t="shared" si="176"/>
        <v>Sunday</v>
      </c>
      <c r="L1590">
        <f t="shared" ca="1" si="179"/>
        <v>0</v>
      </c>
    </row>
    <row r="1591" spans="1:12" x14ac:dyDescent="0.25">
      <c r="A1591">
        <v>173711359</v>
      </c>
      <c r="B1591" s="1">
        <v>45011</v>
      </c>
      <c r="C1591" s="1">
        <v>45087</v>
      </c>
      <c r="D1591" t="s">
        <v>7</v>
      </c>
      <c r="E1591">
        <v>39</v>
      </c>
      <c r="F1591" t="s">
        <v>6</v>
      </c>
      <c r="G1591" s="8">
        <f t="shared" si="177"/>
        <v>76</v>
      </c>
      <c r="H1591">
        <f t="shared" si="178"/>
        <v>1</v>
      </c>
      <c r="I1591" t="str">
        <f t="shared" si="176"/>
        <v>Sunday</v>
      </c>
      <c r="L1591">
        <f t="shared" si="179"/>
        <v>0</v>
      </c>
    </row>
    <row r="1592" spans="1:12" x14ac:dyDescent="0.25">
      <c r="A1592">
        <v>207078726</v>
      </c>
      <c r="B1592" s="1">
        <v>45011</v>
      </c>
      <c r="C1592" s="1">
        <v>45090</v>
      </c>
      <c r="D1592" t="s">
        <v>7</v>
      </c>
      <c r="E1592">
        <v>39</v>
      </c>
      <c r="F1592" t="s">
        <v>6</v>
      </c>
      <c r="G1592" s="8">
        <f t="shared" si="177"/>
        <v>79</v>
      </c>
      <c r="H1592">
        <f t="shared" si="178"/>
        <v>1</v>
      </c>
      <c r="I1592" t="str">
        <f t="shared" si="176"/>
        <v>Sunday</v>
      </c>
      <c r="L1592">
        <f t="shared" si="179"/>
        <v>0</v>
      </c>
    </row>
    <row r="1593" spans="1:12" x14ac:dyDescent="0.25">
      <c r="A1593">
        <v>207415911</v>
      </c>
      <c r="B1593" s="1">
        <v>45011</v>
      </c>
      <c r="C1593" s="1">
        <v>45077</v>
      </c>
      <c r="D1593" t="s">
        <v>7</v>
      </c>
      <c r="E1593">
        <v>39</v>
      </c>
      <c r="F1593" t="s">
        <v>6</v>
      </c>
      <c r="G1593" s="8">
        <f t="shared" si="177"/>
        <v>66</v>
      </c>
      <c r="H1593">
        <f t="shared" si="178"/>
        <v>1</v>
      </c>
      <c r="I1593" t="str">
        <f t="shared" si="176"/>
        <v>Sunday</v>
      </c>
      <c r="L1593">
        <f t="shared" si="179"/>
        <v>0</v>
      </c>
    </row>
    <row r="1594" spans="1:12" x14ac:dyDescent="0.25">
      <c r="A1594">
        <v>207391012</v>
      </c>
      <c r="B1594" s="1">
        <v>45011</v>
      </c>
      <c r="C1594" s="1">
        <v>45022</v>
      </c>
      <c r="D1594" t="s">
        <v>7</v>
      </c>
      <c r="E1594">
        <v>39</v>
      </c>
      <c r="F1594" t="s">
        <v>6</v>
      </c>
      <c r="G1594" s="8">
        <f t="shared" si="177"/>
        <v>11</v>
      </c>
      <c r="H1594">
        <f t="shared" si="178"/>
        <v>1</v>
      </c>
      <c r="I1594" t="str">
        <f t="shared" si="176"/>
        <v>Sunday</v>
      </c>
      <c r="L1594">
        <f t="shared" si="179"/>
        <v>0</v>
      </c>
    </row>
    <row r="1595" spans="1:12" x14ac:dyDescent="0.25">
      <c r="A1595">
        <v>207699946</v>
      </c>
      <c r="B1595" s="1">
        <v>45011</v>
      </c>
      <c r="C1595" s="1">
        <v>45040</v>
      </c>
      <c r="D1595" t="s">
        <v>7</v>
      </c>
      <c r="E1595">
        <v>39</v>
      </c>
      <c r="F1595" t="s">
        <v>6</v>
      </c>
      <c r="G1595" s="8">
        <f t="shared" si="177"/>
        <v>29</v>
      </c>
      <c r="H1595">
        <f t="shared" si="178"/>
        <v>1</v>
      </c>
      <c r="I1595" t="str">
        <f t="shared" si="176"/>
        <v>Sunday</v>
      </c>
      <c r="L1595">
        <f t="shared" si="179"/>
        <v>0</v>
      </c>
    </row>
    <row r="1596" spans="1:12" x14ac:dyDescent="0.25">
      <c r="A1596">
        <v>207665488</v>
      </c>
      <c r="B1596" s="1">
        <v>45011</v>
      </c>
      <c r="C1596" s="1">
        <v>45011</v>
      </c>
      <c r="D1596" t="s">
        <v>7</v>
      </c>
      <c r="E1596">
        <v>39</v>
      </c>
      <c r="F1596" t="s">
        <v>6</v>
      </c>
      <c r="G1596" s="8">
        <f t="shared" si="177"/>
        <v>0</v>
      </c>
      <c r="H1596">
        <f t="shared" si="178"/>
        <v>1</v>
      </c>
      <c r="I1596" t="str">
        <f t="shared" si="176"/>
        <v>Sunday</v>
      </c>
      <c r="L1596">
        <f t="shared" si="179"/>
        <v>1</v>
      </c>
    </row>
    <row r="1597" spans="1:12" x14ac:dyDescent="0.25">
      <c r="A1597">
        <v>207742153</v>
      </c>
      <c r="B1597" s="1">
        <v>45011</v>
      </c>
      <c r="C1597" s="1">
        <v>45114</v>
      </c>
      <c r="D1597" t="s">
        <v>7</v>
      </c>
      <c r="E1597">
        <v>39</v>
      </c>
      <c r="F1597" t="s">
        <v>6</v>
      </c>
      <c r="G1597" s="8">
        <f t="shared" si="177"/>
        <v>103</v>
      </c>
      <c r="H1597">
        <f t="shared" si="178"/>
        <v>1</v>
      </c>
      <c r="I1597" t="str">
        <f t="shared" si="176"/>
        <v>Sunday</v>
      </c>
      <c r="L1597">
        <f t="shared" si="179"/>
        <v>0</v>
      </c>
    </row>
    <row r="1598" spans="1:12" x14ac:dyDescent="0.25">
      <c r="A1598">
        <v>207288677</v>
      </c>
      <c r="B1598" s="1">
        <v>45012</v>
      </c>
      <c r="C1598" s="1">
        <f t="shared" ref="C1598:C1601" ca="1" si="186">TODAY()</f>
        <v>45938</v>
      </c>
      <c r="D1598" t="s">
        <v>7</v>
      </c>
      <c r="E1598">
        <v>39</v>
      </c>
      <c r="F1598" t="s">
        <v>6</v>
      </c>
      <c r="G1598" s="8">
        <f t="shared" ca="1" si="177"/>
        <v>926</v>
      </c>
      <c r="H1598">
        <f t="shared" si="178"/>
        <v>2</v>
      </c>
      <c r="I1598" t="str">
        <f t="shared" si="176"/>
        <v>Monday</v>
      </c>
      <c r="L1598">
        <f t="shared" ca="1" si="179"/>
        <v>0</v>
      </c>
    </row>
    <row r="1599" spans="1:12" x14ac:dyDescent="0.25">
      <c r="A1599">
        <v>208151007</v>
      </c>
      <c r="B1599" s="1">
        <v>45012</v>
      </c>
      <c r="C1599" s="1">
        <f t="shared" ca="1" si="186"/>
        <v>45938</v>
      </c>
      <c r="D1599" t="s">
        <v>7</v>
      </c>
      <c r="E1599">
        <v>39</v>
      </c>
      <c r="F1599" t="s">
        <v>6</v>
      </c>
      <c r="G1599" s="8">
        <f t="shared" ca="1" si="177"/>
        <v>926</v>
      </c>
      <c r="H1599">
        <f t="shared" si="178"/>
        <v>2</v>
      </c>
      <c r="I1599" t="str">
        <f t="shared" si="176"/>
        <v>Monday</v>
      </c>
      <c r="L1599">
        <f t="shared" ca="1" si="179"/>
        <v>0</v>
      </c>
    </row>
    <row r="1600" spans="1:12" x14ac:dyDescent="0.25">
      <c r="A1600">
        <v>207218336</v>
      </c>
      <c r="B1600" s="1">
        <v>45012</v>
      </c>
      <c r="C1600" s="1">
        <f t="shared" ca="1" si="186"/>
        <v>45938</v>
      </c>
      <c r="D1600" t="s">
        <v>7</v>
      </c>
      <c r="E1600">
        <v>39</v>
      </c>
      <c r="F1600" t="s">
        <v>6</v>
      </c>
      <c r="G1600" s="8">
        <f t="shared" ca="1" si="177"/>
        <v>926</v>
      </c>
      <c r="H1600">
        <f t="shared" si="178"/>
        <v>2</v>
      </c>
      <c r="I1600" t="str">
        <f t="shared" si="176"/>
        <v>Monday</v>
      </c>
      <c r="L1600">
        <f t="shared" ca="1" si="179"/>
        <v>0</v>
      </c>
    </row>
    <row r="1601" spans="1:12" x14ac:dyDescent="0.25">
      <c r="A1601">
        <v>208105889</v>
      </c>
      <c r="B1601" s="1">
        <v>45012</v>
      </c>
      <c r="C1601" s="1">
        <f t="shared" ca="1" si="186"/>
        <v>45938</v>
      </c>
      <c r="D1601" t="s">
        <v>7</v>
      </c>
      <c r="E1601">
        <v>39</v>
      </c>
      <c r="F1601" t="s">
        <v>6</v>
      </c>
      <c r="G1601" s="8">
        <f t="shared" ca="1" si="177"/>
        <v>926</v>
      </c>
      <c r="H1601">
        <f t="shared" si="178"/>
        <v>2</v>
      </c>
      <c r="I1601" t="str">
        <f t="shared" si="176"/>
        <v>Monday</v>
      </c>
      <c r="L1601">
        <f t="shared" ca="1" si="179"/>
        <v>0</v>
      </c>
    </row>
    <row r="1602" spans="1:12" x14ac:dyDescent="0.25">
      <c r="A1602">
        <v>152221925</v>
      </c>
      <c r="B1602" s="1">
        <v>45012</v>
      </c>
      <c r="C1602" s="1">
        <v>45096</v>
      </c>
      <c r="D1602" t="s">
        <v>7</v>
      </c>
      <c r="E1602">
        <v>39</v>
      </c>
      <c r="F1602" t="s">
        <v>6</v>
      </c>
      <c r="G1602" s="8">
        <f t="shared" si="177"/>
        <v>84</v>
      </c>
      <c r="H1602">
        <f t="shared" si="178"/>
        <v>2</v>
      </c>
      <c r="I1602" t="str">
        <f t="shared" ref="I1602:I1665" si="187">TEXT(B1602,"DDDD")</f>
        <v>Monday</v>
      </c>
      <c r="L1602">
        <f t="shared" si="179"/>
        <v>0</v>
      </c>
    </row>
    <row r="1603" spans="1:12" x14ac:dyDescent="0.25">
      <c r="A1603">
        <v>207090754</v>
      </c>
      <c r="B1603" s="1">
        <v>45012</v>
      </c>
      <c r="C1603" s="1">
        <v>45078</v>
      </c>
      <c r="D1603" t="s">
        <v>7</v>
      </c>
      <c r="E1603">
        <v>39</v>
      </c>
      <c r="F1603" t="s">
        <v>6</v>
      </c>
      <c r="G1603" s="8">
        <f t="shared" ref="G1603:G1666" si="188">IFERROR(DATEDIF(B1603,C1603,"D"),"0")</f>
        <v>66</v>
      </c>
      <c r="H1603">
        <f t="shared" ref="H1603:H1666" si="189">WEEKDAY(B1603,1)</f>
        <v>2</v>
      </c>
      <c r="I1603" t="str">
        <f t="shared" si="187"/>
        <v>Monday</v>
      </c>
      <c r="L1603">
        <f t="shared" ref="L1603:L1666" si="190">IF( OR($G1603=0,$G1603 = 1, $G1603 = 2), 1, 0 )</f>
        <v>0</v>
      </c>
    </row>
    <row r="1604" spans="1:12" x14ac:dyDescent="0.25">
      <c r="A1604">
        <v>128283235</v>
      </c>
      <c r="B1604" s="1">
        <v>45012</v>
      </c>
      <c r="C1604" s="1">
        <v>45134</v>
      </c>
      <c r="D1604" t="s">
        <v>7</v>
      </c>
      <c r="E1604">
        <v>39</v>
      </c>
      <c r="F1604" t="s">
        <v>6</v>
      </c>
      <c r="G1604" s="8">
        <f t="shared" si="188"/>
        <v>122</v>
      </c>
      <c r="H1604">
        <f t="shared" si="189"/>
        <v>2</v>
      </c>
      <c r="I1604" t="str">
        <f t="shared" si="187"/>
        <v>Monday</v>
      </c>
      <c r="L1604">
        <f t="shared" si="190"/>
        <v>0</v>
      </c>
    </row>
    <row r="1605" spans="1:12" x14ac:dyDescent="0.25">
      <c r="A1605">
        <v>206686106</v>
      </c>
      <c r="B1605" s="1">
        <v>45012</v>
      </c>
      <c r="C1605" s="1">
        <v>45050</v>
      </c>
      <c r="D1605" t="s">
        <v>7</v>
      </c>
      <c r="E1605">
        <v>39</v>
      </c>
      <c r="F1605" t="s">
        <v>6</v>
      </c>
      <c r="G1605" s="8">
        <f t="shared" si="188"/>
        <v>38</v>
      </c>
      <c r="H1605">
        <f t="shared" si="189"/>
        <v>2</v>
      </c>
      <c r="I1605" t="str">
        <f t="shared" si="187"/>
        <v>Monday</v>
      </c>
      <c r="L1605">
        <f t="shared" si="190"/>
        <v>0</v>
      </c>
    </row>
    <row r="1606" spans="1:12" x14ac:dyDescent="0.25">
      <c r="A1606">
        <v>208090380</v>
      </c>
      <c r="B1606" s="1">
        <v>45012</v>
      </c>
      <c r="C1606" s="1">
        <v>45026</v>
      </c>
      <c r="D1606" t="s">
        <v>7</v>
      </c>
      <c r="E1606">
        <v>39</v>
      </c>
      <c r="F1606" t="s">
        <v>6</v>
      </c>
      <c r="G1606" s="8">
        <f t="shared" si="188"/>
        <v>14</v>
      </c>
      <c r="H1606">
        <f t="shared" si="189"/>
        <v>2</v>
      </c>
      <c r="I1606" t="str">
        <f t="shared" si="187"/>
        <v>Monday</v>
      </c>
      <c r="L1606">
        <f t="shared" si="190"/>
        <v>0</v>
      </c>
    </row>
    <row r="1607" spans="1:12" x14ac:dyDescent="0.25">
      <c r="A1607">
        <v>153281230</v>
      </c>
      <c r="B1607" s="1">
        <v>45012</v>
      </c>
      <c r="C1607" s="1">
        <v>45033</v>
      </c>
      <c r="D1607" t="s">
        <v>7</v>
      </c>
      <c r="E1607">
        <v>39</v>
      </c>
      <c r="F1607" t="s">
        <v>6</v>
      </c>
      <c r="G1607" s="8">
        <f t="shared" si="188"/>
        <v>21</v>
      </c>
      <c r="H1607">
        <f t="shared" si="189"/>
        <v>2</v>
      </c>
      <c r="I1607" t="str">
        <f t="shared" si="187"/>
        <v>Monday</v>
      </c>
      <c r="L1607">
        <f t="shared" si="190"/>
        <v>0</v>
      </c>
    </row>
    <row r="1608" spans="1:12" x14ac:dyDescent="0.25">
      <c r="A1608">
        <v>205049710</v>
      </c>
      <c r="B1608" s="1">
        <v>45012</v>
      </c>
      <c r="C1608" s="1">
        <v>45013</v>
      </c>
      <c r="D1608" t="s">
        <v>7</v>
      </c>
      <c r="E1608">
        <v>39</v>
      </c>
      <c r="F1608" t="s">
        <v>6</v>
      </c>
      <c r="G1608" s="8">
        <f t="shared" si="188"/>
        <v>1</v>
      </c>
      <c r="H1608">
        <f t="shared" si="189"/>
        <v>2</v>
      </c>
      <c r="I1608" t="str">
        <f t="shared" si="187"/>
        <v>Monday</v>
      </c>
      <c r="L1608">
        <f t="shared" si="190"/>
        <v>1</v>
      </c>
    </row>
    <row r="1609" spans="1:12" x14ac:dyDescent="0.25">
      <c r="A1609">
        <v>208618235</v>
      </c>
      <c r="B1609" s="1">
        <v>45013</v>
      </c>
      <c r="C1609" s="1">
        <f t="shared" ref="C1609:C1612" ca="1" si="191">TODAY()</f>
        <v>45938</v>
      </c>
      <c r="D1609" t="s">
        <v>7</v>
      </c>
      <c r="E1609">
        <v>39</v>
      </c>
      <c r="F1609" t="s">
        <v>6</v>
      </c>
      <c r="G1609" s="8">
        <f t="shared" ca="1" si="188"/>
        <v>925</v>
      </c>
      <c r="H1609">
        <f t="shared" si="189"/>
        <v>3</v>
      </c>
      <c r="I1609" t="str">
        <f t="shared" si="187"/>
        <v>Tuesday</v>
      </c>
      <c r="L1609">
        <f t="shared" ca="1" si="190"/>
        <v>0</v>
      </c>
    </row>
    <row r="1610" spans="1:12" x14ac:dyDescent="0.25">
      <c r="A1610">
        <v>167713351</v>
      </c>
      <c r="B1610" s="1">
        <v>45013</v>
      </c>
      <c r="C1610" s="1">
        <f t="shared" ca="1" si="191"/>
        <v>45938</v>
      </c>
      <c r="D1610" t="s">
        <v>7</v>
      </c>
      <c r="E1610">
        <v>39</v>
      </c>
      <c r="F1610" t="s">
        <v>6</v>
      </c>
      <c r="G1610" s="8">
        <f t="shared" ca="1" si="188"/>
        <v>925</v>
      </c>
      <c r="H1610">
        <f t="shared" si="189"/>
        <v>3</v>
      </c>
      <c r="I1610" t="str">
        <f t="shared" si="187"/>
        <v>Tuesday</v>
      </c>
      <c r="L1610">
        <f t="shared" ca="1" si="190"/>
        <v>0</v>
      </c>
    </row>
    <row r="1611" spans="1:12" x14ac:dyDescent="0.25">
      <c r="A1611">
        <v>149975492</v>
      </c>
      <c r="B1611" s="1">
        <v>45013</v>
      </c>
      <c r="C1611" s="1">
        <f t="shared" ca="1" si="191"/>
        <v>45938</v>
      </c>
      <c r="D1611" t="s">
        <v>7</v>
      </c>
      <c r="E1611">
        <v>39</v>
      </c>
      <c r="F1611" t="s">
        <v>6</v>
      </c>
      <c r="G1611" s="8">
        <f t="shared" ca="1" si="188"/>
        <v>925</v>
      </c>
      <c r="H1611">
        <f t="shared" si="189"/>
        <v>3</v>
      </c>
      <c r="I1611" t="str">
        <f t="shared" si="187"/>
        <v>Tuesday</v>
      </c>
      <c r="L1611">
        <f t="shared" ca="1" si="190"/>
        <v>0</v>
      </c>
    </row>
    <row r="1612" spans="1:12" x14ac:dyDescent="0.25">
      <c r="A1612">
        <v>208286745</v>
      </c>
      <c r="B1612" s="1">
        <v>45013</v>
      </c>
      <c r="C1612" s="1">
        <f t="shared" ca="1" si="191"/>
        <v>45938</v>
      </c>
      <c r="D1612" t="s">
        <v>7</v>
      </c>
      <c r="E1612">
        <v>39</v>
      </c>
      <c r="F1612" t="s">
        <v>6</v>
      </c>
      <c r="G1612" s="8">
        <f t="shared" ca="1" si="188"/>
        <v>925</v>
      </c>
      <c r="H1612">
        <f t="shared" si="189"/>
        <v>3</v>
      </c>
      <c r="I1612" t="str">
        <f t="shared" si="187"/>
        <v>Tuesday</v>
      </c>
      <c r="L1612">
        <f t="shared" ca="1" si="190"/>
        <v>0</v>
      </c>
    </row>
    <row r="1613" spans="1:12" x14ac:dyDescent="0.25">
      <c r="A1613">
        <v>208473540</v>
      </c>
      <c r="B1613" s="1">
        <v>45013</v>
      </c>
      <c r="C1613" s="1">
        <v>45013</v>
      </c>
      <c r="D1613" t="s">
        <v>7</v>
      </c>
      <c r="E1613">
        <v>39</v>
      </c>
      <c r="F1613" t="s">
        <v>6</v>
      </c>
      <c r="G1613" s="8">
        <f t="shared" si="188"/>
        <v>0</v>
      </c>
      <c r="H1613">
        <f t="shared" si="189"/>
        <v>3</v>
      </c>
      <c r="I1613" t="str">
        <f t="shared" si="187"/>
        <v>Tuesday</v>
      </c>
      <c r="L1613">
        <f t="shared" si="190"/>
        <v>1</v>
      </c>
    </row>
    <row r="1614" spans="1:12" x14ac:dyDescent="0.25">
      <c r="A1614">
        <v>137721176</v>
      </c>
      <c r="B1614" s="1">
        <v>45013</v>
      </c>
      <c r="C1614" s="1">
        <v>45138</v>
      </c>
      <c r="D1614" t="s">
        <v>7</v>
      </c>
      <c r="E1614">
        <v>39</v>
      </c>
      <c r="F1614" t="s">
        <v>6</v>
      </c>
      <c r="G1614" s="8">
        <f t="shared" si="188"/>
        <v>125</v>
      </c>
      <c r="H1614">
        <f t="shared" si="189"/>
        <v>3</v>
      </c>
      <c r="I1614" t="str">
        <f t="shared" si="187"/>
        <v>Tuesday</v>
      </c>
      <c r="L1614">
        <f t="shared" si="190"/>
        <v>0</v>
      </c>
    </row>
    <row r="1615" spans="1:12" x14ac:dyDescent="0.25">
      <c r="A1615">
        <v>140062581</v>
      </c>
      <c r="B1615" s="1">
        <v>45013</v>
      </c>
      <c r="C1615" s="1">
        <v>45059</v>
      </c>
      <c r="D1615" t="s">
        <v>7</v>
      </c>
      <c r="E1615">
        <v>39</v>
      </c>
      <c r="F1615" t="s">
        <v>6</v>
      </c>
      <c r="G1615" s="8">
        <f t="shared" si="188"/>
        <v>46</v>
      </c>
      <c r="H1615">
        <f t="shared" si="189"/>
        <v>3</v>
      </c>
      <c r="I1615" t="str">
        <f t="shared" si="187"/>
        <v>Tuesday</v>
      </c>
      <c r="L1615">
        <f t="shared" si="190"/>
        <v>0</v>
      </c>
    </row>
    <row r="1616" spans="1:12" x14ac:dyDescent="0.25">
      <c r="A1616">
        <v>208488674</v>
      </c>
      <c r="B1616" s="1">
        <v>45013</v>
      </c>
      <c r="C1616" s="1">
        <v>45078</v>
      </c>
      <c r="D1616" t="s">
        <v>7</v>
      </c>
      <c r="E1616">
        <v>39</v>
      </c>
      <c r="F1616" t="s">
        <v>6</v>
      </c>
      <c r="G1616" s="8">
        <f t="shared" si="188"/>
        <v>65</v>
      </c>
      <c r="H1616">
        <f t="shared" si="189"/>
        <v>3</v>
      </c>
      <c r="I1616" t="str">
        <f t="shared" si="187"/>
        <v>Tuesday</v>
      </c>
      <c r="L1616">
        <f t="shared" si="190"/>
        <v>0</v>
      </c>
    </row>
    <row r="1617" spans="1:12" x14ac:dyDescent="0.25">
      <c r="A1617">
        <v>162752410</v>
      </c>
      <c r="B1617" s="1">
        <v>45013</v>
      </c>
      <c r="C1617" s="1">
        <v>45158</v>
      </c>
      <c r="D1617" t="s">
        <v>7</v>
      </c>
      <c r="E1617">
        <v>39</v>
      </c>
      <c r="F1617" t="s">
        <v>6</v>
      </c>
      <c r="G1617" s="8">
        <f t="shared" si="188"/>
        <v>145</v>
      </c>
      <c r="H1617">
        <f t="shared" si="189"/>
        <v>3</v>
      </c>
      <c r="I1617" t="str">
        <f t="shared" si="187"/>
        <v>Tuesday</v>
      </c>
      <c r="L1617">
        <f t="shared" si="190"/>
        <v>0</v>
      </c>
    </row>
    <row r="1618" spans="1:12" x14ac:dyDescent="0.25">
      <c r="A1618">
        <v>208598415</v>
      </c>
      <c r="B1618" s="1">
        <v>45013</v>
      </c>
      <c r="C1618" s="1">
        <v>45049</v>
      </c>
      <c r="D1618" t="s">
        <v>7</v>
      </c>
      <c r="E1618">
        <v>39</v>
      </c>
      <c r="F1618" t="s">
        <v>6</v>
      </c>
      <c r="G1618" s="8">
        <f t="shared" si="188"/>
        <v>36</v>
      </c>
      <c r="H1618">
        <f t="shared" si="189"/>
        <v>3</v>
      </c>
      <c r="I1618" t="str">
        <f t="shared" si="187"/>
        <v>Tuesday</v>
      </c>
      <c r="L1618">
        <f t="shared" si="190"/>
        <v>0</v>
      </c>
    </row>
    <row r="1619" spans="1:12" x14ac:dyDescent="0.25">
      <c r="A1619">
        <v>143427096</v>
      </c>
      <c r="B1619" s="1">
        <v>45013</v>
      </c>
      <c r="C1619" s="1">
        <v>45047</v>
      </c>
      <c r="D1619" t="s">
        <v>7</v>
      </c>
      <c r="E1619">
        <v>39</v>
      </c>
      <c r="F1619" t="s">
        <v>6</v>
      </c>
      <c r="G1619" s="8">
        <f t="shared" si="188"/>
        <v>34</v>
      </c>
      <c r="H1619">
        <f t="shared" si="189"/>
        <v>3</v>
      </c>
      <c r="I1619" t="str">
        <f t="shared" si="187"/>
        <v>Tuesday</v>
      </c>
      <c r="L1619">
        <f t="shared" si="190"/>
        <v>0</v>
      </c>
    </row>
    <row r="1620" spans="1:12" x14ac:dyDescent="0.25">
      <c r="A1620">
        <v>208480650</v>
      </c>
      <c r="B1620" s="1">
        <v>45013</v>
      </c>
      <c r="C1620" s="1">
        <v>45030</v>
      </c>
      <c r="D1620" t="s">
        <v>7</v>
      </c>
      <c r="E1620">
        <v>39</v>
      </c>
      <c r="F1620" t="s">
        <v>6</v>
      </c>
      <c r="G1620" s="8">
        <f t="shared" si="188"/>
        <v>17</v>
      </c>
      <c r="H1620">
        <f t="shared" si="189"/>
        <v>3</v>
      </c>
      <c r="I1620" t="str">
        <f t="shared" si="187"/>
        <v>Tuesday</v>
      </c>
      <c r="L1620">
        <f t="shared" si="190"/>
        <v>0</v>
      </c>
    </row>
    <row r="1621" spans="1:12" x14ac:dyDescent="0.25">
      <c r="A1621">
        <v>147000442</v>
      </c>
      <c r="B1621" s="1">
        <v>45014</v>
      </c>
      <c r="C1621" s="1">
        <f t="shared" ref="C1621:C1624" ca="1" si="192">TODAY()</f>
        <v>45938</v>
      </c>
      <c r="D1621" t="s">
        <v>7</v>
      </c>
      <c r="E1621">
        <v>39</v>
      </c>
      <c r="F1621" t="s">
        <v>6</v>
      </c>
      <c r="G1621" s="8">
        <f t="shared" ca="1" si="188"/>
        <v>924</v>
      </c>
      <c r="H1621">
        <f t="shared" si="189"/>
        <v>4</v>
      </c>
      <c r="I1621" t="str">
        <f t="shared" si="187"/>
        <v>Wednesday</v>
      </c>
      <c r="L1621">
        <f t="shared" ca="1" si="190"/>
        <v>0</v>
      </c>
    </row>
    <row r="1622" spans="1:12" x14ac:dyDescent="0.25">
      <c r="A1622">
        <v>207062508</v>
      </c>
      <c r="B1622" s="1">
        <v>45014</v>
      </c>
      <c r="C1622" s="1">
        <f t="shared" ca="1" si="192"/>
        <v>45938</v>
      </c>
      <c r="D1622" t="s">
        <v>7</v>
      </c>
      <c r="E1622">
        <v>39</v>
      </c>
      <c r="F1622" t="s">
        <v>6</v>
      </c>
      <c r="G1622" s="8">
        <f t="shared" ca="1" si="188"/>
        <v>924</v>
      </c>
      <c r="H1622">
        <f t="shared" si="189"/>
        <v>4</v>
      </c>
      <c r="I1622" t="str">
        <f t="shared" si="187"/>
        <v>Wednesday</v>
      </c>
      <c r="L1622">
        <f t="shared" ca="1" si="190"/>
        <v>0</v>
      </c>
    </row>
    <row r="1623" spans="1:12" x14ac:dyDescent="0.25">
      <c r="A1623">
        <v>206862916</v>
      </c>
      <c r="B1623" s="1">
        <v>45014</v>
      </c>
      <c r="C1623" s="1">
        <f t="shared" ca="1" si="192"/>
        <v>45938</v>
      </c>
      <c r="D1623" t="s">
        <v>7</v>
      </c>
      <c r="E1623">
        <v>39</v>
      </c>
      <c r="F1623" t="s">
        <v>6</v>
      </c>
      <c r="G1623" s="8">
        <f t="shared" ca="1" si="188"/>
        <v>924</v>
      </c>
      <c r="H1623">
        <f t="shared" si="189"/>
        <v>4</v>
      </c>
      <c r="I1623" t="str">
        <f t="shared" si="187"/>
        <v>Wednesday</v>
      </c>
      <c r="L1623">
        <f t="shared" ca="1" si="190"/>
        <v>0</v>
      </c>
    </row>
    <row r="1624" spans="1:12" x14ac:dyDescent="0.25">
      <c r="A1624">
        <v>208706866</v>
      </c>
      <c r="B1624" s="1">
        <v>45014</v>
      </c>
      <c r="C1624" s="1">
        <f t="shared" ca="1" si="192"/>
        <v>45938</v>
      </c>
      <c r="D1624" t="s">
        <v>7</v>
      </c>
      <c r="E1624">
        <v>39</v>
      </c>
      <c r="F1624" t="s">
        <v>6</v>
      </c>
      <c r="G1624" s="8">
        <f t="shared" ca="1" si="188"/>
        <v>924</v>
      </c>
      <c r="H1624">
        <f t="shared" si="189"/>
        <v>4</v>
      </c>
      <c r="I1624" t="str">
        <f t="shared" si="187"/>
        <v>Wednesday</v>
      </c>
      <c r="L1624">
        <f t="shared" ca="1" si="190"/>
        <v>0</v>
      </c>
    </row>
    <row r="1625" spans="1:12" x14ac:dyDescent="0.25">
      <c r="A1625">
        <v>134719816</v>
      </c>
      <c r="B1625" s="1">
        <v>45014</v>
      </c>
      <c r="C1625" s="1">
        <v>45095</v>
      </c>
      <c r="D1625" t="s">
        <v>7</v>
      </c>
      <c r="E1625">
        <v>39</v>
      </c>
      <c r="F1625" t="s">
        <v>6</v>
      </c>
      <c r="G1625" s="8">
        <f t="shared" si="188"/>
        <v>81</v>
      </c>
      <c r="H1625">
        <f t="shared" si="189"/>
        <v>4</v>
      </c>
      <c r="I1625" t="str">
        <f t="shared" si="187"/>
        <v>Wednesday</v>
      </c>
      <c r="L1625">
        <f t="shared" si="190"/>
        <v>0</v>
      </c>
    </row>
    <row r="1626" spans="1:12" x14ac:dyDescent="0.25">
      <c r="A1626">
        <v>138548670</v>
      </c>
      <c r="B1626" s="1">
        <v>45014</v>
      </c>
      <c r="C1626" s="1">
        <v>45076</v>
      </c>
      <c r="D1626" t="s">
        <v>7</v>
      </c>
      <c r="E1626">
        <v>39</v>
      </c>
      <c r="F1626" t="s">
        <v>6</v>
      </c>
      <c r="G1626" s="8">
        <f t="shared" si="188"/>
        <v>62</v>
      </c>
      <c r="H1626">
        <f t="shared" si="189"/>
        <v>4</v>
      </c>
      <c r="I1626" t="str">
        <f t="shared" si="187"/>
        <v>Wednesday</v>
      </c>
      <c r="L1626">
        <f t="shared" si="190"/>
        <v>0</v>
      </c>
    </row>
    <row r="1627" spans="1:12" x14ac:dyDescent="0.25">
      <c r="A1627">
        <v>208745476</v>
      </c>
      <c r="B1627" s="1">
        <v>45014</v>
      </c>
      <c r="C1627" s="1">
        <v>45098</v>
      </c>
      <c r="D1627" t="s">
        <v>7</v>
      </c>
      <c r="E1627">
        <v>39</v>
      </c>
      <c r="F1627" t="s">
        <v>6</v>
      </c>
      <c r="G1627" s="8">
        <f t="shared" si="188"/>
        <v>84</v>
      </c>
      <c r="H1627">
        <f t="shared" si="189"/>
        <v>4</v>
      </c>
      <c r="I1627" t="str">
        <f t="shared" si="187"/>
        <v>Wednesday</v>
      </c>
      <c r="L1627">
        <f t="shared" si="190"/>
        <v>0</v>
      </c>
    </row>
    <row r="1628" spans="1:12" x14ac:dyDescent="0.25">
      <c r="A1628">
        <v>182584521</v>
      </c>
      <c r="B1628" s="1">
        <v>45014</v>
      </c>
      <c r="C1628" s="1">
        <v>45052</v>
      </c>
      <c r="D1628" t="s">
        <v>7</v>
      </c>
      <c r="E1628">
        <v>39</v>
      </c>
      <c r="F1628" t="s">
        <v>6</v>
      </c>
      <c r="G1628" s="8">
        <f t="shared" si="188"/>
        <v>38</v>
      </c>
      <c r="H1628">
        <f t="shared" si="189"/>
        <v>4</v>
      </c>
      <c r="I1628" t="str">
        <f t="shared" si="187"/>
        <v>Wednesday</v>
      </c>
      <c r="L1628">
        <f t="shared" si="190"/>
        <v>0</v>
      </c>
    </row>
    <row r="1629" spans="1:12" x14ac:dyDescent="0.25">
      <c r="A1629">
        <v>206463427</v>
      </c>
      <c r="B1629" s="1">
        <v>45014</v>
      </c>
      <c r="C1629" s="1">
        <v>45050</v>
      </c>
      <c r="D1629" t="s">
        <v>7</v>
      </c>
      <c r="E1629">
        <v>39</v>
      </c>
      <c r="F1629" t="s">
        <v>6</v>
      </c>
      <c r="G1629" s="8">
        <f t="shared" si="188"/>
        <v>36</v>
      </c>
      <c r="H1629">
        <f t="shared" si="189"/>
        <v>4</v>
      </c>
      <c r="I1629" t="str">
        <f t="shared" si="187"/>
        <v>Wednesday</v>
      </c>
      <c r="L1629">
        <f t="shared" si="190"/>
        <v>0</v>
      </c>
    </row>
    <row r="1630" spans="1:12" x14ac:dyDescent="0.25">
      <c r="A1630">
        <v>158947936</v>
      </c>
      <c r="B1630" s="1">
        <v>45014</v>
      </c>
      <c r="C1630" s="1">
        <v>45044</v>
      </c>
      <c r="D1630" t="s">
        <v>7</v>
      </c>
      <c r="E1630">
        <v>39</v>
      </c>
      <c r="F1630" t="s">
        <v>6</v>
      </c>
      <c r="G1630" s="8">
        <f t="shared" si="188"/>
        <v>30</v>
      </c>
      <c r="H1630">
        <f t="shared" si="189"/>
        <v>4</v>
      </c>
      <c r="I1630" t="str">
        <f t="shared" si="187"/>
        <v>Wednesday</v>
      </c>
      <c r="L1630">
        <f t="shared" si="190"/>
        <v>0</v>
      </c>
    </row>
    <row r="1631" spans="1:12" x14ac:dyDescent="0.25">
      <c r="A1631">
        <v>182737296</v>
      </c>
      <c r="B1631" s="1">
        <v>45014</v>
      </c>
      <c r="C1631" s="1">
        <v>45045</v>
      </c>
      <c r="D1631" t="s">
        <v>7</v>
      </c>
      <c r="E1631">
        <v>39</v>
      </c>
      <c r="F1631" t="s">
        <v>6</v>
      </c>
      <c r="G1631" s="8">
        <f t="shared" si="188"/>
        <v>31</v>
      </c>
      <c r="H1631">
        <f t="shared" si="189"/>
        <v>4</v>
      </c>
      <c r="I1631" t="str">
        <f t="shared" si="187"/>
        <v>Wednesday</v>
      </c>
      <c r="L1631">
        <f t="shared" si="190"/>
        <v>0</v>
      </c>
    </row>
    <row r="1632" spans="1:12" x14ac:dyDescent="0.25">
      <c r="A1632">
        <v>156550538</v>
      </c>
      <c r="B1632" s="1">
        <v>45015</v>
      </c>
      <c r="C1632" s="1">
        <f t="shared" ref="C1632:C1634" ca="1" si="193">TODAY()</f>
        <v>45938</v>
      </c>
      <c r="D1632" t="s">
        <v>7</v>
      </c>
      <c r="E1632">
        <v>39</v>
      </c>
      <c r="F1632" t="s">
        <v>6</v>
      </c>
      <c r="G1632" s="8">
        <f t="shared" ca="1" si="188"/>
        <v>923</v>
      </c>
      <c r="H1632">
        <f t="shared" si="189"/>
        <v>5</v>
      </c>
      <c r="I1632" t="str">
        <f t="shared" si="187"/>
        <v>Thursday</v>
      </c>
      <c r="L1632">
        <f t="shared" ca="1" si="190"/>
        <v>0</v>
      </c>
    </row>
    <row r="1633" spans="1:12" x14ac:dyDescent="0.25">
      <c r="A1633">
        <v>208897557</v>
      </c>
      <c r="B1633" s="1">
        <v>45015</v>
      </c>
      <c r="C1633" s="1">
        <f t="shared" ca="1" si="193"/>
        <v>45938</v>
      </c>
      <c r="D1633" t="s">
        <v>7</v>
      </c>
      <c r="E1633">
        <v>39</v>
      </c>
      <c r="F1633" t="s">
        <v>6</v>
      </c>
      <c r="G1633" s="8">
        <f t="shared" ca="1" si="188"/>
        <v>923</v>
      </c>
      <c r="H1633">
        <f t="shared" si="189"/>
        <v>5</v>
      </c>
      <c r="I1633" t="str">
        <f t="shared" si="187"/>
        <v>Thursday</v>
      </c>
      <c r="L1633">
        <f t="shared" ca="1" si="190"/>
        <v>0</v>
      </c>
    </row>
    <row r="1634" spans="1:12" x14ac:dyDescent="0.25">
      <c r="A1634">
        <v>157484010</v>
      </c>
      <c r="B1634" s="1">
        <v>45015</v>
      </c>
      <c r="C1634" s="1">
        <f t="shared" ca="1" si="193"/>
        <v>45938</v>
      </c>
      <c r="D1634" t="s">
        <v>7</v>
      </c>
      <c r="E1634">
        <v>39</v>
      </c>
      <c r="F1634" t="s">
        <v>6</v>
      </c>
      <c r="G1634" s="8">
        <f t="shared" ca="1" si="188"/>
        <v>923</v>
      </c>
      <c r="H1634">
        <f t="shared" si="189"/>
        <v>5</v>
      </c>
      <c r="I1634" t="str">
        <f t="shared" si="187"/>
        <v>Thursday</v>
      </c>
      <c r="L1634">
        <f t="shared" ca="1" si="190"/>
        <v>0</v>
      </c>
    </row>
    <row r="1635" spans="1:12" x14ac:dyDescent="0.25">
      <c r="A1635">
        <v>146450388</v>
      </c>
      <c r="B1635" s="1">
        <v>45015</v>
      </c>
      <c r="C1635" s="1">
        <v>45083</v>
      </c>
      <c r="D1635" t="s">
        <v>7</v>
      </c>
      <c r="E1635">
        <v>39</v>
      </c>
      <c r="F1635" t="s">
        <v>6</v>
      </c>
      <c r="G1635" s="8">
        <f t="shared" si="188"/>
        <v>68</v>
      </c>
      <c r="H1635">
        <f t="shared" si="189"/>
        <v>5</v>
      </c>
      <c r="I1635" t="str">
        <f t="shared" si="187"/>
        <v>Thursday</v>
      </c>
      <c r="L1635">
        <f t="shared" si="190"/>
        <v>0</v>
      </c>
    </row>
    <row r="1636" spans="1:12" x14ac:dyDescent="0.25">
      <c r="A1636">
        <v>208610366</v>
      </c>
      <c r="B1636" s="1">
        <v>45015</v>
      </c>
      <c r="C1636" s="1">
        <v>45114</v>
      </c>
      <c r="D1636" t="s">
        <v>7</v>
      </c>
      <c r="E1636">
        <v>39</v>
      </c>
      <c r="F1636" t="s">
        <v>6</v>
      </c>
      <c r="G1636" s="8">
        <f t="shared" si="188"/>
        <v>99</v>
      </c>
      <c r="H1636">
        <f t="shared" si="189"/>
        <v>5</v>
      </c>
      <c r="I1636" t="str">
        <f t="shared" si="187"/>
        <v>Thursday</v>
      </c>
      <c r="L1636">
        <f t="shared" si="190"/>
        <v>0</v>
      </c>
    </row>
    <row r="1637" spans="1:12" x14ac:dyDescent="0.25">
      <c r="A1637">
        <v>208913022</v>
      </c>
      <c r="B1637" s="1">
        <v>45015</v>
      </c>
      <c r="C1637" s="1">
        <v>45065</v>
      </c>
      <c r="D1637" t="s">
        <v>7</v>
      </c>
      <c r="E1637">
        <v>39</v>
      </c>
      <c r="F1637" t="s">
        <v>6</v>
      </c>
      <c r="G1637" s="8">
        <f t="shared" si="188"/>
        <v>50</v>
      </c>
      <c r="H1637">
        <f t="shared" si="189"/>
        <v>5</v>
      </c>
      <c r="I1637" t="str">
        <f t="shared" si="187"/>
        <v>Thursday</v>
      </c>
      <c r="L1637">
        <f t="shared" si="190"/>
        <v>0</v>
      </c>
    </row>
    <row r="1638" spans="1:12" x14ac:dyDescent="0.25">
      <c r="A1638">
        <v>205813846</v>
      </c>
      <c r="B1638" s="1">
        <v>45015</v>
      </c>
      <c r="C1638" s="1">
        <v>45065</v>
      </c>
      <c r="D1638" t="s">
        <v>7</v>
      </c>
      <c r="E1638">
        <v>39</v>
      </c>
      <c r="F1638" t="s">
        <v>6</v>
      </c>
      <c r="G1638" s="8">
        <f t="shared" si="188"/>
        <v>50</v>
      </c>
      <c r="H1638">
        <f t="shared" si="189"/>
        <v>5</v>
      </c>
      <c r="I1638" t="str">
        <f t="shared" si="187"/>
        <v>Thursday</v>
      </c>
      <c r="L1638">
        <f t="shared" si="190"/>
        <v>0</v>
      </c>
    </row>
    <row r="1639" spans="1:12" x14ac:dyDescent="0.25">
      <c r="A1639">
        <v>208762353</v>
      </c>
      <c r="B1639" s="1">
        <v>45015</v>
      </c>
      <c r="C1639" s="1">
        <v>45037</v>
      </c>
      <c r="D1639" t="s">
        <v>7</v>
      </c>
      <c r="E1639">
        <v>39</v>
      </c>
      <c r="F1639" t="s">
        <v>6</v>
      </c>
      <c r="G1639" s="8">
        <f t="shared" si="188"/>
        <v>22</v>
      </c>
      <c r="H1639">
        <f t="shared" si="189"/>
        <v>5</v>
      </c>
      <c r="I1639" t="str">
        <f t="shared" si="187"/>
        <v>Thursday</v>
      </c>
      <c r="L1639">
        <f t="shared" si="190"/>
        <v>0</v>
      </c>
    </row>
    <row r="1640" spans="1:12" x14ac:dyDescent="0.25">
      <c r="A1640">
        <v>153099249</v>
      </c>
      <c r="B1640" s="1">
        <v>45015</v>
      </c>
      <c r="C1640" s="1">
        <v>45029</v>
      </c>
      <c r="D1640" t="s">
        <v>7</v>
      </c>
      <c r="E1640">
        <v>39</v>
      </c>
      <c r="F1640" t="s">
        <v>6</v>
      </c>
      <c r="G1640" s="8">
        <f t="shared" si="188"/>
        <v>14</v>
      </c>
      <c r="H1640">
        <f t="shared" si="189"/>
        <v>5</v>
      </c>
      <c r="I1640" t="str">
        <f t="shared" si="187"/>
        <v>Thursday</v>
      </c>
      <c r="L1640">
        <f t="shared" si="190"/>
        <v>0</v>
      </c>
    </row>
    <row r="1641" spans="1:12" x14ac:dyDescent="0.25">
      <c r="A1641">
        <v>208734252</v>
      </c>
      <c r="B1641" s="1">
        <v>45015</v>
      </c>
      <c r="C1641" s="1">
        <v>45046</v>
      </c>
      <c r="D1641" t="s">
        <v>7</v>
      </c>
      <c r="E1641">
        <v>39</v>
      </c>
      <c r="F1641" t="s">
        <v>6</v>
      </c>
      <c r="G1641" s="8">
        <f t="shared" si="188"/>
        <v>31</v>
      </c>
      <c r="H1641">
        <f t="shared" si="189"/>
        <v>5</v>
      </c>
      <c r="I1641" t="str">
        <f t="shared" si="187"/>
        <v>Thursday</v>
      </c>
      <c r="L1641">
        <f t="shared" si="190"/>
        <v>0</v>
      </c>
    </row>
    <row r="1642" spans="1:12" x14ac:dyDescent="0.25">
      <c r="A1642">
        <v>208320510</v>
      </c>
      <c r="B1642" s="1">
        <v>45016</v>
      </c>
      <c r="C1642" s="1">
        <f t="shared" ref="C1642" ca="1" si="194">TODAY()</f>
        <v>45938</v>
      </c>
      <c r="D1642" t="s">
        <v>7</v>
      </c>
      <c r="E1642">
        <v>39</v>
      </c>
      <c r="F1642" t="s">
        <v>6</v>
      </c>
      <c r="G1642" s="8">
        <f t="shared" ca="1" si="188"/>
        <v>922</v>
      </c>
      <c r="H1642">
        <f t="shared" si="189"/>
        <v>6</v>
      </c>
      <c r="I1642" t="str">
        <f t="shared" si="187"/>
        <v>Friday</v>
      </c>
      <c r="L1642">
        <f t="shared" ca="1" si="190"/>
        <v>0</v>
      </c>
    </row>
    <row r="1643" spans="1:12" x14ac:dyDescent="0.25">
      <c r="A1643">
        <v>207229509</v>
      </c>
      <c r="B1643" s="1">
        <v>45016</v>
      </c>
      <c r="C1643" s="1">
        <v>45016</v>
      </c>
      <c r="D1643" t="s">
        <v>8</v>
      </c>
      <c r="E1643">
        <v>39</v>
      </c>
      <c r="F1643" t="s">
        <v>6</v>
      </c>
      <c r="G1643" s="8">
        <f t="shared" si="188"/>
        <v>0</v>
      </c>
      <c r="H1643">
        <f t="shared" si="189"/>
        <v>6</v>
      </c>
      <c r="I1643" t="str">
        <f t="shared" si="187"/>
        <v>Friday</v>
      </c>
      <c r="L1643">
        <f t="shared" si="190"/>
        <v>1</v>
      </c>
    </row>
    <row r="1644" spans="1:12" x14ac:dyDescent="0.25">
      <c r="A1644">
        <v>208492287</v>
      </c>
      <c r="B1644" s="1">
        <v>45016</v>
      </c>
      <c r="C1644" s="1">
        <v>45084</v>
      </c>
      <c r="D1644" t="s">
        <v>7</v>
      </c>
      <c r="E1644">
        <v>39</v>
      </c>
      <c r="F1644" t="s">
        <v>6</v>
      </c>
      <c r="G1644" s="8">
        <f t="shared" si="188"/>
        <v>68</v>
      </c>
      <c r="H1644">
        <f t="shared" si="189"/>
        <v>6</v>
      </c>
      <c r="I1644" t="str">
        <f t="shared" si="187"/>
        <v>Friday</v>
      </c>
      <c r="L1644">
        <f t="shared" si="190"/>
        <v>0</v>
      </c>
    </row>
    <row r="1645" spans="1:12" x14ac:dyDescent="0.25">
      <c r="A1645">
        <v>195047202</v>
      </c>
      <c r="B1645" s="1">
        <v>45016</v>
      </c>
      <c r="C1645" s="1">
        <v>45069</v>
      </c>
      <c r="D1645" t="s">
        <v>7</v>
      </c>
      <c r="E1645">
        <v>39</v>
      </c>
      <c r="F1645" t="s">
        <v>6</v>
      </c>
      <c r="G1645" s="8">
        <f t="shared" si="188"/>
        <v>53</v>
      </c>
      <c r="H1645">
        <f t="shared" si="189"/>
        <v>6</v>
      </c>
      <c r="I1645" t="str">
        <f t="shared" si="187"/>
        <v>Friday</v>
      </c>
      <c r="L1645">
        <f t="shared" si="190"/>
        <v>0</v>
      </c>
    </row>
    <row r="1646" spans="1:12" x14ac:dyDescent="0.25">
      <c r="A1646">
        <v>208890352</v>
      </c>
      <c r="B1646" s="1">
        <v>45016</v>
      </c>
      <c r="C1646" s="1">
        <v>45072</v>
      </c>
      <c r="D1646" t="s">
        <v>7</v>
      </c>
      <c r="E1646">
        <v>39</v>
      </c>
      <c r="F1646" t="s">
        <v>6</v>
      </c>
      <c r="G1646" s="8">
        <f t="shared" si="188"/>
        <v>56</v>
      </c>
      <c r="H1646">
        <f t="shared" si="189"/>
        <v>6</v>
      </c>
      <c r="I1646" t="str">
        <f t="shared" si="187"/>
        <v>Friday</v>
      </c>
      <c r="L1646">
        <f t="shared" si="190"/>
        <v>0</v>
      </c>
    </row>
    <row r="1647" spans="1:12" x14ac:dyDescent="0.25">
      <c r="A1647">
        <v>151282537</v>
      </c>
      <c r="B1647" s="1">
        <v>45016</v>
      </c>
      <c r="C1647" s="1">
        <v>45108</v>
      </c>
      <c r="D1647" t="s">
        <v>7</v>
      </c>
      <c r="E1647">
        <v>39</v>
      </c>
      <c r="F1647" t="s">
        <v>6</v>
      </c>
      <c r="G1647" s="8">
        <f t="shared" si="188"/>
        <v>92</v>
      </c>
      <c r="H1647">
        <f t="shared" si="189"/>
        <v>6</v>
      </c>
      <c r="I1647" t="str">
        <f t="shared" si="187"/>
        <v>Friday</v>
      </c>
      <c r="L1647">
        <f t="shared" si="190"/>
        <v>0</v>
      </c>
    </row>
    <row r="1648" spans="1:12" x14ac:dyDescent="0.25">
      <c r="A1648">
        <v>206625246</v>
      </c>
      <c r="B1648" s="1">
        <v>45017</v>
      </c>
      <c r="C1648" s="1">
        <f t="shared" ref="C1648:C1650" ca="1" si="195">TODAY()</f>
        <v>45938</v>
      </c>
      <c r="D1648" t="s">
        <v>7</v>
      </c>
      <c r="E1648">
        <v>39</v>
      </c>
      <c r="F1648" t="s">
        <v>6</v>
      </c>
      <c r="G1648" s="8">
        <f t="shared" ca="1" si="188"/>
        <v>921</v>
      </c>
      <c r="H1648">
        <f t="shared" si="189"/>
        <v>7</v>
      </c>
      <c r="I1648" t="str">
        <f t="shared" si="187"/>
        <v>Saturday</v>
      </c>
      <c r="L1648">
        <f t="shared" ca="1" si="190"/>
        <v>0</v>
      </c>
    </row>
    <row r="1649" spans="1:12" x14ac:dyDescent="0.25">
      <c r="A1649">
        <v>208748964</v>
      </c>
      <c r="B1649" s="1">
        <v>45017</v>
      </c>
      <c r="C1649" s="1">
        <f t="shared" ca="1" si="195"/>
        <v>45938</v>
      </c>
      <c r="D1649" t="s">
        <v>7</v>
      </c>
      <c r="E1649">
        <v>39</v>
      </c>
      <c r="F1649" t="s">
        <v>6</v>
      </c>
      <c r="G1649" s="8">
        <f t="shared" ca="1" si="188"/>
        <v>921</v>
      </c>
      <c r="H1649">
        <f t="shared" si="189"/>
        <v>7</v>
      </c>
      <c r="I1649" t="str">
        <f t="shared" si="187"/>
        <v>Saturday</v>
      </c>
      <c r="L1649">
        <f t="shared" ca="1" si="190"/>
        <v>0</v>
      </c>
    </row>
    <row r="1650" spans="1:12" x14ac:dyDescent="0.25">
      <c r="A1650">
        <v>151904783</v>
      </c>
      <c r="B1650" s="1">
        <v>45017</v>
      </c>
      <c r="C1650" s="1">
        <f t="shared" ca="1" si="195"/>
        <v>45938</v>
      </c>
      <c r="D1650" t="s">
        <v>7</v>
      </c>
      <c r="E1650">
        <v>39</v>
      </c>
      <c r="F1650" t="s">
        <v>6</v>
      </c>
      <c r="G1650" s="8">
        <f t="shared" ca="1" si="188"/>
        <v>921</v>
      </c>
      <c r="H1650">
        <f t="shared" si="189"/>
        <v>7</v>
      </c>
      <c r="I1650" t="str">
        <f t="shared" si="187"/>
        <v>Saturday</v>
      </c>
      <c r="L1650">
        <f t="shared" ca="1" si="190"/>
        <v>0</v>
      </c>
    </row>
    <row r="1651" spans="1:12" x14ac:dyDescent="0.25">
      <c r="A1651">
        <v>160351988</v>
      </c>
      <c r="B1651" s="1">
        <v>45017</v>
      </c>
      <c r="C1651" s="1">
        <v>45115</v>
      </c>
      <c r="D1651" t="s">
        <v>7</v>
      </c>
      <c r="E1651">
        <v>39</v>
      </c>
      <c r="F1651" t="s">
        <v>6</v>
      </c>
      <c r="G1651" s="8">
        <f t="shared" si="188"/>
        <v>98</v>
      </c>
      <c r="H1651">
        <f t="shared" si="189"/>
        <v>7</v>
      </c>
      <c r="I1651" t="str">
        <f t="shared" si="187"/>
        <v>Saturday</v>
      </c>
      <c r="L1651">
        <f t="shared" si="190"/>
        <v>0</v>
      </c>
    </row>
    <row r="1652" spans="1:12" x14ac:dyDescent="0.25">
      <c r="A1652">
        <v>145622106</v>
      </c>
      <c r="B1652" s="1">
        <v>45017</v>
      </c>
      <c r="C1652" s="1">
        <v>45017</v>
      </c>
      <c r="D1652" t="s">
        <v>7</v>
      </c>
      <c r="E1652">
        <v>39</v>
      </c>
      <c r="F1652" t="s">
        <v>6</v>
      </c>
      <c r="G1652" s="8">
        <f t="shared" si="188"/>
        <v>0</v>
      </c>
      <c r="H1652">
        <f t="shared" si="189"/>
        <v>7</v>
      </c>
      <c r="I1652" t="str">
        <f t="shared" si="187"/>
        <v>Saturday</v>
      </c>
      <c r="L1652">
        <f t="shared" si="190"/>
        <v>1</v>
      </c>
    </row>
    <row r="1653" spans="1:12" x14ac:dyDescent="0.25">
      <c r="A1653">
        <v>192475408</v>
      </c>
      <c r="B1653" s="1">
        <v>45017</v>
      </c>
      <c r="C1653" s="1">
        <v>45042</v>
      </c>
      <c r="D1653" t="s">
        <v>7</v>
      </c>
      <c r="E1653">
        <v>39</v>
      </c>
      <c r="F1653" t="s">
        <v>6</v>
      </c>
      <c r="G1653" s="8">
        <f t="shared" si="188"/>
        <v>25</v>
      </c>
      <c r="H1653">
        <f t="shared" si="189"/>
        <v>7</v>
      </c>
      <c r="I1653" t="str">
        <f t="shared" si="187"/>
        <v>Saturday</v>
      </c>
      <c r="L1653">
        <f t="shared" si="190"/>
        <v>0</v>
      </c>
    </row>
    <row r="1654" spans="1:12" x14ac:dyDescent="0.25">
      <c r="A1654">
        <v>208597905</v>
      </c>
      <c r="B1654" s="1">
        <v>45018</v>
      </c>
      <c r="C1654" s="1">
        <f t="shared" ref="C1654" ca="1" si="196">TODAY()</f>
        <v>45938</v>
      </c>
      <c r="D1654" t="s">
        <v>7</v>
      </c>
      <c r="E1654">
        <v>39</v>
      </c>
      <c r="F1654" t="s">
        <v>6</v>
      </c>
      <c r="G1654" s="8">
        <f t="shared" ca="1" si="188"/>
        <v>920</v>
      </c>
      <c r="H1654">
        <f t="shared" si="189"/>
        <v>1</v>
      </c>
      <c r="I1654" t="str">
        <f t="shared" si="187"/>
        <v>Sunday</v>
      </c>
      <c r="L1654">
        <f t="shared" ca="1" si="190"/>
        <v>0</v>
      </c>
    </row>
    <row r="1655" spans="1:12" x14ac:dyDescent="0.25">
      <c r="A1655">
        <v>209469556</v>
      </c>
      <c r="B1655" s="1">
        <v>45018</v>
      </c>
      <c r="C1655" s="1">
        <v>45019</v>
      </c>
      <c r="D1655" t="s">
        <v>8</v>
      </c>
      <c r="E1655">
        <v>39</v>
      </c>
      <c r="F1655" t="s">
        <v>6</v>
      </c>
      <c r="G1655" s="8">
        <f t="shared" si="188"/>
        <v>1</v>
      </c>
      <c r="H1655">
        <f t="shared" si="189"/>
        <v>1</v>
      </c>
      <c r="I1655" t="str">
        <f t="shared" si="187"/>
        <v>Sunday</v>
      </c>
      <c r="L1655">
        <f t="shared" si="190"/>
        <v>1</v>
      </c>
    </row>
    <row r="1656" spans="1:12" x14ac:dyDescent="0.25">
      <c r="A1656">
        <v>207183892</v>
      </c>
      <c r="B1656" s="1">
        <v>45018</v>
      </c>
      <c r="C1656" s="1">
        <v>45019</v>
      </c>
      <c r="D1656" t="s">
        <v>8</v>
      </c>
      <c r="E1656">
        <v>39</v>
      </c>
      <c r="F1656" t="s">
        <v>6</v>
      </c>
      <c r="G1656" s="8">
        <f t="shared" si="188"/>
        <v>1</v>
      </c>
      <c r="H1656">
        <f t="shared" si="189"/>
        <v>1</v>
      </c>
      <c r="I1656" t="str">
        <f t="shared" si="187"/>
        <v>Sunday</v>
      </c>
      <c r="L1656">
        <f t="shared" si="190"/>
        <v>1</v>
      </c>
    </row>
    <row r="1657" spans="1:12" x14ac:dyDescent="0.25">
      <c r="A1657">
        <v>125980506</v>
      </c>
      <c r="B1657" s="1">
        <v>45018</v>
      </c>
      <c r="C1657" s="1">
        <v>45109</v>
      </c>
      <c r="D1657" t="s">
        <v>7</v>
      </c>
      <c r="E1657">
        <v>39</v>
      </c>
      <c r="F1657" t="s">
        <v>6</v>
      </c>
      <c r="G1657" s="8">
        <f t="shared" si="188"/>
        <v>91</v>
      </c>
      <c r="H1657">
        <f t="shared" si="189"/>
        <v>1</v>
      </c>
      <c r="I1657" t="str">
        <f t="shared" si="187"/>
        <v>Sunday</v>
      </c>
      <c r="L1657">
        <f t="shared" si="190"/>
        <v>0</v>
      </c>
    </row>
    <row r="1658" spans="1:12" x14ac:dyDescent="0.25">
      <c r="A1658">
        <v>162635107</v>
      </c>
      <c r="B1658" s="1">
        <v>45018</v>
      </c>
      <c r="C1658" s="1">
        <v>45112</v>
      </c>
      <c r="D1658" t="s">
        <v>7</v>
      </c>
      <c r="E1658">
        <v>39</v>
      </c>
      <c r="F1658" t="s">
        <v>6</v>
      </c>
      <c r="G1658" s="8">
        <f t="shared" si="188"/>
        <v>94</v>
      </c>
      <c r="H1658">
        <f t="shared" si="189"/>
        <v>1</v>
      </c>
      <c r="I1658" t="str">
        <f t="shared" si="187"/>
        <v>Sunday</v>
      </c>
      <c r="L1658">
        <f t="shared" si="190"/>
        <v>0</v>
      </c>
    </row>
    <row r="1659" spans="1:12" x14ac:dyDescent="0.25">
      <c r="A1659">
        <v>154655775</v>
      </c>
      <c r="B1659" s="1">
        <v>45018</v>
      </c>
      <c r="C1659" s="1">
        <v>45131</v>
      </c>
      <c r="D1659" t="s">
        <v>7</v>
      </c>
      <c r="E1659">
        <v>39</v>
      </c>
      <c r="F1659" t="s">
        <v>6</v>
      </c>
      <c r="G1659" s="8">
        <f t="shared" si="188"/>
        <v>113</v>
      </c>
      <c r="H1659">
        <f t="shared" si="189"/>
        <v>1</v>
      </c>
      <c r="I1659" t="str">
        <f t="shared" si="187"/>
        <v>Sunday</v>
      </c>
      <c r="L1659">
        <f t="shared" si="190"/>
        <v>0</v>
      </c>
    </row>
    <row r="1660" spans="1:12" x14ac:dyDescent="0.25">
      <c r="A1660">
        <v>154911229</v>
      </c>
      <c r="B1660" s="1">
        <v>45019</v>
      </c>
      <c r="C1660" s="1">
        <f t="shared" ref="C1660:C1663" ca="1" si="197">TODAY()</f>
        <v>45938</v>
      </c>
      <c r="D1660" t="s">
        <v>7</v>
      </c>
      <c r="E1660">
        <v>39</v>
      </c>
      <c r="F1660" t="s">
        <v>6</v>
      </c>
      <c r="G1660" s="8">
        <f t="shared" ca="1" si="188"/>
        <v>919</v>
      </c>
      <c r="H1660">
        <f t="shared" si="189"/>
        <v>2</v>
      </c>
      <c r="I1660" t="str">
        <f t="shared" si="187"/>
        <v>Monday</v>
      </c>
      <c r="L1660">
        <f t="shared" ca="1" si="190"/>
        <v>0</v>
      </c>
    </row>
    <row r="1661" spans="1:12" x14ac:dyDescent="0.25">
      <c r="A1661">
        <v>206812076</v>
      </c>
      <c r="B1661" s="1">
        <v>45019</v>
      </c>
      <c r="C1661" s="1">
        <f t="shared" ca="1" si="197"/>
        <v>45938</v>
      </c>
      <c r="D1661" t="s">
        <v>7</v>
      </c>
      <c r="E1661">
        <v>39</v>
      </c>
      <c r="F1661" t="s">
        <v>6</v>
      </c>
      <c r="G1661" s="8">
        <f t="shared" ca="1" si="188"/>
        <v>919</v>
      </c>
      <c r="H1661">
        <f t="shared" si="189"/>
        <v>2</v>
      </c>
      <c r="I1661" t="str">
        <f t="shared" si="187"/>
        <v>Monday</v>
      </c>
      <c r="L1661">
        <f t="shared" ca="1" si="190"/>
        <v>0</v>
      </c>
    </row>
    <row r="1662" spans="1:12" x14ac:dyDescent="0.25">
      <c r="A1662">
        <v>208490747</v>
      </c>
      <c r="B1662" s="1">
        <v>45019</v>
      </c>
      <c r="C1662" s="1">
        <f t="shared" ca="1" si="197"/>
        <v>45938</v>
      </c>
      <c r="D1662" t="s">
        <v>7</v>
      </c>
      <c r="E1662">
        <v>39</v>
      </c>
      <c r="F1662" t="s">
        <v>6</v>
      </c>
      <c r="G1662" s="8">
        <f t="shared" ca="1" si="188"/>
        <v>919</v>
      </c>
      <c r="H1662">
        <f t="shared" si="189"/>
        <v>2</v>
      </c>
      <c r="I1662" t="str">
        <f t="shared" si="187"/>
        <v>Monday</v>
      </c>
      <c r="L1662">
        <f t="shared" ca="1" si="190"/>
        <v>0</v>
      </c>
    </row>
    <row r="1663" spans="1:12" x14ac:dyDescent="0.25">
      <c r="A1663">
        <v>131761056</v>
      </c>
      <c r="B1663" s="1">
        <v>45019</v>
      </c>
      <c r="C1663" s="1">
        <f t="shared" ca="1" si="197"/>
        <v>45938</v>
      </c>
      <c r="D1663" t="s">
        <v>7</v>
      </c>
      <c r="E1663">
        <v>39</v>
      </c>
      <c r="F1663" t="s">
        <v>6</v>
      </c>
      <c r="G1663" s="8">
        <f t="shared" ca="1" si="188"/>
        <v>919</v>
      </c>
      <c r="H1663">
        <f t="shared" si="189"/>
        <v>2</v>
      </c>
      <c r="I1663" t="str">
        <f t="shared" si="187"/>
        <v>Monday</v>
      </c>
      <c r="L1663">
        <f t="shared" ca="1" si="190"/>
        <v>0</v>
      </c>
    </row>
    <row r="1664" spans="1:12" x14ac:dyDescent="0.25">
      <c r="A1664">
        <v>208115534</v>
      </c>
      <c r="B1664" s="1">
        <v>45019</v>
      </c>
      <c r="C1664" s="1">
        <v>45056</v>
      </c>
      <c r="D1664" t="s">
        <v>8</v>
      </c>
      <c r="E1664">
        <v>39</v>
      </c>
      <c r="F1664" t="s">
        <v>6</v>
      </c>
      <c r="G1664" s="8">
        <f t="shared" si="188"/>
        <v>37</v>
      </c>
      <c r="H1664">
        <f t="shared" si="189"/>
        <v>2</v>
      </c>
      <c r="I1664" t="str">
        <f t="shared" si="187"/>
        <v>Monday</v>
      </c>
      <c r="L1664">
        <f t="shared" si="190"/>
        <v>0</v>
      </c>
    </row>
    <row r="1665" spans="1:12" x14ac:dyDescent="0.25">
      <c r="A1665">
        <v>202126471</v>
      </c>
      <c r="B1665" s="1">
        <v>45019</v>
      </c>
      <c r="C1665" s="1">
        <v>45104</v>
      </c>
      <c r="D1665" t="s">
        <v>7</v>
      </c>
      <c r="E1665">
        <v>39</v>
      </c>
      <c r="F1665" t="s">
        <v>6</v>
      </c>
      <c r="G1665" s="8">
        <f t="shared" si="188"/>
        <v>85</v>
      </c>
      <c r="H1665">
        <f t="shared" si="189"/>
        <v>2</v>
      </c>
      <c r="I1665" t="str">
        <f t="shared" si="187"/>
        <v>Monday</v>
      </c>
      <c r="L1665">
        <f t="shared" si="190"/>
        <v>0</v>
      </c>
    </row>
    <row r="1666" spans="1:12" x14ac:dyDescent="0.25">
      <c r="A1666">
        <v>209738836</v>
      </c>
      <c r="B1666" s="1">
        <v>45019</v>
      </c>
      <c r="C1666" s="1">
        <v>45060</v>
      </c>
      <c r="D1666" t="s">
        <v>7</v>
      </c>
      <c r="E1666">
        <v>39</v>
      </c>
      <c r="F1666" t="s">
        <v>6</v>
      </c>
      <c r="G1666" s="8">
        <f t="shared" si="188"/>
        <v>41</v>
      </c>
      <c r="H1666">
        <f t="shared" si="189"/>
        <v>2</v>
      </c>
      <c r="I1666" t="str">
        <f t="shared" ref="I1666:I1729" si="198">TEXT(B1666,"DDDD")</f>
        <v>Monday</v>
      </c>
      <c r="L1666">
        <f t="shared" si="190"/>
        <v>0</v>
      </c>
    </row>
    <row r="1667" spans="1:12" x14ac:dyDescent="0.25">
      <c r="A1667">
        <v>209470128</v>
      </c>
      <c r="B1667" s="1">
        <v>45019</v>
      </c>
      <c r="C1667" s="1">
        <v>45076</v>
      </c>
      <c r="D1667" t="s">
        <v>7</v>
      </c>
      <c r="E1667">
        <v>39</v>
      </c>
      <c r="F1667" t="s">
        <v>6</v>
      </c>
      <c r="G1667" s="8">
        <f t="shared" ref="G1667:G1730" si="199">IFERROR(DATEDIF(B1667,C1667,"D"),"0")</f>
        <v>57</v>
      </c>
      <c r="H1667">
        <f t="shared" ref="H1667:H1730" si="200">WEEKDAY(B1667,1)</f>
        <v>2</v>
      </c>
      <c r="I1667" t="str">
        <f t="shared" si="198"/>
        <v>Monday</v>
      </c>
      <c r="L1667">
        <f t="shared" ref="L1667:L1730" si="201">IF( OR($G1667=0,$G1667 = 1, $G1667 = 2), 1, 0 )</f>
        <v>0</v>
      </c>
    </row>
    <row r="1668" spans="1:12" x14ac:dyDescent="0.25">
      <c r="A1668">
        <v>209745334</v>
      </c>
      <c r="B1668" s="1">
        <v>45019</v>
      </c>
      <c r="C1668" s="1">
        <v>45170</v>
      </c>
      <c r="D1668" t="s">
        <v>7</v>
      </c>
      <c r="E1668">
        <v>39</v>
      </c>
      <c r="F1668" t="s">
        <v>6</v>
      </c>
      <c r="G1668" s="8">
        <f t="shared" si="199"/>
        <v>151</v>
      </c>
      <c r="H1668">
        <f t="shared" si="200"/>
        <v>2</v>
      </c>
      <c r="I1668" t="str">
        <f t="shared" si="198"/>
        <v>Monday</v>
      </c>
      <c r="L1668">
        <f t="shared" si="201"/>
        <v>0</v>
      </c>
    </row>
    <row r="1669" spans="1:12" x14ac:dyDescent="0.25">
      <c r="A1669">
        <v>209751690</v>
      </c>
      <c r="B1669" s="1">
        <v>45020</v>
      </c>
      <c r="C1669" s="1">
        <f t="shared" ref="C1669" ca="1" si="202">TODAY()</f>
        <v>45938</v>
      </c>
      <c r="D1669" t="s">
        <v>7</v>
      </c>
      <c r="E1669">
        <v>39</v>
      </c>
      <c r="F1669" t="s">
        <v>6</v>
      </c>
      <c r="G1669" s="8">
        <f t="shared" ca="1" si="199"/>
        <v>918</v>
      </c>
      <c r="H1669">
        <f t="shared" si="200"/>
        <v>3</v>
      </c>
      <c r="I1669" t="str">
        <f t="shared" si="198"/>
        <v>Tuesday</v>
      </c>
      <c r="L1669">
        <f t="shared" ca="1" si="201"/>
        <v>0</v>
      </c>
    </row>
    <row r="1670" spans="1:12" x14ac:dyDescent="0.25">
      <c r="A1670">
        <v>209730490</v>
      </c>
      <c r="B1670" s="1">
        <v>45020</v>
      </c>
      <c r="C1670" s="1">
        <v>45021</v>
      </c>
      <c r="D1670" t="s">
        <v>8</v>
      </c>
      <c r="E1670">
        <v>39</v>
      </c>
      <c r="F1670" t="s">
        <v>6</v>
      </c>
      <c r="G1670" s="8">
        <f t="shared" si="199"/>
        <v>1</v>
      </c>
      <c r="H1670">
        <f t="shared" si="200"/>
        <v>3</v>
      </c>
      <c r="I1670" t="str">
        <f t="shared" si="198"/>
        <v>Tuesday</v>
      </c>
      <c r="L1670">
        <f t="shared" si="201"/>
        <v>1</v>
      </c>
    </row>
    <row r="1671" spans="1:12" x14ac:dyDescent="0.25">
      <c r="A1671">
        <v>208115648</v>
      </c>
      <c r="B1671" s="1">
        <v>45020</v>
      </c>
      <c r="C1671" s="1">
        <v>45082</v>
      </c>
      <c r="D1671" t="s">
        <v>7</v>
      </c>
      <c r="E1671">
        <v>39</v>
      </c>
      <c r="F1671" t="s">
        <v>6</v>
      </c>
      <c r="G1671" s="8">
        <f t="shared" si="199"/>
        <v>62</v>
      </c>
      <c r="H1671">
        <f t="shared" si="200"/>
        <v>3</v>
      </c>
      <c r="I1671" t="str">
        <f t="shared" si="198"/>
        <v>Tuesday</v>
      </c>
      <c r="L1671">
        <f t="shared" si="201"/>
        <v>0</v>
      </c>
    </row>
    <row r="1672" spans="1:12" x14ac:dyDescent="0.25">
      <c r="A1672">
        <v>210087900</v>
      </c>
      <c r="B1672" s="1">
        <v>45020</v>
      </c>
      <c r="C1672" s="1">
        <v>45054</v>
      </c>
      <c r="D1672" t="s">
        <v>7</v>
      </c>
      <c r="E1672">
        <v>39</v>
      </c>
      <c r="F1672" t="s">
        <v>6</v>
      </c>
      <c r="G1672" s="8">
        <f t="shared" si="199"/>
        <v>34</v>
      </c>
      <c r="H1672">
        <f t="shared" si="200"/>
        <v>3</v>
      </c>
      <c r="I1672" t="str">
        <f t="shared" si="198"/>
        <v>Tuesday</v>
      </c>
      <c r="L1672">
        <f t="shared" si="201"/>
        <v>0</v>
      </c>
    </row>
    <row r="1673" spans="1:12" x14ac:dyDescent="0.25">
      <c r="A1673">
        <v>208890316</v>
      </c>
      <c r="B1673" s="1">
        <v>45020</v>
      </c>
      <c r="C1673" s="1">
        <v>45070</v>
      </c>
      <c r="D1673" t="s">
        <v>7</v>
      </c>
      <c r="E1673">
        <v>39</v>
      </c>
      <c r="F1673" t="s">
        <v>6</v>
      </c>
      <c r="G1673" s="8">
        <f t="shared" si="199"/>
        <v>50</v>
      </c>
      <c r="H1673">
        <f t="shared" si="200"/>
        <v>3</v>
      </c>
      <c r="I1673" t="str">
        <f t="shared" si="198"/>
        <v>Tuesday</v>
      </c>
      <c r="L1673">
        <f t="shared" si="201"/>
        <v>0</v>
      </c>
    </row>
    <row r="1674" spans="1:12" x14ac:dyDescent="0.25">
      <c r="A1674">
        <v>143706140</v>
      </c>
      <c r="B1674" s="1">
        <v>45020</v>
      </c>
      <c r="C1674" s="1">
        <v>45023</v>
      </c>
      <c r="D1674" t="s">
        <v>7</v>
      </c>
      <c r="E1674">
        <v>39</v>
      </c>
      <c r="F1674" t="s">
        <v>6</v>
      </c>
      <c r="G1674" s="8">
        <f t="shared" si="199"/>
        <v>3</v>
      </c>
      <c r="H1674">
        <f t="shared" si="200"/>
        <v>3</v>
      </c>
      <c r="I1674" t="str">
        <f t="shared" si="198"/>
        <v>Tuesday</v>
      </c>
      <c r="L1674">
        <f t="shared" si="201"/>
        <v>0</v>
      </c>
    </row>
    <row r="1675" spans="1:12" x14ac:dyDescent="0.25">
      <c r="A1675">
        <v>209950443</v>
      </c>
      <c r="B1675" s="1">
        <v>45020</v>
      </c>
      <c r="C1675" s="1">
        <v>45030</v>
      </c>
      <c r="D1675" t="s">
        <v>7</v>
      </c>
      <c r="E1675">
        <v>39</v>
      </c>
      <c r="F1675" t="s">
        <v>6</v>
      </c>
      <c r="G1675" s="8">
        <f t="shared" si="199"/>
        <v>10</v>
      </c>
      <c r="H1675">
        <f t="shared" si="200"/>
        <v>3</v>
      </c>
      <c r="I1675" t="str">
        <f t="shared" si="198"/>
        <v>Tuesday</v>
      </c>
      <c r="L1675">
        <f t="shared" si="201"/>
        <v>0</v>
      </c>
    </row>
    <row r="1676" spans="1:12" x14ac:dyDescent="0.25">
      <c r="A1676">
        <v>208892072</v>
      </c>
      <c r="B1676" s="1">
        <v>45020</v>
      </c>
      <c r="C1676" s="1">
        <v>45041</v>
      </c>
      <c r="D1676" t="s">
        <v>7</v>
      </c>
      <c r="E1676">
        <v>39</v>
      </c>
      <c r="F1676" t="s">
        <v>6</v>
      </c>
      <c r="G1676" s="8">
        <f t="shared" si="199"/>
        <v>21</v>
      </c>
      <c r="H1676">
        <f t="shared" si="200"/>
        <v>3</v>
      </c>
      <c r="I1676" t="str">
        <f t="shared" si="198"/>
        <v>Tuesday</v>
      </c>
      <c r="L1676">
        <f t="shared" si="201"/>
        <v>0</v>
      </c>
    </row>
    <row r="1677" spans="1:12" x14ac:dyDescent="0.25">
      <c r="A1677">
        <v>205767174</v>
      </c>
      <c r="B1677" s="1">
        <v>45020</v>
      </c>
      <c r="C1677" s="1">
        <v>45150</v>
      </c>
      <c r="D1677" t="s">
        <v>7</v>
      </c>
      <c r="E1677">
        <v>39</v>
      </c>
      <c r="F1677" t="s">
        <v>6</v>
      </c>
      <c r="G1677" s="8">
        <f t="shared" si="199"/>
        <v>130</v>
      </c>
      <c r="H1677">
        <f t="shared" si="200"/>
        <v>3</v>
      </c>
      <c r="I1677" t="str">
        <f t="shared" si="198"/>
        <v>Tuesday</v>
      </c>
      <c r="L1677">
        <f t="shared" si="201"/>
        <v>0</v>
      </c>
    </row>
    <row r="1678" spans="1:12" x14ac:dyDescent="0.25">
      <c r="A1678">
        <v>206676416</v>
      </c>
      <c r="B1678" s="1">
        <v>45020</v>
      </c>
      <c r="C1678" s="1">
        <v>45124</v>
      </c>
      <c r="D1678" t="s">
        <v>7</v>
      </c>
      <c r="E1678">
        <v>39</v>
      </c>
      <c r="F1678" t="s">
        <v>6</v>
      </c>
      <c r="G1678" s="8">
        <f t="shared" si="199"/>
        <v>104</v>
      </c>
      <c r="H1678">
        <f t="shared" si="200"/>
        <v>3</v>
      </c>
      <c r="I1678" t="str">
        <f t="shared" si="198"/>
        <v>Tuesday</v>
      </c>
      <c r="L1678">
        <f t="shared" si="201"/>
        <v>0</v>
      </c>
    </row>
    <row r="1679" spans="1:12" x14ac:dyDescent="0.25">
      <c r="A1679">
        <v>160676837</v>
      </c>
      <c r="B1679" s="1">
        <v>45021</v>
      </c>
      <c r="C1679" s="1">
        <f t="shared" ref="C1679:C1680" ca="1" si="203">TODAY()</f>
        <v>45938</v>
      </c>
      <c r="D1679" t="s">
        <v>7</v>
      </c>
      <c r="E1679">
        <v>39</v>
      </c>
      <c r="F1679" t="s">
        <v>6</v>
      </c>
      <c r="G1679" s="8">
        <f t="shared" ca="1" si="199"/>
        <v>917</v>
      </c>
      <c r="H1679">
        <f t="shared" si="200"/>
        <v>4</v>
      </c>
      <c r="I1679" t="str">
        <f t="shared" si="198"/>
        <v>Wednesday</v>
      </c>
      <c r="L1679">
        <f t="shared" ca="1" si="201"/>
        <v>0</v>
      </c>
    </row>
    <row r="1680" spans="1:12" x14ac:dyDescent="0.25">
      <c r="A1680">
        <v>204274153</v>
      </c>
      <c r="B1680" s="1">
        <v>45021</v>
      </c>
      <c r="C1680" s="1">
        <f t="shared" ca="1" si="203"/>
        <v>45938</v>
      </c>
      <c r="D1680" t="s">
        <v>7</v>
      </c>
      <c r="E1680">
        <v>39</v>
      </c>
      <c r="F1680" t="s">
        <v>6</v>
      </c>
      <c r="G1680" s="8">
        <f t="shared" ca="1" si="199"/>
        <v>917</v>
      </c>
      <c r="H1680">
        <f t="shared" si="200"/>
        <v>4</v>
      </c>
      <c r="I1680" t="str">
        <f t="shared" si="198"/>
        <v>Wednesday</v>
      </c>
      <c r="L1680">
        <f t="shared" ca="1" si="201"/>
        <v>0</v>
      </c>
    </row>
    <row r="1681" spans="1:12" x14ac:dyDescent="0.25">
      <c r="A1681">
        <v>210327236</v>
      </c>
      <c r="B1681" s="1">
        <v>45021</v>
      </c>
      <c r="C1681" s="1">
        <v>45022</v>
      </c>
      <c r="D1681" t="s">
        <v>8</v>
      </c>
      <c r="E1681">
        <v>39</v>
      </c>
      <c r="F1681" t="s">
        <v>6</v>
      </c>
      <c r="G1681" s="8">
        <f t="shared" si="199"/>
        <v>1</v>
      </c>
      <c r="H1681">
        <f t="shared" si="200"/>
        <v>4</v>
      </c>
      <c r="I1681" t="str">
        <f t="shared" si="198"/>
        <v>Wednesday</v>
      </c>
      <c r="L1681">
        <f t="shared" si="201"/>
        <v>1</v>
      </c>
    </row>
    <row r="1682" spans="1:12" x14ac:dyDescent="0.25">
      <c r="A1682">
        <v>210326352</v>
      </c>
      <c r="B1682" s="1">
        <v>45021</v>
      </c>
      <c r="C1682" s="1">
        <v>45021</v>
      </c>
      <c r="D1682" t="s">
        <v>8</v>
      </c>
      <c r="E1682">
        <v>39</v>
      </c>
      <c r="F1682" t="s">
        <v>6</v>
      </c>
      <c r="G1682" s="8">
        <f t="shared" si="199"/>
        <v>0</v>
      </c>
      <c r="H1682">
        <f t="shared" si="200"/>
        <v>4</v>
      </c>
      <c r="I1682" t="str">
        <f t="shared" si="198"/>
        <v>Wednesday</v>
      </c>
      <c r="L1682">
        <f t="shared" si="201"/>
        <v>1</v>
      </c>
    </row>
    <row r="1683" spans="1:12" x14ac:dyDescent="0.25">
      <c r="A1683">
        <v>124155104</v>
      </c>
      <c r="B1683" s="1">
        <v>45021</v>
      </c>
      <c r="C1683" s="1">
        <v>45058</v>
      </c>
      <c r="D1683" t="s">
        <v>7</v>
      </c>
      <c r="E1683">
        <v>39</v>
      </c>
      <c r="F1683" t="s">
        <v>6</v>
      </c>
      <c r="G1683" s="8">
        <f t="shared" si="199"/>
        <v>37</v>
      </c>
      <c r="H1683">
        <f t="shared" si="200"/>
        <v>4</v>
      </c>
      <c r="I1683" t="str">
        <f t="shared" si="198"/>
        <v>Wednesday</v>
      </c>
      <c r="L1683">
        <f t="shared" si="201"/>
        <v>0</v>
      </c>
    </row>
    <row r="1684" spans="1:12" x14ac:dyDescent="0.25">
      <c r="A1684">
        <v>209517408</v>
      </c>
      <c r="B1684" s="1">
        <v>45021</v>
      </c>
      <c r="C1684" s="1">
        <v>45050</v>
      </c>
      <c r="D1684" t="s">
        <v>7</v>
      </c>
      <c r="E1684">
        <v>39</v>
      </c>
      <c r="F1684" t="s">
        <v>6</v>
      </c>
      <c r="G1684" s="8">
        <f t="shared" si="199"/>
        <v>29</v>
      </c>
      <c r="H1684">
        <f t="shared" si="200"/>
        <v>4</v>
      </c>
      <c r="I1684" t="str">
        <f t="shared" si="198"/>
        <v>Wednesday</v>
      </c>
      <c r="L1684">
        <f t="shared" si="201"/>
        <v>0</v>
      </c>
    </row>
    <row r="1685" spans="1:12" x14ac:dyDescent="0.25">
      <c r="A1685">
        <v>210432450</v>
      </c>
      <c r="B1685" s="1">
        <v>45021</v>
      </c>
      <c r="C1685" s="1">
        <v>45028</v>
      </c>
      <c r="D1685" t="s">
        <v>7</v>
      </c>
      <c r="E1685">
        <v>39</v>
      </c>
      <c r="F1685" t="s">
        <v>6</v>
      </c>
      <c r="G1685" s="8">
        <f t="shared" si="199"/>
        <v>7</v>
      </c>
      <c r="H1685">
        <f t="shared" si="200"/>
        <v>4</v>
      </c>
      <c r="I1685" t="str">
        <f t="shared" si="198"/>
        <v>Wednesday</v>
      </c>
      <c r="L1685">
        <f t="shared" si="201"/>
        <v>0</v>
      </c>
    </row>
    <row r="1686" spans="1:12" x14ac:dyDescent="0.25">
      <c r="A1686">
        <v>210138564</v>
      </c>
      <c r="B1686" s="1">
        <v>45022</v>
      </c>
      <c r="C1686" s="1">
        <f t="shared" ref="C1686" ca="1" si="204">TODAY()</f>
        <v>45938</v>
      </c>
      <c r="D1686" t="s">
        <v>7</v>
      </c>
      <c r="E1686">
        <v>39</v>
      </c>
      <c r="F1686" t="s">
        <v>6</v>
      </c>
      <c r="G1686" s="8">
        <f t="shared" ca="1" si="199"/>
        <v>916</v>
      </c>
      <c r="H1686">
        <f t="shared" si="200"/>
        <v>5</v>
      </c>
      <c r="I1686" t="str">
        <f t="shared" si="198"/>
        <v>Thursday</v>
      </c>
      <c r="L1686">
        <f t="shared" ca="1" si="201"/>
        <v>0</v>
      </c>
    </row>
    <row r="1687" spans="1:12" x14ac:dyDescent="0.25">
      <c r="A1687">
        <v>210617010</v>
      </c>
      <c r="B1687" s="1">
        <v>45022</v>
      </c>
      <c r="C1687" s="1">
        <v>45022</v>
      </c>
      <c r="D1687" t="s">
        <v>7</v>
      </c>
      <c r="E1687">
        <v>39</v>
      </c>
      <c r="F1687" t="s">
        <v>6</v>
      </c>
      <c r="G1687" s="8">
        <f t="shared" si="199"/>
        <v>0</v>
      </c>
      <c r="H1687">
        <f t="shared" si="200"/>
        <v>5</v>
      </c>
      <c r="I1687" t="str">
        <f t="shared" si="198"/>
        <v>Thursday</v>
      </c>
      <c r="L1687">
        <f t="shared" si="201"/>
        <v>1</v>
      </c>
    </row>
    <row r="1688" spans="1:12" x14ac:dyDescent="0.25">
      <c r="A1688">
        <v>134894187</v>
      </c>
      <c r="B1688" s="1">
        <v>45022</v>
      </c>
      <c r="C1688" s="1">
        <v>45064</v>
      </c>
      <c r="D1688" t="s">
        <v>7</v>
      </c>
      <c r="E1688">
        <v>39</v>
      </c>
      <c r="F1688" t="s">
        <v>6</v>
      </c>
      <c r="G1688" s="8">
        <f t="shared" si="199"/>
        <v>42</v>
      </c>
      <c r="H1688">
        <f t="shared" si="200"/>
        <v>5</v>
      </c>
      <c r="I1688" t="str">
        <f t="shared" si="198"/>
        <v>Thursday</v>
      </c>
      <c r="L1688">
        <f t="shared" si="201"/>
        <v>0</v>
      </c>
    </row>
    <row r="1689" spans="1:12" x14ac:dyDescent="0.25">
      <c r="A1689">
        <v>150643785</v>
      </c>
      <c r="B1689" s="1">
        <v>45022</v>
      </c>
      <c r="C1689" s="1">
        <v>45083</v>
      </c>
      <c r="D1689" t="s">
        <v>7</v>
      </c>
      <c r="E1689">
        <v>39</v>
      </c>
      <c r="F1689" t="s">
        <v>6</v>
      </c>
      <c r="G1689" s="8">
        <f t="shared" si="199"/>
        <v>61</v>
      </c>
      <c r="H1689">
        <f t="shared" si="200"/>
        <v>5</v>
      </c>
      <c r="I1689" t="str">
        <f t="shared" si="198"/>
        <v>Thursday</v>
      </c>
      <c r="L1689">
        <f t="shared" si="201"/>
        <v>0</v>
      </c>
    </row>
    <row r="1690" spans="1:12" x14ac:dyDescent="0.25">
      <c r="A1690">
        <v>149986782</v>
      </c>
      <c r="B1690" s="1">
        <v>45022</v>
      </c>
      <c r="C1690" s="1">
        <v>45081</v>
      </c>
      <c r="D1690" t="s">
        <v>7</v>
      </c>
      <c r="E1690">
        <v>39</v>
      </c>
      <c r="F1690" t="s">
        <v>6</v>
      </c>
      <c r="G1690" s="8">
        <f t="shared" si="199"/>
        <v>59</v>
      </c>
      <c r="H1690">
        <f t="shared" si="200"/>
        <v>5</v>
      </c>
      <c r="I1690" t="str">
        <f t="shared" si="198"/>
        <v>Thursday</v>
      </c>
      <c r="L1690">
        <f t="shared" si="201"/>
        <v>0</v>
      </c>
    </row>
    <row r="1691" spans="1:12" x14ac:dyDescent="0.25">
      <c r="A1691">
        <v>205463099</v>
      </c>
      <c r="B1691" s="1">
        <v>45022</v>
      </c>
      <c r="C1691" s="1">
        <v>45093</v>
      </c>
      <c r="D1691" t="s">
        <v>7</v>
      </c>
      <c r="E1691">
        <v>39</v>
      </c>
      <c r="F1691" t="s">
        <v>6</v>
      </c>
      <c r="G1691" s="8">
        <f t="shared" si="199"/>
        <v>71</v>
      </c>
      <c r="H1691">
        <f t="shared" si="200"/>
        <v>5</v>
      </c>
      <c r="I1691" t="str">
        <f t="shared" si="198"/>
        <v>Thursday</v>
      </c>
      <c r="L1691">
        <f t="shared" si="201"/>
        <v>0</v>
      </c>
    </row>
    <row r="1692" spans="1:12" x14ac:dyDescent="0.25">
      <c r="A1692">
        <v>210565466</v>
      </c>
      <c r="B1692" s="1">
        <v>45022</v>
      </c>
      <c r="C1692" s="1">
        <v>45059</v>
      </c>
      <c r="D1692" t="s">
        <v>7</v>
      </c>
      <c r="E1692">
        <v>39</v>
      </c>
      <c r="F1692" t="s">
        <v>6</v>
      </c>
      <c r="G1692" s="8">
        <f t="shared" si="199"/>
        <v>37</v>
      </c>
      <c r="H1692">
        <f t="shared" si="200"/>
        <v>5</v>
      </c>
      <c r="I1692" t="str">
        <f t="shared" si="198"/>
        <v>Thursday</v>
      </c>
      <c r="L1692">
        <f t="shared" si="201"/>
        <v>0</v>
      </c>
    </row>
    <row r="1693" spans="1:12" x14ac:dyDescent="0.25">
      <c r="A1693">
        <v>209072132</v>
      </c>
      <c r="B1693" s="1">
        <v>45023</v>
      </c>
      <c r="C1693" s="1">
        <f t="shared" ref="C1693:C1694" ca="1" si="205">TODAY()</f>
        <v>45938</v>
      </c>
      <c r="D1693" t="s">
        <v>7</v>
      </c>
      <c r="E1693">
        <v>39</v>
      </c>
      <c r="F1693" t="s">
        <v>6</v>
      </c>
      <c r="G1693" s="8">
        <f t="shared" ca="1" si="199"/>
        <v>915</v>
      </c>
      <c r="H1693">
        <f t="shared" si="200"/>
        <v>6</v>
      </c>
      <c r="I1693" t="str">
        <f t="shared" si="198"/>
        <v>Friday</v>
      </c>
      <c r="L1693">
        <f t="shared" ca="1" si="201"/>
        <v>0</v>
      </c>
    </row>
    <row r="1694" spans="1:12" x14ac:dyDescent="0.25">
      <c r="A1694">
        <v>210388772</v>
      </c>
      <c r="B1694" s="1">
        <v>45023</v>
      </c>
      <c r="C1694" s="1">
        <f t="shared" ca="1" si="205"/>
        <v>45938</v>
      </c>
      <c r="D1694" t="s">
        <v>7</v>
      </c>
      <c r="E1694">
        <v>39</v>
      </c>
      <c r="F1694" t="s">
        <v>6</v>
      </c>
      <c r="G1694" s="8">
        <f t="shared" ca="1" si="199"/>
        <v>915</v>
      </c>
      <c r="H1694">
        <f t="shared" si="200"/>
        <v>6</v>
      </c>
      <c r="I1694" t="str">
        <f t="shared" si="198"/>
        <v>Friday</v>
      </c>
      <c r="L1694">
        <f t="shared" ca="1" si="201"/>
        <v>0</v>
      </c>
    </row>
    <row r="1695" spans="1:12" x14ac:dyDescent="0.25">
      <c r="A1695">
        <v>210617010</v>
      </c>
      <c r="B1695" s="1">
        <v>45023</v>
      </c>
      <c r="C1695" s="1">
        <v>45086</v>
      </c>
      <c r="D1695" t="s">
        <v>7</v>
      </c>
      <c r="E1695">
        <v>39</v>
      </c>
      <c r="F1695" t="s">
        <v>6</v>
      </c>
      <c r="G1695" s="8">
        <f t="shared" si="199"/>
        <v>63</v>
      </c>
      <c r="H1695">
        <f t="shared" si="200"/>
        <v>6</v>
      </c>
      <c r="I1695" t="str">
        <f t="shared" si="198"/>
        <v>Friday</v>
      </c>
      <c r="L1695">
        <f t="shared" si="201"/>
        <v>0</v>
      </c>
    </row>
    <row r="1696" spans="1:12" x14ac:dyDescent="0.25">
      <c r="A1696">
        <v>210694562</v>
      </c>
      <c r="B1696" s="1">
        <v>45023</v>
      </c>
      <c r="C1696" s="1">
        <v>45060</v>
      </c>
      <c r="D1696" t="s">
        <v>7</v>
      </c>
      <c r="E1696">
        <v>39</v>
      </c>
      <c r="F1696" t="s">
        <v>6</v>
      </c>
      <c r="G1696" s="8">
        <f t="shared" si="199"/>
        <v>37</v>
      </c>
      <c r="H1696">
        <f t="shared" si="200"/>
        <v>6</v>
      </c>
      <c r="I1696" t="str">
        <f t="shared" si="198"/>
        <v>Friday</v>
      </c>
      <c r="L1696">
        <f t="shared" si="201"/>
        <v>0</v>
      </c>
    </row>
    <row r="1697" spans="1:12" x14ac:dyDescent="0.25">
      <c r="A1697">
        <v>134833306</v>
      </c>
      <c r="B1697" s="1">
        <v>45023</v>
      </c>
      <c r="C1697" s="1">
        <v>45054</v>
      </c>
      <c r="D1697" t="s">
        <v>7</v>
      </c>
      <c r="E1697">
        <v>39</v>
      </c>
      <c r="F1697" t="s">
        <v>6</v>
      </c>
      <c r="G1697" s="8">
        <f t="shared" si="199"/>
        <v>31</v>
      </c>
      <c r="H1697">
        <f t="shared" si="200"/>
        <v>6</v>
      </c>
      <c r="I1697" t="str">
        <f t="shared" si="198"/>
        <v>Friday</v>
      </c>
      <c r="L1697">
        <f t="shared" si="201"/>
        <v>0</v>
      </c>
    </row>
    <row r="1698" spans="1:12" x14ac:dyDescent="0.25">
      <c r="A1698">
        <v>211220014</v>
      </c>
      <c r="B1698" s="1">
        <v>45024</v>
      </c>
      <c r="C1698" s="1">
        <f t="shared" ref="C1698:C1701" ca="1" si="206">TODAY()</f>
        <v>45938</v>
      </c>
      <c r="D1698" t="s">
        <v>7</v>
      </c>
      <c r="E1698">
        <v>39</v>
      </c>
      <c r="F1698" t="s">
        <v>6</v>
      </c>
      <c r="G1698" s="8">
        <f t="shared" ca="1" si="199"/>
        <v>914</v>
      </c>
      <c r="H1698">
        <f t="shared" si="200"/>
        <v>7</v>
      </c>
      <c r="I1698" t="str">
        <f t="shared" si="198"/>
        <v>Saturday</v>
      </c>
      <c r="L1698">
        <f t="shared" ca="1" si="201"/>
        <v>0</v>
      </c>
    </row>
    <row r="1699" spans="1:12" x14ac:dyDescent="0.25">
      <c r="A1699">
        <v>121571816</v>
      </c>
      <c r="B1699" s="1">
        <v>45024</v>
      </c>
      <c r="C1699" s="1">
        <f t="shared" ca="1" si="206"/>
        <v>45938</v>
      </c>
      <c r="D1699" t="s">
        <v>7</v>
      </c>
      <c r="E1699">
        <v>39</v>
      </c>
      <c r="F1699" t="s">
        <v>6</v>
      </c>
      <c r="G1699" s="8">
        <f t="shared" ca="1" si="199"/>
        <v>914</v>
      </c>
      <c r="H1699">
        <f t="shared" si="200"/>
        <v>7</v>
      </c>
      <c r="I1699" t="str">
        <f t="shared" si="198"/>
        <v>Saturday</v>
      </c>
      <c r="L1699">
        <f t="shared" ca="1" si="201"/>
        <v>0</v>
      </c>
    </row>
    <row r="1700" spans="1:12" x14ac:dyDescent="0.25">
      <c r="A1700">
        <v>211216060</v>
      </c>
      <c r="B1700" s="1">
        <v>45024</v>
      </c>
      <c r="C1700" s="1">
        <f t="shared" ca="1" si="206"/>
        <v>45938</v>
      </c>
      <c r="D1700" t="s">
        <v>7</v>
      </c>
      <c r="E1700">
        <v>39</v>
      </c>
      <c r="F1700" t="s">
        <v>6</v>
      </c>
      <c r="G1700" s="8">
        <f t="shared" ca="1" si="199"/>
        <v>914</v>
      </c>
      <c r="H1700">
        <f t="shared" si="200"/>
        <v>7</v>
      </c>
      <c r="I1700" t="str">
        <f t="shared" si="198"/>
        <v>Saturday</v>
      </c>
      <c r="L1700">
        <f t="shared" ca="1" si="201"/>
        <v>0</v>
      </c>
    </row>
    <row r="1701" spans="1:12" x14ac:dyDescent="0.25">
      <c r="A1701">
        <v>211114276</v>
      </c>
      <c r="B1701" s="1">
        <v>45024</v>
      </c>
      <c r="C1701" s="1">
        <f t="shared" ca="1" si="206"/>
        <v>45938</v>
      </c>
      <c r="D1701" t="s">
        <v>7</v>
      </c>
      <c r="E1701">
        <v>39</v>
      </c>
      <c r="F1701" t="s">
        <v>6</v>
      </c>
      <c r="G1701" s="8">
        <f t="shared" ca="1" si="199"/>
        <v>914</v>
      </c>
      <c r="H1701">
        <f t="shared" si="200"/>
        <v>7</v>
      </c>
      <c r="I1701" t="str">
        <f t="shared" si="198"/>
        <v>Saturday</v>
      </c>
      <c r="L1701">
        <f t="shared" ca="1" si="201"/>
        <v>0</v>
      </c>
    </row>
    <row r="1702" spans="1:12" x14ac:dyDescent="0.25">
      <c r="A1702">
        <v>211224883</v>
      </c>
      <c r="B1702" s="1">
        <v>45024</v>
      </c>
      <c r="C1702" s="1">
        <v>45025</v>
      </c>
      <c r="D1702" t="s">
        <v>8</v>
      </c>
      <c r="E1702">
        <v>39</v>
      </c>
      <c r="F1702" t="s">
        <v>6</v>
      </c>
      <c r="G1702" s="8">
        <f t="shared" si="199"/>
        <v>1</v>
      </c>
      <c r="H1702">
        <f t="shared" si="200"/>
        <v>7</v>
      </c>
      <c r="I1702" t="str">
        <f t="shared" si="198"/>
        <v>Saturday</v>
      </c>
      <c r="L1702">
        <f t="shared" si="201"/>
        <v>1</v>
      </c>
    </row>
    <row r="1703" spans="1:12" x14ac:dyDescent="0.25">
      <c r="A1703">
        <v>211212313</v>
      </c>
      <c r="B1703" s="1">
        <v>45024</v>
      </c>
      <c r="C1703" s="1">
        <v>45083</v>
      </c>
      <c r="D1703" t="s">
        <v>7</v>
      </c>
      <c r="E1703">
        <v>39</v>
      </c>
      <c r="F1703" t="s">
        <v>6</v>
      </c>
      <c r="G1703" s="8">
        <f t="shared" si="199"/>
        <v>59</v>
      </c>
      <c r="H1703">
        <f t="shared" si="200"/>
        <v>7</v>
      </c>
      <c r="I1703" t="str">
        <f t="shared" si="198"/>
        <v>Saturday</v>
      </c>
      <c r="L1703">
        <f t="shared" si="201"/>
        <v>0</v>
      </c>
    </row>
    <row r="1704" spans="1:12" x14ac:dyDescent="0.25">
      <c r="A1704">
        <v>210135815</v>
      </c>
      <c r="B1704" s="1">
        <v>45024</v>
      </c>
      <c r="C1704" s="1">
        <v>45034</v>
      </c>
      <c r="D1704" t="s">
        <v>7</v>
      </c>
      <c r="E1704">
        <v>39</v>
      </c>
      <c r="F1704" t="s">
        <v>6</v>
      </c>
      <c r="G1704" s="8">
        <f t="shared" si="199"/>
        <v>10</v>
      </c>
      <c r="H1704">
        <f t="shared" si="200"/>
        <v>7</v>
      </c>
      <c r="I1704" t="str">
        <f t="shared" si="198"/>
        <v>Saturday</v>
      </c>
      <c r="L1704">
        <f t="shared" si="201"/>
        <v>0</v>
      </c>
    </row>
    <row r="1705" spans="1:12" x14ac:dyDescent="0.25">
      <c r="A1705">
        <v>211381659</v>
      </c>
      <c r="B1705" s="1">
        <v>45025</v>
      </c>
      <c r="C1705" s="1">
        <f t="shared" ref="C1705:C1707" ca="1" si="207">TODAY()</f>
        <v>45938</v>
      </c>
      <c r="D1705" t="s">
        <v>7</v>
      </c>
      <c r="E1705">
        <v>39</v>
      </c>
      <c r="F1705" t="s">
        <v>6</v>
      </c>
      <c r="G1705" s="8">
        <f t="shared" ca="1" si="199"/>
        <v>913</v>
      </c>
      <c r="H1705">
        <f t="shared" si="200"/>
        <v>1</v>
      </c>
      <c r="I1705" t="str">
        <f t="shared" si="198"/>
        <v>Sunday</v>
      </c>
      <c r="L1705">
        <f t="shared" ca="1" si="201"/>
        <v>0</v>
      </c>
    </row>
    <row r="1706" spans="1:12" x14ac:dyDescent="0.25">
      <c r="A1706">
        <v>183363812</v>
      </c>
      <c r="B1706" s="1">
        <v>45025</v>
      </c>
      <c r="C1706" s="1">
        <f t="shared" ca="1" si="207"/>
        <v>45938</v>
      </c>
      <c r="D1706" t="s">
        <v>7</v>
      </c>
      <c r="E1706">
        <v>39</v>
      </c>
      <c r="F1706" t="s">
        <v>6</v>
      </c>
      <c r="G1706" s="8">
        <f t="shared" ca="1" si="199"/>
        <v>913</v>
      </c>
      <c r="H1706">
        <f t="shared" si="200"/>
        <v>1</v>
      </c>
      <c r="I1706" t="str">
        <f t="shared" si="198"/>
        <v>Sunday</v>
      </c>
      <c r="L1706">
        <f t="shared" ca="1" si="201"/>
        <v>0</v>
      </c>
    </row>
    <row r="1707" spans="1:12" x14ac:dyDescent="0.25">
      <c r="A1707">
        <v>211289909</v>
      </c>
      <c r="B1707" s="1">
        <v>45025</v>
      </c>
      <c r="C1707" s="1">
        <f t="shared" ca="1" si="207"/>
        <v>45938</v>
      </c>
      <c r="D1707" t="s">
        <v>7</v>
      </c>
      <c r="E1707">
        <v>39</v>
      </c>
      <c r="F1707" t="s">
        <v>6</v>
      </c>
      <c r="G1707" s="8">
        <f t="shared" ca="1" si="199"/>
        <v>913</v>
      </c>
      <c r="H1707">
        <f t="shared" si="200"/>
        <v>1</v>
      </c>
      <c r="I1707" t="str">
        <f t="shared" si="198"/>
        <v>Sunday</v>
      </c>
      <c r="L1707">
        <f t="shared" ca="1" si="201"/>
        <v>0</v>
      </c>
    </row>
    <row r="1708" spans="1:12" x14ac:dyDescent="0.25">
      <c r="A1708">
        <v>211266858</v>
      </c>
      <c r="B1708" s="1">
        <v>45025</v>
      </c>
      <c r="C1708" s="1">
        <v>45048</v>
      </c>
      <c r="D1708" t="s">
        <v>7</v>
      </c>
      <c r="E1708">
        <v>39</v>
      </c>
      <c r="F1708" t="s">
        <v>6</v>
      </c>
      <c r="G1708" s="8">
        <f t="shared" si="199"/>
        <v>23</v>
      </c>
      <c r="H1708">
        <f t="shared" si="200"/>
        <v>1</v>
      </c>
      <c r="I1708" t="str">
        <f t="shared" si="198"/>
        <v>Sunday</v>
      </c>
      <c r="L1708">
        <f t="shared" si="201"/>
        <v>0</v>
      </c>
    </row>
    <row r="1709" spans="1:12" x14ac:dyDescent="0.25">
      <c r="A1709">
        <v>153163612</v>
      </c>
      <c r="B1709" s="1">
        <v>45025</v>
      </c>
      <c r="C1709" s="1">
        <v>45040</v>
      </c>
      <c r="D1709" t="s">
        <v>7</v>
      </c>
      <c r="E1709">
        <v>39</v>
      </c>
      <c r="F1709" t="s">
        <v>6</v>
      </c>
      <c r="G1709" s="8">
        <f t="shared" si="199"/>
        <v>15</v>
      </c>
      <c r="H1709">
        <f t="shared" si="200"/>
        <v>1</v>
      </c>
      <c r="I1709" t="str">
        <f t="shared" si="198"/>
        <v>Sunday</v>
      </c>
      <c r="L1709">
        <f t="shared" si="201"/>
        <v>0</v>
      </c>
    </row>
    <row r="1710" spans="1:12" x14ac:dyDescent="0.25">
      <c r="A1710">
        <v>209505551</v>
      </c>
      <c r="B1710" s="1">
        <v>45025</v>
      </c>
      <c r="C1710" s="1">
        <v>45041</v>
      </c>
      <c r="D1710" t="s">
        <v>7</v>
      </c>
      <c r="E1710">
        <v>39</v>
      </c>
      <c r="F1710" t="s">
        <v>6</v>
      </c>
      <c r="G1710" s="8">
        <f t="shared" si="199"/>
        <v>16</v>
      </c>
      <c r="H1710">
        <f t="shared" si="200"/>
        <v>1</v>
      </c>
      <c r="I1710" t="str">
        <f t="shared" si="198"/>
        <v>Sunday</v>
      </c>
      <c r="L1710">
        <f t="shared" si="201"/>
        <v>0</v>
      </c>
    </row>
    <row r="1711" spans="1:12" x14ac:dyDescent="0.25">
      <c r="A1711">
        <v>211389716</v>
      </c>
      <c r="B1711" s="1">
        <v>45026</v>
      </c>
      <c r="C1711" s="1">
        <f t="shared" ref="C1711:C1723" ca="1" si="208">TODAY()</f>
        <v>45938</v>
      </c>
      <c r="D1711" t="s">
        <v>7</v>
      </c>
      <c r="E1711">
        <v>39</v>
      </c>
      <c r="F1711" t="s">
        <v>6</v>
      </c>
      <c r="G1711" s="8">
        <f t="shared" ca="1" si="199"/>
        <v>912</v>
      </c>
      <c r="H1711">
        <f t="shared" si="200"/>
        <v>2</v>
      </c>
      <c r="I1711" t="str">
        <f t="shared" si="198"/>
        <v>Monday</v>
      </c>
      <c r="L1711">
        <f t="shared" ca="1" si="201"/>
        <v>0</v>
      </c>
    </row>
    <row r="1712" spans="1:12" x14ac:dyDescent="0.25">
      <c r="A1712">
        <v>211636708</v>
      </c>
      <c r="B1712" s="1">
        <v>45026</v>
      </c>
      <c r="C1712" s="1">
        <f t="shared" ca="1" si="208"/>
        <v>45938</v>
      </c>
      <c r="D1712" t="s">
        <v>7</v>
      </c>
      <c r="E1712">
        <v>39</v>
      </c>
      <c r="F1712" t="s">
        <v>6</v>
      </c>
      <c r="G1712" s="8">
        <f t="shared" ca="1" si="199"/>
        <v>912</v>
      </c>
      <c r="H1712">
        <f t="shared" si="200"/>
        <v>2</v>
      </c>
      <c r="I1712" t="str">
        <f t="shared" si="198"/>
        <v>Monday</v>
      </c>
      <c r="L1712">
        <f t="shared" ca="1" si="201"/>
        <v>0</v>
      </c>
    </row>
    <row r="1713" spans="1:12" x14ac:dyDescent="0.25">
      <c r="A1713">
        <v>176884824</v>
      </c>
      <c r="B1713" s="1">
        <v>45026</v>
      </c>
      <c r="C1713" s="1">
        <f t="shared" ca="1" si="208"/>
        <v>45938</v>
      </c>
      <c r="D1713" t="s">
        <v>7</v>
      </c>
      <c r="E1713">
        <v>39</v>
      </c>
      <c r="F1713" t="s">
        <v>6</v>
      </c>
      <c r="G1713" s="8">
        <f t="shared" ca="1" si="199"/>
        <v>912</v>
      </c>
      <c r="H1713">
        <f t="shared" si="200"/>
        <v>2</v>
      </c>
      <c r="I1713" t="str">
        <f t="shared" si="198"/>
        <v>Monday</v>
      </c>
      <c r="L1713">
        <f t="shared" ca="1" si="201"/>
        <v>0</v>
      </c>
    </row>
    <row r="1714" spans="1:12" x14ac:dyDescent="0.25">
      <c r="A1714">
        <v>211352758</v>
      </c>
      <c r="B1714" s="1">
        <v>45026</v>
      </c>
      <c r="C1714" s="1">
        <f t="shared" ca="1" si="208"/>
        <v>45938</v>
      </c>
      <c r="D1714" t="s">
        <v>7</v>
      </c>
      <c r="E1714">
        <v>39</v>
      </c>
      <c r="F1714" t="s">
        <v>6</v>
      </c>
      <c r="G1714" s="8">
        <f t="shared" ca="1" si="199"/>
        <v>912</v>
      </c>
      <c r="H1714">
        <f t="shared" si="200"/>
        <v>2</v>
      </c>
      <c r="I1714" t="str">
        <f t="shared" si="198"/>
        <v>Monday</v>
      </c>
      <c r="L1714">
        <f t="shared" ca="1" si="201"/>
        <v>0</v>
      </c>
    </row>
    <row r="1715" spans="1:12" x14ac:dyDescent="0.25">
      <c r="A1715">
        <v>210814163</v>
      </c>
      <c r="B1715" s="1">
        <v>45026</v>
      </c>
      <c r="C1715" s="1">
        <f t="shared" ca="1" si="208"/>
        <v>45938</v>
      </c>
      <c r="D1715" t="s">
        <v>7</v>
      </c>
      <c r="E1715">
        <v>39</v>
      </c>
      <c r="F1715" t="s">
        <v>6</v>
      </c>
      <c r="G1715" s="8">
        <f t="shared" ca="1" si="199"/>
        <v>912</v>
      </c>
      <c r="H1715">
        <f t="shared" si="200"/>
        <v>2</v>
      </c>
      <c r="I1715" t="str">
        <f t="shared" si="198"/>
        <v>Monday</v>
      </c>
      <c r="L1715">
        <f t="shared" ca="1" si="201"/>
        <v>0</v>
      </c>
    </row>
    <row r="1716" spans="1:12" x14ac:dyDescent="0.25">
      <c r="A1716">
        <v>210893245</v>
      </c>
      <c r="B1716" s="1">
        <v>45026</v>
      </c>
      <c r="C1716" s="1">
        <f t="shared" ca="1" si="208"/>
        <v>45938</v>
      </c>
      <c r="D1716" t="s">
        <v>7</v>
      </c>
      <c r="E1716">
        <v>39</v>
      </c>
      <c r="F1716" t="s">
        <v>6</v>
      </c>
      <c r="G1716" s="8">
        <f t="shared" ca="1" si="199"/>
        <v>912</v>
      </c>
      <c r="H1716">
        <f t="shared" si="200"/>
        <v>2</v>
      </c>
      <c r="I1716" t="str">
        <f t="shared" si="198"/>
        <v>Monday</v>
      </c>
      <c r="L1716">
        <f t="shared" ca="1" si="201"/>
        <v>0</v>
      </c>
    </row>
    <row r="1717" spans="1:12" x14ac:dyDescent="0.25">
      <c r="A1717">
        <v>130967112</v>
      </c>
      <c r="B1717" s="1">
        <v>45026</v>
      </c>
      <c r="C1717" s="1">
        <f t="shared" ca="1" si="208"/>
        <v>45938</v>
      </c>
      <c r="D1717" t="s">
        <v>7</v>
      </c>
      <c r="E1717">
        <v>39</v>
      </c>
      <c r="F1717" t="s">
        <v>6</v>
      </c>
      <c r="G1717" s="8">
        <f t="shared" ca="1" si="199"/>
        <v>912</v>
      </c>
      <c r="H1717">
        <f t="shared" si="200"/>
        <v>2</v>
      </c>
      <c r="I1717" t="str">
        <f t="shared" si="198"/>
        <v>Monday</v>
      </c>
      <c r="L1717">
        <f t="shared" ca="1" si="201"/>
        <v>0</v>
      </c>
    </row>
    <row r="1718" spans="1:12" x14ac:dyDescent="0.25">
      <c r="A1718">
        <v>199116000</v>
      </c>
      <c r="B1718" s="1">
        <v>45026</v>
      </c>
      <c r="C1718" s="1">
        <f t="shared" ca="1" si="208"/>
        <v>45938</v>
      </c>
      <c r="D1718" t="s">
        <v>7</v>
      </c>
      <c r="E1718">
        <v>39</v>
      </c>
      <c r="F1718" t="s">
        <v>6</v>
      </c>
      <c r="G1718" s="8">
        <f t="shared" ca="1" si="199"/>
        <v>912</v>
      </c>
      <c r="H1718">
        <f t="shared" si="200"/>
        <v>2</v>
      </c>
      <c r="I1718" t="str">
        <f t="shared" si="198"/>
        <v>Monday</v>
      </c>
      <c r="L1718">
        <f t="shared" ca="1" si="201"/>
        <v>0</v>
      </c>
    </row>
    <row r="1719" spans="1:12" x14ac:dyDescent="0.25">
      <c r="A1719">
        <v>161182706</v>
      </c>
      <c r="B1719" s="1">
        <v>45026</v>
      </c>
      <c r="C1719" s="1">
        <v>45063</v>
      </c>
      <c r="D1719" t="s">
        <v>7</v>
      </c>
      <c r="E1719">
        <v>39</v>
      </c>
      <c r="F1719" t="s">
        <v>6</v>
      </c>
      <c r="G1719" s="8">
        <f t="shared" si="199"/>
        <v>37</v>
      </c>
      <c r="H1719">
        <f t="shared" si="200"/>
        <v>2</v>
      </c>
      <c r="I1719" t="str">
        <f t="shared" si="198"/>
        <v>Monday</v>
      </c>
      <c r="L1719">
        <f t="shared" si="201"/>
        <v>0</v>
      </c>
    </row>
    <row r="1720" spans="1:12" x14ac:dyDescent="0.25">
      <c r="A1720">
        <v>211576047</v>
      </c>
      <c r="B1720" s="1">
        <v>45027</v>
      </c>
      <c r="C1720" s="1">
        <f t="shared" ca="1" si="208"/>
        <v>45938</v>
      </c>
      <c r="D1720" t="s">
        <v>7</v>
      </c>
      <c r="E1720">
        <v>39</v>
      </c>
      <c r="F1720" t="s">
        <v>6</v>
      </c>
      <c r="G1720" s="8">
        <f t="shared" ca="1" si="199"/>
        <v>911</v>
      </c>
      <c r="H1720">
        <f t="shared" si="200"/>
        <v>3</v>
      </c>
      <c r="I1720" t="str">
        <f t="shared" si="198"/>
        <v>Tuesday</v>
      </c>
      <c r="L1720">
        <f t="shared" ca="1" si="201"/>
        <v>0</v>
      </c>
    </row>
    <row r="1721" spans="1:12" x14ac:dyDescent="0.25">
      <c r="A1721">
        <v>211897884</v>
      </c>
      <c r="B1721" s="1">
        <v>45027</v>
      </c>
      <c r="C1721" s="1">
        <f t="shared" ca="1" si="208"/>
        <v>45938</v>
      </c>
      <c r="D1721" t="s">
        <v>7</v>
      </c>
      <c r="E1721">
        <v>39</v>
      </c>
      <c r="F1721" t="s">
        <v>6</v>
      </c>
      <c r="G1721" s="8">
        <f t="shared" ca="1" si="199"/>
        <v>911</v>
      </c>
      <c r="H1721">
        <f t="shared" si="200"/>
        <v>3</v>
      </c>
      <c r="I1721" t="str">
        <f t="shared" si="198"/>
        <v>Tuesday</v>
      </c>
      <c r="L1721">
        <f t="shared" ca="1" si="201"/>
        <v>0</v>
      </c>
    </row>
    <row r="1722" spans="1:12" x14ac:dyDescent="0.25">
      <c r="A1722">
        <v>211661733</v>
      </c>
      <c r="B1722" s="1">
        <v>45027</v>
      </c>
      <c r="C1722" s="1">
        <f t="shared" ca="1" si="208"/>
        <v>45938</v>
      </c>
      <c r="D1722" t="s">
        <v>7</v>
      </c>
      <c r="E1722">
        <v>39</v>
      </c>
      <c r="F1722" t="s">
        <v>6</v>
      </c>
      <c r="G1722" s="8">
        <f t="shared" ca="1" si="199"/>
        <v>911</v>
      </c>
      <c r="H1722">
        <f t="shared" si="200"/>
        <v>3</v>
      </c>
      <c r="I1722" t="str">
        <f t="shared" si="198"/>
        <v>Tuesday</v>
      </c>
      <c r="L1722">
        <f t="shared" ca="1" si="201"/>
        <v>0</v>
      </c>
    </row>
    <row r="1723" spans="1:12" x14ac:dyDescent="0.25">
      <c r="A1723">
        <v>211561665</v>
      </c>
      <c r="B1723" s="1">
        <v>45027</v>
      </c>
      <c r="C1723" s="1">
        <f t="shared" ca="1" si="208"/>
        <v>45938</v>
      </c>
      <c r="D1723" t="s">
        <v>8</v>
      </c>
      <c r="E1723">
        <v>39</v>
      </c>
      <c r="F1723" t="s">
        <v>6</v>
      </c>
      <c r="G1723" s="8">
        <f t="shared" ca="1" si="199"/>
        <v>911</v>
      </c>
      <c r="H1723">
        <f t="shared" si="200"/>
        <v>3</v>
      </c>
      <c r="I1723" t="str">
        <f t="shared" si="198"/>
        <v>Tuesday</v>
      </c>
      <c r="L1723">
        <f t="shared" ca="1" si="201"/>
        <v>0</v>
      </c>
    </row>
    <row r="1724" spans="1:12" x14ac:dyDescent="0.25">
      <c r="A1724">
        <v>211911280</v>
      </c>
      <c r="B1724" s="1">
        <v>45027</v>
      </c>
      <c r="C1724" s="1">
        <v>45161</v>
      </c>
      <c r="D1724" t="s">
        <v>7</v>
      </c>
      <c r="E1724">
        <v>39</v>
      </c>
      <c r="F1724" t="s">
        <v>6</v>
      </c>
      <c r="G1724" s="8">
        <f t="shared" si="199"/>
        <v>134</v>
      </c>
      <c r="H1724">
        <f t="shared" si="200"/>
        <v>3</v>
      </c>
      <c r="I1724" t="str">
        <f t="shared" si="198"/>
        <v>Tuesday</v>
      </c>
      <c r="L1724">
        <f t="shared" si="201"/>
        <v>0</v>
      </c>
    </row>
    <row r="1725" spans="1:12" x14ac:dyDescent="0.25">
      <c r="A1725">
        <v>123946316</v>
      </c>
      <c r="B1725" s="1">
        <v>45027</v>
      </c>
      <c r="C1725" s="1">
        <v>45094</v>
      </c>
      <c r="D1725" t="s">
        <v>7</v>
      </c>
      <c r="E1725">
        <v>39</v>
      </c>
      <c r="F1725" t="s">
        <v>6</v>
      </c>
      <c r="G1725" s="8">
        <f t="shared" si="199"/>
        <v>67</v>
      </c>
      <c r="H1725">
        <f t="shared" si="200"/>
        <v>3</v>
      </c>
      <c r="I1725" t="str">
        <f t="shared" si="198"/>
        <v>Tuesday</v>
      </c>
      <c r="L1725">
        <f t="shared" si="201"/>
        <v>0</v>
      </c>
    </row>
    <row r="1726" spans="1:12" x14ac:dyDescent="0.25">
      <c r="A1726">
        <v>144469362</v>
      </c>
      <c r="B1726" s="1">
        <v>45027</v>
      </c>
      <c r="C1726" s="1">
        <v>45047</v>
      </c>
      <c r="D1726" t="s">
        <v>7</v>
      </c>
      <c r="E1726">
        <v>39</v>
      </c>
      <c r="F1726" t="s">
        <v>6</v>
      </c>
      <c r="G1726" s="8">
        <f t="shared" si="199"/>
        <v>20</v>
      </c>
      <c r="H1726">
        <f t="shared" si="200"/>
        <v>3</v>
      </c>
      <c r="I1726" t="str">
        <f t="shared" si="198"/>
        <v>Tuesday</v>
      </c>
      <c r="L1726">
        <f t="shared" si="201"/>
        <v>0</v>
      </c>
    </row>
    <row r="1727" spans="1:12" x14ac:dyDescent="0.25">
      <c r="A1727">
        <v>187268085</v>
      </c>
      <c r="B1727" s="1">
        <v>45027</v>
      </c>
      <c r="C1727" s="1">
        <v>45054</v>
      </c>
      <c r="D1727" t="s">
        <v>7</v>
      </c>
      <c r="E1727">
        <v>39</v>
      </c>
      <c r="F1727" t="s">
        <v>6</v>
      </c>
      <c r="G1727" s="8">
        <f t="shared" si="199"/>
        <v>27</v>
      </c>
      <c r="H1727">
        <f t="shared" si="200"/>
        <v>3</v>
      </c>
      <c r="I1727" t="str">
        <f t="shared" si="198"/>
        <v>Tuesday</v>
      </c>
      <c r="L1727">
        <f t="shared" si="201"/>
        <v>0</v>
      </c>
    </row>
    <row r="1728" spans="1:12" x14ac:dyDescent="0.25">
      <c r="A1728">
        <v>210088359</v>
      </c>
      <c r="B1728" s="1">
        <v>45027</v>
      </c>
      <c r="C1728" s="1">
        <v>45103</v>
      </c>
      <c r="D1728" t="s">
        <v>7</v>
      </c>
      <c r="E1728">
        <v>39</v>
      </c>
      <c r="F1728" t="s">
        <v>6</v>
      </c>
      <c r="G1728" s="8">
        <f t="shared" si="199"/>
        <v>76</v>
      </c>
      <c r="H1728">
        <f t="shared" si="200"/>
        <v>3</v>
      </c>
      <c r="I1728" t="str">
        <f t="shared" si="198"/>
        <v>Tuesday</v>
      </c>
      <c r="L1728">
        <f t="shared" si="201"/>
        <v>0</v>
      </c>
    </row>
    <row r="1729" spans="1:12" x14ac:dyDescent="0.25">
      <c r="A1729">
        <v>211906202</v>
      </c>
      <c r="B1729" s="1">
        <v>45027</v>
      </c>
      <c r="C1729" s="1">
        <v>45068</v>
      </c>
      <c r="D1729" t="s">
        <v>7</v>
      </c>
      <c r="E1729">
        <v>39</v>
      </c>
      <c r="F1729" t="s">
        <v>6</v>
      </c>
      <c r="G1729" s="8">
        <f t="shared" si="199"/>
        <v>41</v>
      </c>
      <c r="H1729">
        <f t="shared" si="200"/>
        <v>3</v>
      </c>
      <c r="I1729" t="str">
        <f t="shared" si="198"/>
        <v>Tuesday</v>
      </c>
      <c r="L1729">
        <f t="shared" si="201"/>
        <v>0</v>
      </c>
    </row>
    <row r="1730" spans="1:12" x14ac:dyDescent="0.25">
      <c r="A1730">
        <v>126391978</v>
      </c>
      <c r="B1730" s="1">
        <v>45027</v>
      </c>
      <c r="C1730" s="1">
        <v>45127</v>
      </c>
      <c r="D1730" t="s">
        <v>7</v>
      </c>
      <c r="E1730">
        <v>39</v>
      </c>
      <c r="F1730" t="s">
        <v>6</v>
      </c>
      <c r="G1730" s="8">
        <f t="shared" si="199"/>
        <v>100</v>
      </c>
      <c r="H1730">
        <f t="shared" si="200"/>
        <v>3</v>
      </c>
      <c r="I1730" t="str">
        <f t="shared" ref="I1730:I1793" si="209">TEXT(B1730,"DDDD")</f>
        <v>Tuesday</v>
      </c>
      <c r="L1730">
        <f t="shared" si="201"/>
        <v>0</v>
      </c>
    </row>
    <row r="1731" spans="1:12" x14ac:dyDescent="0.25">
      <c r="A1731">
        <v>154753462</v>
      </c>
      <c r="B1731" s="1">
        <v>45028</v>
      </c>
      <c r="C1731" s="1">
        <f t="shared" ref="C1731:C1733" ca="1" si="210">TODAY()</f>
        <v>45938</v>
      </c>
      <c r="D1731" t="s">
        <v>7</v>
      </c>
      <c r="E1731">
        <v>39</v>
      </c>
      <c r="F1731" t="s">
        <v>6</v>
      </c>
      <c r="G1731" s="8">
        <f t="shared" ref="G1731:G1794" ca="1" si="211">IFERROR(DATEDIF(B1731,C1731,"D"),"0")</f>
        <v>910</v>
      </c>
      <c r="H1731">
        <f t="shared" ref="H1731:H1794" si="212">WEEKDAY(B1731,1)</f>
        <v>4</v>
      </c>
      <c r="I1731" t="str">
        <f t="shared" si="209"/>
        <v>Wednesday</v>
      </c>
      <c r="L1731">
        <f t="shared" ref="L1731:L1794" ca="1" si="213">IF( OR($G1731=0,$G1731 = 1, $G1731 = 2), 1, 0 )</f>
        <v>0</v>
      </c>
    </row>
    <row r="1732" spans="1:12" x14ac:dyDescent="0.25">
      <c r="A1732">
        <v>212049757</v>
      </c>
      <c r="B1732" s="1">
        <v>45028</v>
      </c>
      <c r="C1732" s="1">
        <f t="shared" ca="1" si="210"/>
        <v>45938</v>
      </c>
      <c r="D1732" t="s">
        <v>7</v>
      </c>
      <c r="E1732">
        <v>39</v>
      </c>
      <c r="F1732" t="s">
        <v>6</v>
      </c>
      <c r="G1732" s="8">
        <f t="shared" ca="1" si="211"/>
        <v>910</v>
      </c>
      <c r="H1732">
        <f t="shared" si="212"/>
        <v>4</v>
      </c>
      <c r="I1732" t="str">
        <f t="shared" si="209"/>
        <v>Wednesday</v>
      </c>
      <c r="L1732">
        <f t="shared" ca="1" si="213"/>
        <v>0</v>
      </c>
    </row>
    <row r="1733" spans="1:12" x14ac:dyDescent="0.25">
      <c r="A1733">
        <v>147015210</v>
      </c>
      <c r="B1733" s="1">
        <v>45028</v>
      </c>
      <c r="C1733" s="1">
        <f t="shared" ca="1" si="210"/>
        <v>45938</v>
      </c>
      <c r="D1733" t="s">
        <v>7</v>
      </c>
      <c r="E1733">
        <v>39</v>
      </c>
      <c r="F1733" t="s">
        <v>6</v>
      </c>
      <c r="G1733" s="8">
        <f t="shared" ca="1" si="211"/>
        <v>910</v>
      </c>
      <c r="H1733">
        <f t="shared" si="212"/>
        <v>4</v>
      </c>
      <c r="I1733" t="str">
        <f t="shared" si="209"/>
        <v>Wednesday</v>
      </c>
      <c r="L1733">
        <f t="shared" ca="1" si="213"/>
        <v>0</v>
      </c>
    </row>
    <row r="1734" spans="1:12" x14ac:dyDescent="0.25">
      <c r="A1734">
        <v>212057431</v>
      </c>
      <c r="B1734" s="1">
        <v>45028</v>
      </c>
      <c r="C1734" s="1">
        <v>45029</v>
      </c>
      <c r="D1734" t="s">
        <v>8</v>
      </c>
      <c r="E1734">
        <v>39</v>
      </c>
      <c r="F1734" t="s">
        <v>6</v>
      </c>
      <c r="G1734" s="8">
        <f t="shared" si="211"/>
        <v>1</v>
      </c>
      <c r="H1734">
        <f t="shared" si="212"/>
        <v>4</v>
      </c>
      <c r="I1734" t="str">
        <f t="shared" si="209"/>
        <v>Wednesday</v>
      </c>
      <c r="L1734">
        <f t="shared" si="213"/>
        <v>1</v>
      </c>
    </row>
    <row r="1735" spans="1:12" x14ac:dyDescent="0.25">
      <c r="A1735">
        <v>205734465</v>
      </c>
      <c r="B1735" s="1">
        <v>45028</v>
      </c>
      <c r="C1735" s="1">
        <v>45085</v>
      </c>
      <c r="D1735" t="s">
        <v>7</v>
      </c>
      <c r="E1735">
        <v>39</v>
      </c>
      <c r="F1735" t="s">
        <v>6</v>
      </c>
      <c r="G1735" s="8">
        <f t="shared" si="211"/>
        <v>57</v>
      </c>
      <c r="H1735">
        <f t="shared" si="212"/>
        <v>4</v>
      </c>
      <c r="I1735" t="str">
        <f t="shared" si="209"/>
        <v>Wednesday</v>
      </c>
      <c r="L1735">
        <f t="shared" si="213"/>
        <v>0</v>
      </c>
    </row>
    <row r="1736" spans="1:12" x14ac:dyDescent="0.25">
      <c r="A1736">
        <v>208772540</v>
      </c>
      <c r="B1736" s="1">
        <v>45028</v>
      </c>
      <c r="C1736" s="1">
        <v>45046</v>
      </c>
      <c r="D1736" t="s">
        <v>7</v>
      </c>
      <c r="E1736">
        <v>39</v>
      </c>
      <c r="F1736" t="s">
        <v>6</v>
      </c>
      <c r="G1736" s="8">
        <f t="shared" si="211"/>
        <v>18</v>
      </c>
      <c r="H1736">
        <f t="shared" si="212"/>
        <v>4</v>
      </c>
      <c r="I1736" t="str">
        <f t="shared" si="209"/>
        <v>Wednesday</v>
      </c>
      <c r="L1736">
        <f t="shared" si="213"/>
        <v>0</v>
      </c>
    </row>
    <row r="1737" spans="1:12" x14ac:dyDescent="0.25">
      <c r="A1737">
        <v>182357706</v>
      </c>
      <c r="B1737" s="1">
        <v>45028</v>
      </c>
      <c r="C1737" s="1">
        <v>45111</v>
      </c>
      <c r="D1737" t="s">
        <v>7</v>
      </c>
      <c r="E1737">
        <v>39</v>
      </c>
      <c r="F1737" t="s">
        <v>6</v>
      </c>
      <c r="G1737" s="8">
        <f t="shared" si="211"/>
        <v>83</v>
      </c>
      <c r="H1737">
        <f t="shared" si="212"/>
        <v>4</v>
      </c>
      <c r="I1737" t="str">
        <f t="shared" si="209"/>
        <v>Wednesday</v>
      </c>
      <c r="L1737">
        <f t="shared" si="213"/>
        <v>0</v>
      </c>
    </row>
    <row r="1738" spans="1:12" x14ac:dyDescent="0.25">
      <c r="A1738">
        <v>211333348</v>
      </c>
      <c r="B1738" s="1">
        <v>45028</v>
      </c>
      <c r="C1738" s="1">
        <v>45115</v>
      </c>
      <c r="D1738" t="s">
        <v>7</v>
      </c>
      <c r="E1738">
        <v>39</v>
      </c>
      <c r="F1738" t="s">
        <v>6</v>
      </c>
      <c r="G1738" s="8">
        <f t="shared" si="211"/>
        <v>87</v>
      </c>
      <c r="H1738">
        <f t="shared" si="212"/>
        <v>4</v>
      </c>
      <c r="I1738" t="str">
        <f t="shared" si="209"/>
        <v>Wednesday</v>
      </c>
      <c r="L1738">
        <f t="shared" si="213"/>
        <v>0</v>
      </c>
    </row>
    <row r="1739" spans="1:12" x14ac:dyDescent="0.25">
      <c r="A1739">
        <v>211334702</v>
      </c>
      <c r="B1739" s="1">
        <v>45028</v>
      </c>
      <c r="C1739" s="1">
        <v>45132</v>
      </c>
      <c r="D1739" t="s">
        <v>7</v>
      </c>
      <c r="E1739">
        <v>39</v>
      </c>
      <c r="F1739" t="s">
        <v>6</v>
      </c>
      <c r="G1739" s="8">
        <f t="shared" si="211"/>
        <v>104</v>
      </c>
      <c r="H1739">
        <f t="shared" si="212"/>
        <v>4</v>
      </c>
      <c r="I1739" t="str">
        <f t="shared" si="209"/>
        <v>Wednesday</v>
      </c>
      <c r="L1739">
        <f t="shared" si="213"/>
        <v>0</v>
      </c>
    </row>
    <row r="1740" spans="1:12" x14ac:dyDescent="0.25">
      <c r="A1740">
        <v>212129575</v>
      </c>
      <c r="B1740" s="1">
        <v>45029</v>
      </c>
      <c r="C1740" s="1">
        <f t="shared" ref="C1740:C1741" ca="1" si="214">TODAY()</f>
        <v>45938</v>
      </c>
      <c r="D1740" t="s">
        <v>7</v>
      </c>
      <c r="E1740">
        <v>39</v>
      </c>
      <c r="F1740" t="s">
        <v>6</v>
      </c>
      <c r="G1740" s="8">
        <f t="shared" ca="1" si="211"/>
        <v>909</v>
      </c>
      <c r="H1740">
        <f t="shared" si="212"/>
        <v>5</v>
      </c>
      <c r="I1740" t="str">
        <f t="shared" si="209"/>
        <v>Thursday</v>
      </c>
      <c r="L1740">
        <f t="shared" ca="1" si="213"/>
        <v>0</v>
      </c>
    </row>
    <row r="1741" spans="1:12" x14ac:dyDescent="0.25">
      <c r="A1741">
        <v>209733088</v>
      </c>
      <c r="B1741" s="1">
        <v>45029</v>
      </c>
      <c r="C1741" s="1">
        <f t="shared" ca="1" si="214"/>
        <v>45938</v>
      </c>
      <c r="D1741" t="s">
        <v>7</v>
      </c>
      <c r="E1741">
        <v>39</v>
      </c>
      <c r="F1741" t="s">
        <v>6</v>
      </c>
      <c r="G1741" s="8">
        <f t="shared" ca="1" si="211"/>
        <v>909</v>
      </c>
      <c r="H1741">
        <f t="shared" si="212"/>
        <v>5</v>
      </c>
      <c r="I1741" t="str">
        <f t="shared" si="209"/>
        <v>Thursday</v>
      </c>
      <c r="L1741">
        <f t="shared" ca="1" si="213"/>
        <v>0</v>
      </c>
    </row>
    <row r="1742" spans="1:12" x14ac:dyDescent="0.25">
      <c r="A1742">
        <v>152792045</v>
      </c>
      <c r="B1742" s="1">
        <v>45029</v>
      </c>
      <c r="C1742" s="1">
        <v>45097</v>
      </c>
      <c r="D1742" t="s">
        <v>7</v>
      </c>
      <c r="E1742">
        <v>39</v>
      </c>
      <c r="F1742" t="s">
        <v>6</v>
      </c>
      <c r="G1742" s="8">
        <f t="shared" si="211"/>
        <v>68</v>
      </c>
      <c r="H1742">
        <f t="shared" si="212"/>
        <v>5</v>
      </c>
      <c r="I1742" t="str">
        <f t="shared" si="209"/>
        <v>Thursday</v>
      </c>
      <c r="L1742">
        <f t="shared" si="213"/>
        <v>0</v>
      </c>
    </row>
    <row r="1743" spans="1:12" x14ac:dyDescent="0.25">
      <c r="A1743">
        <v>212163568</v>
      </c>
      <c r="B1743" s="1">
        <v>45029</v>
      </c>
      <c r="C1743" s="1">
        <v>45075</v>
      </c>
      <c r="D1743" t="s">
        <v>7</v>
      </c>
      <c r="E1743">
        <v>39</v>
      </c>
      <c r="F1743" t="s">
        <v>6</v>
      </c>
      <c r="G1743" s="8">
        <f t="shared" si="211"/>
        <v>46</v>
      </c>
      <c r="H1743">
        <f t="shared" si="212"/>
        <v>5</v>
      </c>
      <c r="I1743" t="str">
        <f t="shared" si="209"/>
        <v>Thursday</v>
      </c>
      <c r="L1743">
        <f t="shared" si="213"/>
        <v>0</v>
      </c>
    </row>
    <row r="1744" spans="1:12" x14ac:dyDescent="0.25">
      <c r="A1744">
        <v>212260363</v>
      </c>
      <c r="B1744" s="1">
        <v>45029</v>
      </c>
      <c r="C1744" s="1">
        <v>45056</v>
      </c>
      <c r="D1744" t="s">
        <v>7</v>
      </c>
      <c r="E1744">
        <v>39</v>
      </c>
      <c r="F1744" t="s">
        <v>6</v>
      </c>
      <c r="G1744" s="8">
        <f t="shared" si="211"/>
        <v>27</v>
      </c>
      <c r="H1744">
        <f t="shared" si="212"/>
        <v>5</v>
      </c>
      <c r="I1744" t="str">
        <f t="shared" si="209"/>
        <v>Thursday</v>
      </c>
      <c r="L1744">
        <f t="shared" si="213"/>
        <v>0</v>
      </c>
    </row>
    <row r="1745" spans="1:12" x14ac:dyDescent="0.25">
      <c r="A1745">
        <v>212164158</v>
      </c>
      <c r="B1745" s="1">
        <v>45029</v>
      </c>
      <c r="C1745" s="1">
        <v>45104</v>
      </c>
      <c r="D1745" t="s">
        <v>7</v>
      </c>
      <c r="E1745">
        <v>39</v>
      </c>
      <c r="F1745" t="s">
        <v>6</v>
      </c>
      <c r="G1745" s="8">
        <f t="shared" si="211"/>
        <v>75</v>
      </c>
      <c r="H1745">
        <f t="shared" si="212"/>
        <v>5</v>
      </c>
      <c r="I1745" t="str">
        <f t="shared" si="209"/>
        <v>Thursday</v>
      </c>
      <c r="L1745">
        <f t="shared" si="213"/>
        <v>0</v>
      </c>
    </row>
    <row r="1746" spans="1:12" x14ac:dyDescent="0.25">
      <c r="A1746">
        <v>155604779</v>
      </c>
      <c r="B1746" s="1">
        <v>45029</v>
      </c>
      <c r="C1746" s="1">
        <v>45111</v>
      </c>
      <c r="D1746" t="s">
        <v>7</v>
      </c>
      <c r="E1746">
        <v>39</v>
      </c>
      <c r="F1746" t="s">
        <v>6</v>
      </c>
      <c r="G1746" s="8">
        <f t="shared" si="211"/>
        <v>82</v>
      </c>
      <c r="H1746">
        <f t="shared" si="212"/>
        <v>5</v>
      </c>
      <c r="I1746" t="str">
        <f t="shared" si="209"/>
        <v>Thursday</v>
      </c>
      <c r="L1746">
        <f t="shared" si="213"/>
        <v>0</v>
      </c>
    </row>
    <row r="1747" spans="1:12" x14ac:dyDescent="0.25">
      <c r="A1747">
        <v>150421022</v>
      </c>
      <c r="B1747" s="1">
        <v>45029</v>
      </c>
      <c r="C1747" s="1">
        <v>45092</v>
      </c>
      <c r="D1747" t="s">
        <v>7</v>
      </c>
      <c r="E1747">
        <v>39</v>
      </c>
      <c r="F1747" t="s">
        <v>6</v>
      </c>
      <c r="G1747" s="8">
        <f t="shared" si="211"/>
        <v>63</v>
      </c>
      <c r="H1747">
        <f t="shared" si="212"/>
        <v>5</v>
      </c>
      <c r="I1747" t="str">
        <f t="shared" si="209"/>
        <v>Thursday</v>
      </c>
      <c r="L1747">
        <f t="shared" si="213"/>
        <v>0</v>
      </c>
    </row>
    <row r="1748" spans="1:12" x14ac:dyDescent="0.25">
      <c r="A1748">
        <v>122616012</v>
      </c>
      <c r="B1748" s="1">
        <v>45029</v>
      </c>
      <c r="C1748" s="1">
        <v>45106</v>
      </c>
      <c r="D1748" t="s">
        <v>7</v>
      </c>
      <c r="E1748">
        <v>39</v>
      </c>
      <c r="F1748" t="s">
        <v>6</v>
      </c>
      <c r="G1748" s="8">
        <f t="shared" si="211"/>
        <v>77</v>
      </c>
      <c r="H1748">
        <f t="shared" si="212"/>
        <v>5</v>
      </c>
      <c r="I1748" t="str">
        <f t="shared" si="209"/>
        <v>Thursday</v>
      </c>
      <c r="L1748">
        <f t="shared" si="213"/>
        <v>0</v>
      </c>
    </row>
    <row r="1749" spans="1:12" x14ac:dyDescent="0.25">
      <c r="A1749">
        <v>209356278</v>
      </c>
      <c r="B1749" s="1">
        <v>45030</v>
      </c>
      <c r="C1749" s="1">
        <f t="shared" ref="C1749:C1752" ca="1" si="215">TODAY()</f>
        <v>45938</v>
      </c>
      <c r="D1749" t="s">
        <v>7</v>
      </c>
      <c r="E1749">
        <v>39</v>
      </c>
      <c r="F1749" t="s">
        <v>6</v>
      </c>
      <c r="G1749" s="8">
        <f t="shared" ca="1" si="211"/>
        <v>908</v>
      </c>
      <c r="H1749">
        <f t="shared" si="212"/>
        <v>6</v>
      </c>
      <c r="I1749" t="str">
        <f t="shared" si="209"/>
        <v>Friday</v>
      </c>
      <c r="L1749">
        <f t="shared" ca="1" si="213"/>
        <v>0</v>
      </c>
    </row>
    <row r="1750" spans="1:12" x14ac:dyDescent="0.25">
      <c r="A1750">
        <v>212604642</v>
      </c>
      <c r="B1750" s="1">
        <v>45030</v>
      </c>
      <c r="C1750" s="1">
        <f t="shared" ca="1" si="215"/>
        <v>45938</v>
      </c>
      <c r="D1750" t="s">
        <v>7</v>
      </c>
      <c r="E1750">
        <v>39</v>
      </c>
      <c r="F1750" t="s">
        <v>6</v>
      </c>
      <c r="G1750" s="8">
        <f t="shared" ca="1" si="211"/>
        <v>908</v>
      </c>
      <c r="H1750">
        <f t="shared" si="212"/>
        <v>6</v>
      </c>
      <c r="I1750" t="str">
        <f t="shared" si="209"/>
        <v>Friday</v>
      </c>
      <c r="L1750">
        <f t="shared" ca="1" si="213"/>
        <v>0</v>
      </c>
    </row>
    <row r="1751" spans="1:12" x14ac:dyDescent="0.25">
      <c r="A1751">
        <v>210730447</v>
      </c>
      <c r="B1751" s="1">
        <v>45030</v>
      </c>
      <c r="C1751" s="1">
        <f t="shared" ca="1" si="215"/>
        <v>45938</v>
      </c>
      <c r="D1751" t="s">
        <v>7</v>
      </c>
      <c r="E1751">
        <v>39</v>
      </c>
      <c r="F1751" t="s">
        <v>6</v>
      </c>
      <c r="G1751" s="8">
        <f t="shared" ca="1" si="211"/>
        <v>908</v>
      </c>
      <c r="H1751">
        <f t="shared" si="212"/>
        <v>6</v>
      </c>
      <c r="I1751" t="str">
        <f t="shared" si="209"/>
        <v>Friday</v>
      </c>
      <c r="L1751">
        <f t="shared" ca="1" si="213"/>
        <v>0</v>
      </c>
    </row>
    <row r="1752" spans="1:12" x14ac:dyDescent="0.25">
      <c r="A1752">
        <v>212388726</v>
      </c>
      <c r="B1752" s="1">
        <v>45030</v>
      </c>
      <c r="C1752" s="1">
        <f t="shared" ca="1" si="215"/>
        <v>45938</v>
      </c>
      <c r="D1752" t="s">
        <v>8</v>
      </c>
      <c r="E1752">
        <v>39</v>
      </c>
      <c r="F1752" t="s">
        <v>6</v>
      </c>
      <c r="G1752" s="8">
        <f t="shared" ca="1" si="211"/>
        <v>908</v>
      </c>
      <c r="H1752">
        <f t="shared" si="212"/>
        <v>6</v>
      </c>
      <c r="I1752" t="str">
        <f t="shared" si="209"/>
        <v>Friday</v>
      </c>
      <c r="L1752">
        <f t="shared" ca="1" si="213"/>
        <v>0</v>
      </c>
    </row>
    <row r="1753" spans="1:12" x14ac:dyDescent="0.25">
      <c r="A1753">
        <v>127793951</v>
      </c>
      <c r="B1753" s="1">
        <v>45030</v>
      </c>
      <c r="C1753" s="1">
        <v>45169</v>
      </c>
      <c r="D1753" t="s">
        <v>7</v>
      </c>
      <c r="E1753">
        <v>39</v>
      </c>
      <c r="F1753" t="s">
        <v>6</v>
      </c>
      <c r="G1753" s="8">
        <f t="shared" si="211"/>
        <v>139</v>
      </c>
      <c r="H1753">
        <f t="shared" si="212"/>
        <v>6</v>
      </c>
      <c r="I1753" t="str">
        <f t="shared" si="209"/>
        <v>Friday</v>
      </c>
      <c r="L1753">
        <f t="shared" si="213"/>
        <v>0</v>
      </c>
    </row>
    <row r="1754" spans="1:12" x14ac:dyDescent="0.25">
      <c r="A1754">
        <v>189715793</v>
      </c>
      <c r="B1754" s="1">
        <v>45030</v>
      </c>
      <c r="C1754" s="1">
        <v>45067</v>
      </c>
      <c r="D1754" t="s">
        <v>7</v>
      </c>
      <c r="E1754">
        <v>39</v>
      </c>
      <c r="F1754" t="s">
        <v>6</v>
      </c>
      <c r="G1754" s="8">
        <f t="shared" si="211"/>
        <v>37</v>
      </c>
      <c r="H1754">
        <f t="shared" si="212"/>
        <v>6</v>
      </c>
      <c r="I1754" t="str">
        <f t="shared" si="209"/>
        <v>Friday</v>
      </c>
      <c r="L1754">
        <f t="shared" si="213"/>
        <v>0</v>
      </c>
    </row>
    <row r="1755" spans="1:12" x14ac:dyDescent="0.25">
      <c r="A1755">
        <v>148369126</v>
      </c>
      <c r="B1755" s="1">
        <v>45031</v>
      </c>
      <c r="C1755" s="1">
        <f t="shared" ref="C1755" ca="1" si="216">TODAY()</f>
        <v>45938</v>
      </c>
      <c r="D1755" t="s">
        <v>7</v>
      </c>
      <c r="E1755">
        <v>39</v>
      </c>
      <c r="F1755" t="s">
        <v>6</v>
      </c>
      <c r="G1755" s="8">
        <f t="shared" ca="1" si="211"/>
        <v>907</v>
      </c>
      <c r="H1755">
        <f t="shared" si="212"/>
        <v>7</v>
      </c>
      <c r="I1755" t="str">
        <f t="shared" si="209"/>
        <v>Saturday</v>
      </c>
      <c r="L1755">
        <f t="shared" ca="1" si="213"/>
        <v>0</v>
      </c>
    </row>
    <row r="1756" spans="1:12" x14ac:dyDescent="0.25">
      <c r="A1756">
        <v>157503290</v>
      </c>
      <c r="B1756" s="1">
        <v>45031</v>
      </c>
      <c r="C1756" s="1">
        <v>45068</v>
      </c>
      <c r="D1756" t="s">
        <v>7</v>
      </c>
      <c r="E1756">
        <v>39</v>
      </c>
      <c r="F1756" t="s">
        <v>6</v>
      </c>
      <c r="G1756" s="8">
        <f t="shared" si="211"/>
        <v>37</v>
      </c>
      <c r="H1756">
        <f t="shared" si="212"/>
        <v>7</v>
      </c>
      <c r="I1756" t="str">
        <f t="shared" si="209"/>
        <v>Saturday</v>
      </c>
      <c r="L1756">
        <f t="shared" si="213"/>
        <v>0</v>
      </c>
    </row>
    <row r="1757" spans="1:12" x14ac:dyDescent="0.25">
      <c r="A1757">
        <v>212712986</v>
      </c>
      <c r="B1757" s="1">
        <v>45031</v>
      </c>
      <c r="C1757" s="1">
        <v>45077</v>
      </c>
      <c r="D1757" t="s">
        <v>7</v>
      </c>
      <c r="E1757">
        <v>39</v>
      </c>
      <c r="F1757" t="s">
        <v>6</v>
      </c>
      <c r="G1757" s="8">
        <f t="shared" si="211"/>
        <v>46</v>
      </c>
      <c r="H1757">
        <f t="shared" si="212"/>
        <v>7</v>
      </c>
      <c r="I1757" t="str">
        <f t="shared" si="209"/>
        <v>Saturday</v>
      </c>
      <c r="L1757">
        <f t="shared" si="213"/>
        <v>0</v>
      </c>
    </row>
    <row r="1758" spans="1:12" x14ac:dyDescent="0.25">
      <c r="A1758">
        <v>204512028</v>
      </c>
      <c r="B1758" s="1">
        <v>45031</v>
      </c>
      <c r="C1758" s="1">
        <v>45061</v>
      </c>
      <c r="D1758" t="s">
        <v>7</v>
      </c>
      <c r="E1758">
        <v>39</v>
      </c>
      <c r="F1758" t="s">
        <v>6</v>
      </c>
      <c r="G1758" s="8">
        <f t="shared" si="211"/>
        <v>30</v>
      </c>
      <c r="H1758">
        <f t="shared" si="212"/>
        <v>7</v>
      </c>
      <c r="I1758" t="str">
        <f t="shared" si="209"/>
        <v>Saturday</v>
      </c>
      <c r="L1758">
        <f t="shared" si="213"/>
        <v>0</v>
      </c>
    </row>
    <row r="1759" spans="1:12" x14ac:dyDescent="0.25">
      <c r="A1759">
        <v>147066240</v>
      </c>
      <c r="B1759" s="1">
        <v>45031</v>
      </c>
      <c r="C1759" s="1">
        <v>45046</v>
      </c>
      <c r="D1759" t="s">
        <v>7</v>
      </c>
      <c r="E1759">
        <v>39</v>
      </c>
      <c r="F1759" t="s">
        <v>6</v>
      </c>
      <c r="G1759" s="8">
        <f t="shared" si="211"/>
        <v>15</v>
      </c>
      <c r="H1759">
        <f t="shared" si="212"/>
        <v>7</v>
      </c>
      <c r="I1759" t="str">
        <f t="shared" si="209"/>
        <v>Saturday</v>
      </c>
      <c r="L1759">
        <f t="shared" si="213"/>
        <v>0</v>
      </c>
    </row>
    <row r="1760" spans="1:12" x14ac:dyDescent="0.25">
      <c r="A1760">
        <v>212759443</v>
      </c>
      <c r="B1760" s="1">
        <v>45032</v>
      </c>
      <c r="C1760" s="1">
        <v>45032</v>
      </c>
      <c r="D1760" t="s">
        <v>7</v>
      </c>
      <c r="E1760">
        <v>39</v>
      </c>
      <c r="F1760" t="s">
        <v>6</v>
      </c>
      <c r="G1760" s="8">
        <f t="shared" si="211"/>
        <v>0</v>
      </c>
      <c r="H1760">
        <f t="shared" si="212"/>
        <v>1</v>
      </c>
      <c r="I1760" t="str">
        <f t="shared" si="209"/>
        <v>Sunday</v>
      </c>
      <c r="L1760">
        <f t="shared" si="213"/>
        <v>1</v>
      </c>
    </row>
    <row r="1761" spans="1:12" x14ac:dyDescent="0.25">
      <c r="A1761">
        <v>212042832</v>
      </c>
      <c r="B1761" s="1">
        <v>45033</v>
      </c>
      <c r="C1761" s="1">
        <f t="shared" ref="C1761:C1763" ca="1" si="217">TODAY()</f>
        <v>45938</v>
      </c>
      <c r="D1761" t="s">
        <v>7</v>
      </c>
      <c r="E1761">
        <v>39</v>
      </c>
      <c r="F1761" t="s">
        <v>6</v>
      </c>
      <c r="G1761" s="8">
        <f t="shared" ca="1" si="211"/>
        <v>905</v>
      </c>
      <c r="H1761">
        <f t="shared" si="212"/>
        <v>2</v>
      </c>
      <c r="I1761" t="str">
        <f t="shared" si="209"/>
        <v>Monday</v>
      </c>
      <c r="L1761">
        <f t="shared" ca="1" si="213"/>
        <v>0</v>
      </c>
    </row>
    <row r="1762" spans="1:12" x14ac:dyDescent="0.25">
      <c r="A1762">
        <v>212113682</v>
      </c>
      <c r="B1762" s="1">
        <v>45033</v>
      </c>
      <c r="C1762" s="1">
        <f t="shared" ca="1" si="217"/>
        <v>45938</v>
      </c>
      <c r="D1762" t="s">
        <v>7</v>
      </c>
      <c r="E1762">
        <v>39</v>
      </c>
      <c r="F1762" t="s">
        <v>6</v>
      </c>
      <c r="G1762" s="8">
        <f t="shared" ca="1" si="211"/>
        <v>905</v>
      </c>
      <c r="H1762">
        <f t="shared" si="212"/>
        <v>2</v>
      </c>
      <c r="I1762" t="str">
        <f t="shared" si="209"/>
        <v>Monday</v>
      </c>
      <c r="L1762">
        <f t="shared" ca="1" si="213"/>
        <v>0</v>
      </c>
    </row>
    <row r="1763" spans="1:12" x14ac:dyDescent="0.25">
      <c r="A1763">
        <v>181175226</v>
      </c>
      <c r="B1763" s="1">
        <v>45033</v>
      </c>
      <c r="C1763" s="1">
        <f t="shared" ca="1" si="217"/>
        <v>45938</v>
      </c>
      <c r="D1763" t="s">
        <v>7</v>
      </c>
      <c r="E1763">
        <v>39</v>
      </c>
      <c r="F1763" t="s">
        <v>6</v>
      </c>
      <c r="G1763" s="8">
        <f t="shared" ca="1" si="211"/>
        <v>905</v>
      </c>
      <c r="H1763">
        <f t="shared" si="212"/>
        <v>2</v>
      </c>
      <c r="I1763" t="str">
        <f t="shared" si="209"/>
        <v>Monday</v>
      </c>
      <c r="L1763">
        <f t="shared" ca="1" si="213"/>
        <v>0</v>
      </c>
    </row>
    <row r="1764" spans="1:12" x14ac:dyDescent="0.25">
      <c r="A1764">
        <v>201817514</v>
      </c>
      <c r="B1764" s="1">
        <v>45033</v>
      </c>
      <c r="C1764" s="1">
        <v>45034</v>
      </c>
      <c r="D1764" t="s">
        <v>7</v>
      </c>
      <c r="E1764">
        <v>39</v>
      </c>
      <c r="F1764" t="s">
        <v>6</v>
      </c>
      <c r="G1764" s="8">
        <f t="shared" si="211"/>
        <v>1</v>
      </c>
      <c r="H1764">
        <f t="shared" si="212"/>
        <v>2</v>
      </c>
      <c r="I1764" t="str">
        <f t="shared" si="209"/>
        <v>Monday</v>
      </c>
      <c r="L1764">
        <f t="shared" si="213"/>
        <v>1</v>
      </c>
    </row>
    <row r="1765" spans="1:12" x14ac:dyDescent="0.25">
      <c r="A1765">
        <v>168698174</v>
      </c>
      <c r="B1765" s="1">
        <v>45033</v>
      </c>
      <c r="C1765" s="1">
        <v>45033</v>
      </c>
      <c r="D1765" t="s">
        <v>7</v>
      </c>
      <c r="E1765">
        <v>39</v>
      </c>
      <c r="F1765" t="s">
        <v>6</v>
      </c>
      <c r="G1765" s="8">
        <f t="shared" si="211"/>
        <v>0</v>
      </c>
      <c r="H1765">
        <f t="shared" si="212"/>
        <v>2</v>
      </c>
      <c r="I1765" t="str">
        <f t="shared" si="209"/>
        <v>Monday</v>
      </c>
      <c r="L1765">
        <f t="shared" si="213"/>
        <v>1</v>
      </c>
    </row>
    <row r="1766" spans="1:12" x14ac:dyDescent="0.25">
      <c r="A1766">
        <v>170512298</v>
      </c>
      <c r="B1766" s="1">
        <v>45033</v>
      </c>
      <c r="C1766" s="1">
        <v>45061</v>
      </c>
      <c r="D1766" t="s">
        <v>7</v>
      </c>
      <c r="E1766">
        <v>39</v>
      </c>
      <c r="F1766" t="s">
        <v>6</v>
      </c>
      <c r="G1766" s="8">
        <f t="shared" si="211"/>
        <v>28</v>
      </c>
      <c r="H1766">
        <f t="shared" si="212"/>
        <v>2</v>
      </c>
      <c r="I1766" t="str">
        <f t="shared" si="209"/>
        <v>Monday</v>
      </c>
      <c r="L1766">
        <f t="shared" si="213"/>
        <v>0</v>
      </c>
    </row>
    <row r="1767" spans="1:12" x14ac:dyDescent="0.25">
      <c r="A1767">
        <v>213181546</v>
      </c>
      <c r="B1767" s="1">
        <v>45033</v>
      </c>
      <c r="C1767" s="1">
        <v>45078</v>
      </c>
      <c r="D1767" t="s">
        <v>7</v>
      </c>
      <c r="E1767">
        <v>39</v>
      </c>
      <c r="F1767" t="s">
        <v>6</v>
      </c>
      <c r="G1767" s="8">
        <f t="shared" si="211"/>
        <v>45</v>
      </c>
      <c r="H1767">
        <f t="shared" si="212"/>
        <v>2</v>
      </c>
      <c r="I1767" t="str">
        <f t="shared" si="209"/>
        <v>Monday</v>
      </c>
      <c r="L1767">
        <f t="shared" si="213"/>
        <v>0</v>
      </c>
    </row>
    <row r="1768" spans="1:12" x14ac:dyDescent="0.25">
      <c r="A1768">
        <v>154535908</v>
      </c>
      <c r="B1768" s="1">
        <v>45033</v>
      </c>
      <c r="C1768" s="1">
        <v>45101</v>
      </c>
      <c r="D1768" t="s">
        <v>7</v>
      </c>
      <c r="E1768">
        <v>39</v>
      </c>
      <c r="F1768" t="s">
        <v>6</v>
      </c>
      <c r="G1768" s="8">
        <f t="shared" si="211"/>
        <v>68</v>
      </c>
      <c r="H1768">
        <f t="shared" si="212"/>
        <v>2</v>
      </c>
      <c r="I1768" t="str">
        <f t="shared" si="209"/>
        <v>Monday</v>
      </c>
      <c r="L1768">
        <f t="shared" si="213"/>
        <v>0</v>
      </c>
    </row>
    <row r="1769" spans="1:12" x14ac:dyDescent="0.25">
      <c r="A1769">
        <v>151540809</v>
      </c>
      <c r="B1769" s="1">
        <v>45033</v>
      </c>
      <c r="C1769" s="1">
        <v>45069</v>
      </c>
      <c r="D1769" t="s">
        <v>7</v>
      </c>
      <c r="E1769">
        <v>39</v>
      </c>
      <c r="F1769" t="s">
        <v>6</v>
      </c>
      <c r="G1769" s="8">
        <f t="shared" si="211"/>
        <v>36</v>
      </c>
      <c r="H1769">
        <f t="shared" si="212"/>
        <v>2</v>
      </c>
      <c r="I1769" t="str">
        <f t="shared" si="209"/>
        <v>Monday</v>
      </c>
      <c r="L1769">
        <f t="shared" si="213"/>
        <v>0</v>
      </c>
    </row>
    <row r="1770" spans="1:12" x14ac:dyDescent="0.25">
      <c r="A1770">
        <v>212334937</v>
      </c>
      <c r="B1770" s="1">
        <v>45033</v>
      </c>
      <c r="C1770" s="1">
        <v>45064</v>
      </c>
      <c r="D1770" t="s">
        <v>7</v>
      </c>
      <c r="E1770">
        <v>39</v>
      </c>
      <c r="F1770" t="s">
        <v>6</v>
      </c>
      <c r="G1770" s="8">
        <f t="shared" si="211"/>
        <v>31</v>
      </c>
      <c r="H1770">
        <f t="shared" si="212"/>
        <v>2</v>
      </c>
      <c r="I1770" t="str">
        <f t="shared" si="209"/>
        <v>Monday</v>
      </c>
      <c r="L1770">
        <f t="shared" si="213"/>
        <v>0</v>
      </c>
    </row>
    <row r="1771" spans="1:12" x14ac:dyDescent="0.25">
      <c r="A1771">
        <v>204766175</v>
      </c>
      <c r="B1771" s="1">
        <v>45033</v>
      </c>
      <c r="C1771" s="1">
        <v>45121</v>
      </c>
      <c r="D1771" t="s">
        <v>7</v>
      </c>
      <c r="E1771">
        <v>39</v>
      </c>
      <c r="F1771" t="s">
        <v>6</v>
      </c>
      <c r="G1771" s="8">
        <f t="shared" si="211"/>
        <v>88</v>
      </c>
      <c r="H1771">
        <f t="shared" si="212"/>
        <v>2</v>
      </c>
      <c r="I1771" t="str">
        <f t="shared" si="209"/>
        <v>Monday</v>
      </c>
      <c r="L1771">
        <f t="shared" si="213"/>
        <v>0</v>
      </c>
    </row>
    <row r="1772" spans="1:12" x14ac:dyDescent="0.25">
      <c r="A1772">
        <v>212055738</v>
      </c>
      <c r="B1772" s="1">
        <v>45033</v>
      </c>
      <c r="C1772" s="1">
        <v>45162</v>
      </c>
      <c r="D1772" t="s">
        <v>7</v>
      </c>
      <c r="E1772">
        <v>39</v>
      </c>
      <c r="F1772" t="s">
        <v>6</v>
      </c>
      <c r="G1772" s="8">
        <f t="shared" si="211"/>
        <v>129</v>
      </c>
      <c r="H1772">
        <f t="shared" si="212"/>
        <v>2</v>
      </c>
      <c r="I1772" t="str">
        <f t="shared" si="209"/>
        <v>Monday</v>
      </c>
      <c r="L1772">
        <f t="shared" si="213"/>
        <v>0</v>
      </c>
    </row>
    <row r="1773" spans="1:12" x14ac:dyDescent="0.25">
      <c r="A1773">
        <v>211907956</v>
      </c>
      <c r="B1773" s="1">
        <v>45034</v>
      </c>
      <c r="C1773" s="1">
        <f t="shared" ref="C1773:C1777" ca="1" si="218">TODAY()</f>
        <v>45938</v>
      </c>
      <c r="D1773" t="s">
        <v>7</v>
      </c>
      <c r="E1773">
        <v>39</v>
      </c>
      <c r="F1773" t="s">
        <v>6</v>
      </c>
      <c r="G1773" s="8">
        <f t="shared" ca="1" si="211"/>
        <v>904</v>
      </c>
      <c r="H1773">
        <f t="shared" si="212"/>
        <v>3</v>
      </c>
      <c r="I1773" t="str">
        <f t="shared" si="209"/>
        <v>Tuesday</v>
      </c>
      <c r="L1773">
        <f t="shared" ca="1" si="213"/>
        <v>0</v>
      </c>
    </row>
    <row r="1774" spans="1:12" x14ac:dyDescent="0.25">
      <c r="A1774">
        <v>212759443</v>
      </c>
      <c r="B1774" s="1">
        <v>45034</v>
      </c>
      <c r="C1774" s="1">
        <f t="shared" ca="1" si="218"/>
        <v>45938</v>
      </c>
      <c r="D1774" t="s">
        <v>7</v>
      </c>
      <c r="E1774">
        <v>39</v>
      </c>
      <c r="F1774" t="s">
        <v>6</v>
      </c>
      <c r="G1774" s="8">
        <f t="shared" ca="1" si="211"/>
        <v>904</v>
      </c>
      <c r="H1774">
        <f t="shared" si="212"/>
        <v>3</v>
      </c>
      <c r="I1774" t="str">
        <f t="shared" si="209"/>
        <v>Tuesday</v>
      </c>
      <c r="L1774">
        <f t="shared" ca="1" si="213"/>
        <v>0</v>
      </c>
    </row>
    <row r="1775" spans="1:12" x14ac:dyDescent="0.25">
      <c r="A1775">
        <v>213182327</v>
      </c>
      <c r="B1775" s="1">
        <v>45034</v>
      </c>
      <c r="C1775" s="1">
        <f t="shared" ca="1" si="218"/>
        <v>45938</v>
      </c>
      <c r="D1775" t="s">
        <v>7</v>
      </c>
      <c r="E1775">
        <v>39</v>
      </c>
      <c r="F1775" t="s">
        <v>6</v>
      </c>
      <c r="G1775" s="8">
        <f t="shared" ca="1" si="211"/>
        <v>904</v>
      </c>
      <c r="H1775">
        <f t="shared" si="212"/>
        <v>3</v>
      </c>
      <c r="I1775" t="str">
        <f t="shared" si="209"/>
        <v>Tuesday</v>
      </c>
      <c r="L1775">
        <f t="shared" ca="1" si="213"/>
        <v>0</v>
      </c>
    </row>
    <row r="1776" spans="1:12" x14ac:dyDescent="0.25">
      <c r="A1776">
        <v>213442067</v>
      </c>
      <c r="B1776" s="1">
        <v>45034</v>
      </c>
      <c r="C1776" s="1">
        <f t="shared" ca="1" si="218"/>
        <v>45938</v>
      </c>
      <c r="D1776" t="s">
        <v>7</v>
      </c>
      <c r="E1776">
        <v>39</v>
      </c>
      <c r="F1776" t="s">
        <v>6</v>
      </c>
      <c r="G1776" s="8">
        <f t="shared" ca="1" si="211"/>
        <v>904</v>
      </c>
      <c r="H1776">
        <f t="shared" si="212"/>
        <v>3</v>
      </c>
      <c r="I1776" t="str">
        <f t="shared" si="209"/>
        <v>Tuesday</v>
      </c>
      <c r="L1776">
        <f t="shared" ca="1" si="213"/>
        <v>0</v>
      </c>
    </row>
    <row r="1777" spans="1:12" x14ac:dyDescent="0.25">
      <c r="A1777">
        <v>213427247</v>
      </c>
      <c r="B1777" s="1">
        <v>45034</v>
      </c>
      <c r="C1777" s="1">
        <f t="shared" ca="1" si="218"/>
        <v>45938</v>
      </c>
      <c r="D1777" t="s">
        <v>7</v>
      </c>
      <c r="E1777">
        <v>39</v>
      </c>
      <c r="F1777" t="s">
        <v>6</v>
      </c>
      <c r="G1777" s="8">
        <f t="shared" ca="1" si="211"/>
        <v>904</v>
      </c>
      <c r="H1777">
        <f t="shared" si="212"/>
        <v>3</v>
      </c>
      <c r="I1777" t="str">
        <f t="shared" si="209"/>
        <v>Tuesday</v>
      </c>
      <c r="L1777">
        <f t="shared" ca="1" si="213"/>
        <v>0</v>
      </c>
    </row>
    <row r="1778" spans="1:12" x14ac:dyDescent="0.25">
      <c r="A1778">
        <v>172476368</v>
      </c>
      <c r="B1778" s="1">
        <v>45034</v>
      </c>
      <c r="C1778" s="1">
        <v>45061</v>
      </c>
      <c r="D1778" t="s">
        <v>7</v>
      </c>
      <c r="E1778">
        <v>39</v>
      </c>
      <c r="F1778" t="s">
        <v>6</v>
      </c>
      <c r="G1778" s="8">
        <f t="shared" si="211"/>
        <v>27</v>
      </c>
      <c r="H1778">
        <f t="shared" si="212"/>
        <v>3</v>
      </c>
      <c r="I1778" t="str">
        <f t="shared" si="209"/>
        <v>Tuesday</v>
      </c>
      <c r="L1778">
        <f t="shared" si="213"/>
        <v>0</v>
      </c>
    </row>
    <row r="1779" spans="1:12" x14ac:dyDescent="0.25">
      <c r="A1779">
        <v>148900262</v>
      </c>
      <c r="B1779" s="1">
        <v>45034</v>
      </c>
      <c r="C1779" s="1">
        <v>45057</v>
      </c>
      <c r="D1779" t="s">
        <v>7</v>
      </c>
      <c r="E1779">
        <v>39</v>
      </c>
      <c r="F1779" t="s">
        <v>6</v>
      </c>
      <c r="G1779" s="8">
        <f t="shared" si="211"/>
        <v>23</v>
      </c>
      <c r="H1779">
        <f t="shared" si="212"/>
        <v>3</v>
      </c>
      <c r="I1779" t="str">
        <f t="shared" si="209"/>
        <v>Tuesday</v>
      </c>
      <c r="L1779">
        <f t="shared" si="213"/>
        <v>0</v>
      </c>
    </row>
    <row r="1780" spans="1:12" x14ac:dyDescent="0.25">
      <c r="A1780">
        <v>213450505</v>
      </c>
      <c r="B1780" s="1">
        <v>45034</v>
      </c>
      <c r="C1780" s="1">
        <v>45062</v>
      </c>
      <c r="D1780" t="s">
        <v>7</v>
      </c>
      <c r="E1780">
        <v>39</v>
      </c>
      <c r="F1780" t="s">
        <v>6</v>
      </c>
      <c r="G1780" s="8">
        <f t="shared" si="211"/>
        <v>28</v>
      </c>
      <c r="H1780">
        <f t="shared" si="212"/>
        <v>3</v>
      </c>
      <c r="I1780" t="str">
        <f t="shared" si="209"/>
        <v>Tuesday</v>
      </c>
      <c r="L1780">
        <f t="shared" si="213"/>
        <v>0</v>
      </c>
    </row>
    <row r="1781" spans="1:12" x14ac:dyDescent="0.25">
      <c r="A1781">
        <v>168261038</v>
      </c>
      <c r="B1781" s="1">
        <v>45034</v>
      </c>
      <c r="C1781" s="1">
        <v>45072</v>
      </c>
      <c r="D1781" t="s">
        <v>7</v>
      </c>
      <c r="E1781">
        <v>39</v>
      </c>
      <c r="F1781" t="s">
        <v>6</v>
      </c>
      <c r="G1781" s="8">
        <f t="shared" si="211"/>
        <v>38</v>
      </c>
      <c r="H1781">
        <f t="shared" si="212"/>
        <v>3</v>
      </c>
      <c r="I1781" t="str">
        <f t="shared" si="209"/>
        <v>Tuesday</v>
      </c>
      <c r="L1781">
        <f t="shared" si="213"/>
        <v>0</v>
      </c>
    </row>
    <row r="1782" spans="1:12" x14ac:dyDescent="0.25">
      <c r="A1782">
        <v>207018786</v>
      </c>
      <c r="B1782" s="1">
        <v>45034</v>
      </c>
      <c r="C1782" s="1">
        <v>45132</v>
      </c>
      <c r="D1782" t="s">
        <v>7</v>
      </c>
      <c r="E1782">
        <v>39</v>
      </c>
      <c r="F1782" t="s">
        <v>6</v>
      </c>
      <c r="G1782" s="8">
        <f t="shared" si="211"/>
        <v>98</v>
      </c>
      <c r="H1782">
        <f t="shared" si="212"/>
        <v>3</v>
      </c>
      <c r="I1782" t="str">
        <f t="shared" si="209"/>
        <v>Tuesday</v>
      </c>
      <c r="L1782">
        <f t="shared" si="213"/>
        <v>0</v>
      </c>
    </row>
    <row r="1783" spans="1:12" x14ac:dyDescent="0.25">
      <c r="A1783">
        <v>213781045</v>
      </c>
      <c r="B1783" s="1">
        <v>45035</v>
      </c>
      <c r="C1783" s="1">
        <f t="shared" ref="C1783" ca="1" si="219">TODAY()</f>
        <v>45938</v>
      </c>
      <c r="D1783" t="s">
        <v>7</v>
      </c>
      <c r="E1783">
        <v>39</v>
      </c>
      <c r="F1783" t="s">
        <v>6</v>
      </c>
      <c r="G1783" s="8">
        <f t="shared" ca="1" si="211"/>
        <v>903</v>
      </c>
      <c r="H1783">
        <f t="shared" si="212"/>
        <v>4</v>
      </c>
      <c r="I1783" t="str">
        <f t="shared" si="209"/>
        <v>Wednesday</v>
      </c>
      <c r="L1783">
        <f t="shared" ca="1" si="213"/>
        <v>0</v>
      </c>
    </row>
    <row r="1784" spans="1:12" x14ac:dyDescent="0.25">
      <c r="A1784">
        <v>213785402</v>
      </c>
      <c r="B1784" s="1">
        <v>45035</v>
      </c>
      <c r="C1784" s="1">
        <v>45161</v>
      </c>
      <c r="D1784" t="s">
        <v>7</v>
      </c>
      <c r="E1784">
        <v>39</v>
      </c>
      <c r="F1784" t="s">
        <v>6</v>
      </c>
      <c r="G1784" s="8">
        <f t="shared" si="211"/>
        <v>126</v>
      </c>
      <c r="H1784">
        <f t="shared" si="212"/>
        <v>4</v>
      </c>
      <c r="I1784" t="str">
        <f t="shared" si="209"/>
        <v>Wednesday</v>
      </c>
      <c r="L1784">
        <f t="shared" si="213"/>
        <v>0</v>
      </c>
    </row>
    <row r="1785" spans="1:12" x14ac:dyDescent="0.25">
      <c r="A1785">
        <v>213689187</v>
      </c>
      <c r="B1785" s="1">
        <v>45035</v>
      </c>
      <c r="C1785" s="1">
        <v>45036</v>
      </c>
      <c r="D1785" t="s">
        <v>8</v>
      </c>
      <c r="E1785">
        <v>39</v>
      </c>
      <c r="F1785" t="s">
        <v>6</v>
      </c>
      <c r="G1785" s="8">
        <f t="shared" si="211"/>
        <v>1</v>
      </c>
      <c r="H1785">
        <f t="shared" si="212"/>
        <v>4</v>
      </c>
      <c r="I1785" t="str">
        <f t="shared" si="209"/>
        <v>Wednesday</v>
      </c>
      <c r="L1785">
        <f t="shared" si="213"/>
        <v>1</v>
      </c>
    </row>
    <row r="1786" spans="1:12" x14ac:dyDescent="0.25">
      <c r="A1786">
        <v>213413298</v>
      </c>
      <c r="B1786" s="1">
        <v>45035</v>
      </c>
      <c r="C1786" s="1">
        <v>45035</v>
      </c>
      <c r="D1786" t="s">
        <v>8</v>
      </c>
      <c r="E1786">
        <v>39</v>
      </c>
      <c r="F1786" t="s">
        <v>6</v>
      </c>
      <c r="G1786" s="8">
        <f t="shared" si="211"/>
        <v>0</v>
      </c>
      <c r="H1786">
        <f t="shared" si="212"/>
        <v>4</v>
      </c>
      <c r="I1786" t="str">
        <f t="shared" si="209"/>
        <v>Wednesday</v>
      </c>
      <c r="L1786">
        <f t="shared" si="213"/>
        <v>1</v>
      </c>
    </row>
    <row r="1787" spans="1:12" x14ac:dyDescent="0.25">
      <c r="A1787">
        <v>184458429</v>
      </c>
      <c r="B1787" s="1">
        <v>45035</v>
      </c>
      <c r="C1787" s="1">
        <v>45085</v>
      </c>
      <c r="D1787" t="s">
        <v>7</v>
      </c>
      <c r="E1787">
        <v>39</v>
      </c>
      <c r="F1787" t="s">
        <v>6</v>
      </c>
      <c r="G1787" s="8">
        <f t="shared" si="211"/>
        <v>50</v>
      </c>
      <c r="H1787">
        <f t="shared" si="212"/>
        <v>4</v>
      </c>
      <c r="I1787" t="str">
        <f t="shared" si="209"/>
        <v>Wednesday</v>
      </c>
      <c r="L1787">
        <f t="shared" si="213"/>
        <v>0</v>
      </c>
    </row>
    <row r="1788" spans="1:12" x14ac:dyDescent="0.25">
      <c r="A1788">
        <v>212190070</v>
      </c>
      <c r="B1788" s="1">
        <v>45035</v>
      </c>
      <c r="C1788" s="1">
        <v>45096</v>
      </c>
      <c r="D1788" t="s">
        <v>7</v>
      </c>
      <c r="E1788">
        <v>39</v>
      </c>
      <c r="F1788" t="s">
        <v>6</v>
      </c>
      <c r="G1788" s="8">
        <f t="shared" si="211"/>
        <v>61</v>
      </c>
      <c r="H1788">
        <f t="shared" si="212"/>
        <v>4</v>
      </c>
      <c r="I1788" t="str">
        <f t="shared" si="209"/>
        <v>Wednesday</v>
      </c>
      <c r="L1788">
        <f t="shared" si="213"/>
        <v>0</v>
      </c>
    </row>
    <row r="1789" spans="1:12" x14ac:dyDescent="0.25">
      <c r="A1789">
        <v>212737739</v>
      </c>
      <c r="B1789" s="1">
        <v>45035</v>
      </c>
      <c r="C1789" s="1">
        <v>45077</v>
      </c>
      <c r="D1789" t="s">
        <v>7</v>
      </c>
      <c r="E1789">
        <v>39</v>
      </c>
      <c r="F1789" t="s">
        <v>6</v>
      </c>
      <c r="G1789" s="8">
        <f t="shared" si="211"/>
        <v>42</v>
      </c>
      <c r="H1789">
        <f t="shared" si="212"/>
        <v>4</v>
      </c>
      <c r="I1789" t="str">
        <f t="shared" si="209"/>
        <v>Wednesday</v>
      </c>
      <c r="L1789">
        <f t="shared" si="213"/>
        <v>0</v>
      </c>
    </row>
    <row r="1790" spans="1:12" x14ac:dyDescent="0.25">
      <c r="A1790">
        <v>211904660</v>
      </c>
      <c r="B1790" s="1">
        <v>45036</v>
      </c>
      <c r="C1790" s="1">
        <f t="shared" ref="C1790:C1792" ca="1" si="220">TODAY()</f>
        <v>45938</v>
      </c>
      <c r="D1790" t="s">
        <v>7</v>
      </c>
      <c r="E1790">
        <v>39</v>
      </c>
      <c r="F1790" t="s">
        <v>6</v>
      </c>
      <c r="G1790" s="8">
        <f t="shared" ca="1" si="211"/>
        <v>902</v>
      </c>
      <c r="H1790">
        <f t="shared" si="212"/>
        <v>5</v>
      </c>
      <c r="I1790" t="str">
        <f t="shared" si="209"/>
        <v>Thursday</v>
      </c>
      <c r="L1790">
        <f t="shared" ca="1" si="213"/>
        <v>0</v>
      </c>
    </row>
    <row r="1791" spans="1:12" x14ac:dyDescent="0.25">
      <c r="A1791">
        <v>112792926</v>
      </c>
      <c r="B1791" s="1">
        <v>45036</v>
      </c>
      <c r="C1791" s="1">
        <f t="shared" ca="1" si="220"/>
        <v>45938</v>
      </c>
      <c r="D1791" t="s">
        <v>7</v>
      </c>
      <c r="E1791">
        <v>39</v>
      </c>
      <c r="F1791" t="s">
        <v>6</v>
      </c>
      <c r="G1791" s="8">
        <f t="shared" ca="1" si="211"/>
        <v>902</v>
      </c>
      <c r="H1791">
        <f t="shared" si="212"/>
        <v>5</v>
      </c>
      <c r="I1791" t="str">
        <f t="shared" si="209"/>
        <v>Thursday</v>
      </c>
      <c r="L1791">
        <f t="shared" ca="1" si="213"/>
        <v>0</v>
      </c>
    </row>
    <row r="1792" spans="1:12" x14ac:dyDescent="0.25">
      <c r="A1792">
        <v>213914942</v>
      </c>
      <c r="B1792" s="1">
        <v>45036</v>
      </c>
      <c r="C1792" s="1">
        <f t="shared" ca="1" si="220"/>
        <v>45938</v>
      </c>
      <c r="D1792" t="s">
        <v>7</v>
      </c>
      <c r="E1792">
        <v>39</v>
      </c>
      <c r="F1792" t="s">
        <v>6</v>
      </c>
      <c r="G1792" s="8">
        <f t="shared" ca="1" si="211"/>
        <v>902</v>
      </c>
      <c r="H1792">
        <f t="shared" si="212"/>
        <v>5</v>
      </c>
      <c r="I1792" t="str">
        <f t="shared" si="209"/>
        <v>Thursday</v>
      </c>
      <c r="L1792">
        <f t="shared" ca="1" si="213"/>
        <v>0</v>
      </c>
    </row>
    <row r="1793" spans="1:12" x14ac:dyDescent="0.25">
      <c r="A1793">
        <v>189220435</v>
      </c>
      <c r="B1793" s="1">
        <v>45036</v>
      </c>
      <c r="C1793" s="1">
        <v>45046</v>
      </c>
      <c r="D1793" t="s">
        <v>7</v>
      </c>
      <c r="E1793">
        <v>39</v>
      </c>
      <c r="F1793" t="s">
        <v>6</v>
      </c>
      <c r="G1793" s="8">
        <f t="shared" si="211"/>
        <v>10</v>
      </c>
      <c r="H1793">
        <f t="shared" si="212"/>
        <v>5</v>
      </c>
      <c r="I1793" t="str">
        <f t="shared" si="209"/>
        <v>Thursday</v>
      </c>
      <c r="L1793">
        <f t="shared" si="213"/>
        <v>0</v>
      </c>
    </row>
    <row r="1794" spans="1:12" x14ac:dyDescent="0.25">
      <c r="A1794">
        <v>203237584</v>
      </c>
      <c r="B1794" s="1">
        <v>45036</v>
      </c>
      <c r="C1794" s="1">
        <v>45041</v>
      </c>
      <c r="D1794" t="s">
        <v>7</v>
      </c>
      <c r="E1794">
        <v>39</v>
      </c>
      <c r="F1794" t="s">
        <v>6</v>
      </c>
      <c r="G1794" s="8">
        <f t="shared" si="211"/>
        <v>5</v>
      </c>
      <c r="H1794">
        <f t="shared" si="212"/>
        <v>5</v>
      </c>
      <c r="I1794" t="str">
        <f t="shared" ref="I1794:I1857" si="221">TEXT(B1794,"DDDD")</f>
        <v>Thursday</v>
      </c>
      <c r="L1794">
        <f t="shared" si="213"/>
        <v>0</v>
      </c>
    </row>
    <row r="1795" spans="1:12" x14ac:dyDescent="0.25">
      <c r="A1795">
        <v>213179140</v>
      </c>
      <c r="B1795" s="1">
        <v>45036</v>
      </c>
      <c r="C1795" s="1">
        <v>45063</v>
      </c>
      <c r="D1795" t="s">
        <v>7</v>
      </c>
      <c r="E1795">
        <v>39</v>
      </c>
      <c r="F1795" t="s">
        <v>6</v>
      </c>
      <c r="G1795" s="8">
        <f t="shared" ref="G1795:G1858" si="222">IFERROR(DATEDIF(B1795,C1795,"D"),"0")</f>
        <v>27</v>
      </c>
      <c r="H1795">
        <f t="shared" ref="H1795:H1858" si="223">WEEKDAY(B1795,1)</f>
        <v>5</v>
      </c>
      <c r="I1795" t="str">
        <f t="shared" si="221"/>
        <v>Thursday</v>
      </c>
      <c r="L1795">
        <f t="shared" ref="L1795:L1858" si="224">IF( OR($G1795=0,$G1795 = 1, $G1795 = 2), 1, 0 )</f>
        <v>0</v>
      </c>
    </row>
    <row r="1796" spans="1:12" x14ac:dyDescent="0.25">
      <c r="A1796">
        <v>211629536</v>
      </c>
      <c r="B1796" s="1">
        <v>45036</v>
      </c>
      <c r="C1796" s="1">
        <v>45073</v>
      </c>
      <c r="D1796" t="s">
        <v>7</v>
      </c>
      <c r="E1796">
        <v>39</v>
      </c>
      <c r="F1796" t="s">
        <v>6</v>
      </c>
      <c r="G1796" s="8">
        <f t="shared" si="222"/>
        <v>37</v>
      </c>
      <c r="H1796">
        <f t="shared" si="223"/>
        <v>5</v>
      </c>
      <c r="I1796" t="str">
        <f t="shared" si="221"/>
        <v>Thursday</v>
      </c>
      <c r="L1796">
        <f t="shared" si="224"/>
        <v>0</v>
      </c>
    </row>
    <row r="1797" spans="1:12" x14ac:dyDescent="0.25">
      <c r="A1797">
        <v>204953211</v>
      </c>
      <c r="B1797" s="1">
        <v>45036</v>
      </c>
      <c r="C1797" s="1">
        <v>45073</v>
      </c>
      <c r="D1797" t="s">
        <v>7</v>
      </c>
      <c r="E1797">
        <v>39</v>
      </c>
      <c r="F1797" t="s">
        <v>6</v>
      </c>
      <c r="G1797" s="8">
        <f t="shared" si="222"/>
        <v>37</v>
      </c>
      <c r="H1797">
        <f t="shared" si="223"/>
        <v>5</v>
      </c>
      <c r="I1797" t="str">
        <f t="shared" si="221"/>
        <v>Thursday</v>
      </c>
      <c r="L1797">
        <f t="shared" si="224"/>
        <v>0</v>
      </c>
    </row>
    <row r="1798" spans="1:12" x14ac:dyDescent="0.25">
      <c r="A1798">
        <v>111394466</v>
      </c>
      <c r="B1798" s="1">
        <v>45036</v>
      </c>
      <c r="C1798" s="1">
        <v>45099</v>
      </c>
      <c r="D1798" t="s">
        <v>7</v>
      </c>
      <c r="E1798">
        <v>39</v>
      </c>
      <c r="F1798" t="s">
        <v>6</v>
      </c>
      <c r="G1798" s="8">
        <f t="shared" si="222"/>
        <v>63</v>
      </c>
      <c r="H1798">
        <f t="shared" si="223"/>
        <v>5</v>
      </c>
      <c r="I1798" t="str">
        <f t="shared" si="221"/>
        <v>Thursday</v>
      </c>
      <c r="L1798">
        <f t="shared" si="224"/>
        <v>0</v>
      </c>
    </row>
    <row r="1799" spans="1:12" x14ac:dyDescent="0.25">
      <c r="A1799">
        <v>214107134</v>
      </c>
      <c r="B1799" s="1">
        <v>45037</v>
      </c>
      <c r="C1799" s="1">
        <f t="shared" ref="C1799:C1800" ca="1" si="225">TODAY()</f>
        <v>45938</v>
      </c>
      <c r="D1799" t="s">
        <v>7</v>
      </c>
      <c r="E1799">
        <v>39</v>
      </c>
      <c r="F1799" t="s">
        <v>6</v>
      </c>
      <c r="G1799" s="8">
        <f t="shared" ca="1" si="222"/>
        <v>901</v>
      </c>
      <c r="H1799">
        <f t="shared" si="223"/>
        <v>6</v>
      </c>
      <c r="I1799" t="str">
        <f t="shared" si="221"/>
        <v>Friday</v>
      </c>
      <c r="L1799">
        <f t="shared" ca="1" si="224"/>
        <v>0</v>
      </c>
    </row>
    <row r="1800" spans="1:12" x14ac:dyDescent="0.25">
      <c r="A1800">
        <v>214105034</v>
      </c>
      <c r="B1800" s="1">
        <v>45037</v>
      </c>
      <c r="C1800" s="1">
        <f t="shared" ca="1" si="225"/>
        <v>45938</v>
      </c>
      <c r="D1800" t="s">
        <v>7</v>
      </c>
      <c r="E1800">
        <v>39</v>
      </c>
      <c r="F1800" t="s">
        <v>6</v>
      </c>
      <c r="G1800" s="8">
        <f t="shared" ca="1" si="222"/>
        <v>901</v>
      </c>
      <c r="H1800">
        <f t="shared" si="223"/>
        <v>6</v>
      </c>
      <c r="I1800" t="str">
        <f t="shared" si="221"/>
        <v>Friday</v>
      </c>
      <c r="L1800">
        <f t="shared" ca="1" si="224"/>
        <v>0</v>
      </c>
    </row>
    <row r="1801" spans="1:12" x14ac:dyDescent="0.25">
      <c r="A1801">
        <v>214124745</v>
      </c>
      <c r="B1801" s="1">
        <v>45037</v>
      </c>
      <c r="C1801" s="1">
        <v>45176</v>
      </c>
      <c r="D1801" t="s">
        <v>7</v>
      </c>
      <c r="E1801">
        <v>39</v>
      </c>
      <c r="F1801" t="s">
        <v>6</v>
      </c>
      <c r="G1801" s="8">
        <f t="shared" si="222"/>
        <v>139</v>
      </c>
      <c r="H1801">
        <f t="shared" si="223"/>
        <v>6</v>
      </c>
      <c r="I1801" t="str">
        <f t="shared" si="221"/>
        <v>Friday</v>
      </c>
      <c r="L1801">
        <f t="shared" si="224"/>
        <v>0</v>
      </c>
    </row>
    <row r="1802" spans="1:12" x14ac:dyDescent="0.25">
      <c r="A1802">
        <v>214107426</v>
      </c>
      <c r="B1802" s="1">
        <v>45037</v>
      </c>
      <c r="C1802" s="1">
        <v>45038</v>
      </c>
      <c r="D1802" t="s">
        <v>8</v>
      </c>
      <c r="E1802">
        <v>39</v>
      </c>
      <c r="F1802" t="s">
        <v>6</v>
      </c>
      <c r="G1802" s="8">
        <f t="shared" si="222"/>
        <v>1</v>
      </c>
      <c r="H1802">
        <f t="shared" si="223"/>
        <v>6</v>
      </c>
      <c r="I1802" t="str">
        <f t="shared" si="221"/>
        <v>Friday</v>
      </c>
      <c r="L1802">
        <f t="shared" si="224"/>
        <v>1</v>
      </c>
    </row>
    <row r="1803" spans="1:12" x14ac:dyDescent="0.25">
      <c r="A1803">
        <v>213980322</v>
      </c>
      <c r="B1803" s="1">
        <v>45037</v>
      </c>
      <c r="C1803" s="1">
        <v>45097</v>
      </c>
      <c r="D1803" t="s">
        <v>7</v>
      </c>
      <c r="E1803">
        <v>39</v>
      </c>
      <c r="F1803" t="s">
        <v>6</v>
      </c>
      <c r="G1803" s="8">
        <f t="shared" si="222"/>
        <v>60</v>
      </c>
      <c r="H1803">
        <f t="shared" si="223"/>
        <v>6</v>
      </c>
      <c r="I1803" t="str">
        <f t="shared" si="221"/>
        <v>Friday</v>
      </c>
      <c r="L1803">
        <f t="shared" si="224"/>
        <v>0</v>
      </c>
    </row>
    <row r="1804" spans="1:12" x14ac:dyDescent="0.25">
      <c r="A1804">
        <v>213434919</v>
      </c>
      <c r="B1804" s="1">
        <v>45037</v>
      </c>
      <c r="C1804" s="1">
        <v>45037</v>
      </c>
      <c r="D1804" t="s">
        <v>7</v>
      </c>
      <c r="E1804">
        <v>39</v>
      </c>
      <c r="F1804" t="s">
        <v>6</v>
      </c>
      <c r="G1804" s="8">
        <f t="shared" si="222"/>
        <v>0</v>
      </c>
      <c r="H1804">
        <f t="shared" si="223"/>
        <v>6</v>
      </c>
      <c r="I1804" t="str">
        <f t="shared" si="221"/>
        <v>Friday</v>
      </c>
      <c r="L1804">
        <f t="shared" si="224"/>
        <v>1</v>
      </c>
    </row>
    <row r="1805" spans="1:12" x14ac:dyDescent="0.25">
      <c r="A1805">
        <v>214129448</v>
      </c>
      <c r="B1805" s="1">
        <v>45037</v>
      </c>
      <c r="C1805" s="1">
        <v>45135</v>
      </c>
      <c r="D1805" t="s">
        <v>7</v>
      </c>
      <c r="E1805">
        <v>39</v>
      </c>
      <c r="F1805" t="s">
        <v>6</v>
      </c>
      <c r="G1805" s="8">
        <f t="shared" si="222"/>
        <v>98</v>
      </c>
      <c r="H1805">
        <f t="shared" si="223"/>
        <v>6</v>
      </c>
      <c r="I1805" t="str">
        <f t="shared" si="221"/>
        <v>Friday</v>
      </c>
      <c r="L1805">
        <f t="shared" si="224"/>
        <v>0</v>
      </c>
    </row>
    <row r="1806" spans="1:12" x14ac:dyDescent="0.25">
      <c r="A1806">
        <v>213944536</v>
      </c>
      <c r="B1806" s="1">
        <v>45037</v>
      </c>
      <c r="C1806" s="1">
        <v>45098</v>
      </c>
      <c r="D1806" t="s">
        <v>7</v>
      </c>
      <c r="E1806">
        <v>39</v>
      </c>
      <c r="F1806" t="s">
        <v>6</v>
      </c>
      <c r="G1806" s="8">
        <f t="shared" si="222"/>
        <v>61</v>
      </c>
      <c r="H1806">
        <f t="shared" si="223"/>
        <v>6</v>
      </c>
      <c r="I1806" t="str">
        <f t="shared" si="221"/>
        <v>Friday</v>
      </c>
      <c r="L1806">
        <f t="shared" si="224"/>
        <v>0</v>
      </c>
    </row>
    <row r="1807" spans="1:12" x14ac:dyDescent="0.25">
      <c r="A1807">
        <v>214052531</v>
      </c>
      <c r="B1807" s="1">
        <v>45037</v>
      </c>
      <c r="C1807" s="1">
        <v>45166</v>
      </c>
      <c r="D1807" t="s">
        <v>7</v>
      </c>
      <c r="E1807">
        <v>39</v>
      </c>
      <c r="F1807" t="s">
        <v>6</v>
      </c>
      <c r="G1807" s="8">
        <f t="shared" si="222"/>
        <v>129</v>
      </c>
      <c r="H1807">
        <f t="shared" si="223"/>
        <v>6</v>
      </c>
      <c r="I1807" t="str">
        <f t="shared" si="221"/>
        <v>Friday</v>
      </c>
      <c r="L1807">
        <f t="shared" si="224"/>
        <v>0</v>
      </c>
    </row>
    <row r="1808" spans="1:12" x14ac:dyDescent="0.25">
      <c r="A1808">
        <v>214196608</v>
      </c>
      <c r="B1808" s="1">
        <v>45038</v>
      </c>
      <c r="C1808" s="1">
        <f t="shared" ref="C1808" ca="1" si="226">TODAY()</f>
        <v>45938</v>
      </c>
      <c r="D1808" t="s">
        <v>7</v>
      </c>
      <c r="E1808">
        <v>39</v>
      </c>
      <c r="F1808" t="s">
        <v>6</v>
      </c>
      <c r="G1808" s="8">
        <f t="shared" ca="1" si="222"/>
        <v>900</v>
      </c>
      <c r="H1808">
        <f t="shared" si="223"/>
        <v>7</v>
      </c>
      <c r="I1808" t="str">
        <f t="shared" si="221"/>
        <v>Saturday</v>
      </c>
      <c r="L1808">
        <f t="shared" ca="1" si="224"/>
        <v>0</v>
      </c>
    </row>
    <row r="1809" spans="1:12" x14ac:dyDescent="0.25">
      <c r="A1809">
        <v>125299295</v>
      </c>
      <c r="B1809" s="1">
        <v>45038</v>
      </c>
      <c r="C1809" s="1">
        <v>45096</v>
      </c>
      <c r="D1809" t="s">
        <v>7</v>
      </c>
      <c r="E1809">
        <v>39</v>
      </c>
      <c r="F1809" t="s">
        <v>6</v>
      </c>
      <c r="G1809" s="8">
        <f t="shared" si="222"/>
        <v>58</v>
      </c>
      <c r="H1809">
        <f t="shared" si="223"/>
        <v>7</v>
      </c>
      <c r="I1809" t="str">
        <f t="shared" si="221"/>
        <v>Saturday</v>
      </c>
      <c r="L1809">
        <f t="shared" si="224"/>
        <v>0</v>
      </c>
    </row>
    <row r="1810" spans="1:12" x14ac:dyDescent="0.25">
      <c r="A1810">
        <v>214199386</v>
      </c>
      <c r="B1810" s="1">
        <v>45038</v>
      </c>
      <c r="C1810" s="1">
        <v>45053</v>
      </c>
      <c r="D1810" t="s">
        <v>7</v>
      </c>
      <c r="E1810">
        <v>39</v>
      </c>
      <c r="F1810" t="s">
        <v>6</v>
      </c>
      <c r="G1810" s="8">
        <f t="shared" si="222"/>
        <v>15</v>
      </c>
      <c r="H1810">
        <f t="shared" si="223"/>
        <v>7</v>
      </c>
      <c r="I1810" t="str">
        <f t="shared" si="221"/>
        <v>Saturday</v>
      </c>
      <c r="L1810">
        <f t="shared" si="224"/>
        <v>0</v>
      </c>
    </row>
    <row r="1811" spans="1:12" x14ac:dyDescent="0.25">
      <c r="A1811">
        <v>214191851</v>
      </c>
      <c r="B1811" s="1">
        <v>45038</v>
      </c>
      <c r="C1811" s="1">
        <v>45058</v>
      </c>
      <c r="D1811" t="s">
        <v>7</v>
      </c>
      <c r="E1811">
        <v>39</v>
      </c>
      <c r="F1811" t="s">
        <v>6</v>
      </c>
      <c r="G1811" s="8">
        <f t="shared" si="222"/>
        <v>20</v>
      </c>
      <c r="H1811">
        <f t="shared" si="223"/>
        <v>7</v>
      </c>
      <c r="I1811" t="str">
        <f t="shared" si="221"/>
        <v>Saturday</v>
      </c>
      <c r="L1811">
        <f t="shared" si="224"/>
        <v>0</v>
      </c>
    </row>
    <row r="1812" spans="1:12" x14ac:dyDescent="0.25">
      <c r="A1812">
        <v>214174478</v>
      </c>
      <c r="B1812" s="1">
        <v>45038</v>
      </c>
      <c r="C1812" s="1">
        <v>45068</v>
      </c>
      <c r="D1812" t="s">
        <v>7</v>
      </c>
      <c r="E1812">
        <v>39</v>
      </c>
      <c r="F1812" t="s">
        <v>6</v>
      </c>
      <c r="G1812" s="8">
        <f t="shared" si="222"/>
        <v>30</v>
      </c>
      <c r="H1812">
        <f t="shared" si="223"/>
        <v>7</v>
      </c>
      <c r="I1812" t="str">
        <f t="shared" si="221"/>
        <v>Saturday</v>
      </c>
      <c r="L1812">
        <f t="shared" si="224"/>
        <v>0</v>
      </c>
    </row>
    <row r="1813" spans="1:12" x14ac:dyDescent="0.25">
      <c r="A1813">
        <v>214264465</v>
      </c>
      <c r="B1813" s="1">
        <v>45039</v>
      </c>
      <c r="C1813" s="1">
        <f t="shared" ref="C1813:C1815" ca="1" si="227">TODAY()</f>
        <v>45938</v>
      </c>
      <c r="D1813" t="s">
        <v>7</v>
      </c>
      <c r="E1813">
        <v>39</v>
      </c>
      <c r="F1813" t="s">
        <v>6</v>
      </c>
      <c r="G1813" s="8">
        <f t="shared" ca="1" si="222"/>
        <v>899</v>
      </c>
      <c r="H1813">
        <f t="shared" si="223"/>
        <v>1</v>
      </c>
      <c r="I1813" t="str">
        <f t="shared" si="221"/>
        <v>Sunday</v>
      </c>
      <c r="L1813">
        <f t="shared" ca="1" si="224"/>
        <v>0</v>
      </c>
    </row>
    <row r="1814" spans="1:12" x14ac:dyDescent="0.25">
      <c r="A1814">
        <v>214261616</v>
      </c>
      <c r="B1814" s="1">
        <v>45039</v>
      </c>
      <c r="C1814" s="1">
        <f t="shared" ca="1" si="227"/>
        <v>45938</v>
      </c>
      <c r="D1814" t="s">
        <v>7</v>
      </c>
      <c r="E1814">
        <v>39</v>
      </c>
      <c r="F1814" t="s">
        <v>6</v>
      </c>
      <c r="G1814" s="8">
        <f t="shared" ca="1" si="222"/>
        <v>899</v>
      </c>
      <c r="H1814">
        <f t="shared" si="223"/>
        <v>1</v>
      </c>
      <c r="I1814" t="str">
        <f t="shared" si="221"/>
        <v>Sunday</v>
      </c>
      <c r="L1814">
        <f t="shared" ca="1" si="224"/>
        <v>0</v>
      </c>
    </row>
    <row r="1815" spans="1:12" x14ac:dyDescent="0.25">
      <c r="A1815">
        <v>214178644</v>
      </c>
      <c r="B1815" s="1">
        <v>45039</v>
      </c>
      <c r="C1815" s="1">
        <f t="shared" ca="1" si="227"/>
        <v>45938</v>
      </c>
      <c r="D1815" t="s">
        <v>7</v>
      </c>
      <c r="E1815">
        <v>39</v>
      </c>
      <c r="F1815" t="s">
        <v>6</v>
      </c>
      <c r="G1815" s="8">
        <f t="shared" ca="1" si="222"/>
        <v>899</v>
      </c>
      <c r="H1815">
        <f t="shared" si="223"/>
        <v>1</v>
      </c>
      <c r="I1815" t="str">
        <f t="shared" si="221"/>
        <v>Sunday</v>
      </c>
      <c r="L1815">
        <f t="shared" ca="1" si="224"/>
        <v>0</v>
      </c>
    </row>
    <row r="1816" spans="1:12" x14ac:dyDescent="0.25">
      <c r="A1816">
        <v>214202809</v>
      </c>
      <c r="B1816" s="1">
        <v>45039</v>
      </c>
      <c r="C1816" s="1">
        <v>45068</v>
      </c>
      <c r="D1816" t="s">
        <v>7</v>
      </c>
      <c r="E1816">
        <v>39</v>
      </c>
      <c r="F1816" t="s">
        <v>6</v>
      </c>
      <c r="G1816" s="8">
        <f t="shared" si="222"/>
        <v>29</v>
      </c>
      <c r="H1816">
        <f t="shared" si="223"/>
        <v>1</v>
      </c>
      <c r="I1816" t="str">
        <f t="shared" si="221"/>
        <v>Sunday</v>
      </c>
      <c r="L1816">
        <f t="shared" si="224"/>
        <v>0</v>
      </c>
    </row>
    <row r="1817" spans="1:12" x14ac:dyDescent="0.25">
      <c r="A1817">
        <v>214220188</v>
      </c>
      <c r="B1817" s="1">
        <v>45040</v>
      </c>
      <c r="C1817" s="1">
        <f t="shared" ref="C1817:C1823" ca="1" si="228">TODAY()</f>
        <v>45938</v>
      </c>
      <c r="D1817" t="s">
        <v>7</v>
      </c>
      <c r="E1817">
        <v>39</v>
      </c>
      <c r="F1817" t="s">
        <v>6</v>
      </c>
      <c r="G1817" s="8">
        <f t="shared" ca="1" si="222"/>
        <v>898</v>
      </c>
      <c r="H1817">
        <f t="shared" si="223"/>
        <v>2</v>
      </c>
      <c r="I1817" t="str">
        <f t="shared" si="221"/>
        <v>Monday</v>
      </c>
      <c r="L1817">
        <f t="shared" ca="1" si="224"/>
        <v>0</v>
      </c>
    </row>
    <row r="1818" spans="1:12" x14ac:dyDescent="0.25">
      <c r="A1818">
        <v>212113435</v>
      </c>
      <c r="B1818" s="1">
        <v>45040</v>
      </c>
      <c r="C1818" s="1">
        <f t="shared" ca="1" si="228"/>
        <v>45938</v>
      </c>
      <c r="D1818" t="s">
        <v>7</v>
      </c>
      <c r="E1818">
        <v>39</v>
      </c>
      <c r="F1818" t="s">
        <v>6</v>
      </c>
      <c r="G1818" s="8">
        <f t="shared" ca="1" si="222"/>
        <v>898</v>
      </c>
      <c r="H1818">
        <f t="shared" si="223"/>
        <v>2</v>
      </c>
      <c r="I1818" t="str">
        <f t="shared" si="221"/>
        <v>Monday</v>
      </c>
      <c r="L1818">
        <f t="shared" ca="1" si="224"/>
        <v>0</v>
      </c>
    </row>
    <row r="1819" spans="1:12" x14ac:dyDescent="0.25">
      <c r="A1819">
        <v>213431638</v>
      </c>
      <c r="B1819" s="1">
        <v>45040</v>
      </c>
      <c r="C1819" s="1">
        <f t="shared" ca="1" si="228"/>
        <v>45938</v>
      </c>
      <c r="D1819" t="s">
        <v>7</v>
      </c>
      <c r="E1819">
        <v>39</v>
      </c>
      <c r="F1819" t="s">
        <v>6</v>
      </c>
      <c r="G1819" s="8">
        <f t="shared" ca="1" si="222"/>
        <v>898</v>
      </c>
      <c r="H1819">
        <f t="shared" si="223"/>
        <v>2</v>
      </c>
      <c r="I1819" t="str">
        <f t="shared" si="221"/>
        <v>Monday</v>
      </c>
      <c r="L1819">
        <f t="shared" ca="1" si="224"/>
        <v>0</v>
      </c>
    </row>
    <row r="1820" spans="1:12" x14ac:dyDescent="0.25">
      <c r="A1820">
        <v>214102994</v>
      </c>
      <c r="B1820" s="1">
        <v>45040</v>
      </c>
      <c r="C1820" s="1">
        <f t="shared" ca="1" si="228"/>
        <v>45938</v>
      </c>
      <c r="D1820" t="s">
        <v>7</v>
      </c>
      <c r="E1820">
        <v>39</v>
      </c>
      <c r="F1820" t="s">
        <v>6</v>
      </c>
      <c r="G1820" s="8">
        <f t="shared" ca="1" si="222"/>
        <v>898</v>
      </c>
      <c r="H1820">
        <f t="shared" si="223"/>
        <v>2</v>
      </c>
      <c r="I1820" t="str">
        <f t="shared" si="221"/>
        <v>Monday</v>
      </c>
      <c r="L1820">
        <f t="shared" ca="1" si="224"/>
        <v>0</v>
      </c>
    </row>
    <row r="1821" spans="1:12" x14ac:dyDescent="0.25">
      <c r="A1821">
        <v>177266058</v>
      </c>
      <c r="B1821" s="1">
        <v>45040</v>
      </c>
      <c r="C1821" s="1">
        <f t="shared" ca="1" si="228"/>
        <v>45938</v>
      </c>
      <c r="D1821" t="s">
        <v>7</v>
      </c>
      <c r="E1821">
        <v>39</v>
      </c>
      <c r="F1821" t="s">
        <v>6</v>
      </c>
      <c r="G1821" s="8">
        <f t="shared" ca="1" si="222"/>
        <v>898</v>
      </c>
      <c r="H1821">
        <f t="shared" si="223"/>
        <v>2</v>
      </c>
      <c r="I1821" t="str">
        <f t="shared" si="221"/>
        <v>Monday</v>
      </c>
      <c r="L1821">
        <f t="shared" ca="1" si="224"/>
        <v>0</v>
      </c>
    </row>
    <row r="1822" spans="1:12" x14ac:dyDescent="0.25">
      <c r="A1822">
        <v>116060198</v>
      </c>
      <c r="B1822" s="1">
        <v>45040</v>
      </c>
      <c r="C1822" s="1">
        <f t="shared" ca="1" si="228"/>
        <v>45938</v>
      </c>
      <c r="D1822" t="s">
        <v>7</v>
      </c>
      <c r="E1822">
        <v>39</v>
      </c>
      <c r="F1822" t="s">
        <v>6</v>
      </c>
      <c r="G1822" s="8">
        <f t="shared" ca="1" si="222"/>
        <v>898</v>
      </c>
      <c r="H1822">
        <f t="shared" si="223"/>
        <v>2</v>
      </c>
      <c r="I1822" t="str">
        <f t="shared" si="221"/>
        <v>Monday</v>
      </c>
      <c r="L1822">
        <f t="shared" ca="1" si="224"/>
        <v>0</v>
      </c>
    </row>
    <row r="1823" spans="1:12" x14ac:dyDescent="0.25">
      <c r="A1823">
        <v>214312843</v>
      </c>
      <c r="B1823" s="1">
        <v>45040</v>
      </c>
      <c r="C1823" s="1">
        <f t="shared" ca="1" si="228"/>
        <v>45938</v>
      </c>
      <c r="D1823" t="s">
        <v>7</v>
      </c>
      <c r="E1823">
        <v>39</v>
      </c>
      <c r="F1823" t="s">
        <v>6</v>
      </c>
      <c r="G1823" s="8">
        <f t="shared" ca="1" si="222"/>
        <v>898</v>
      </c>
      <c r="H1823">
        <f t="shared" si="223"/>
        <v>2</v>
      </c>
      <c r="I1823" t="str">
        <f t="shared" si="221"/>
        <v>Monday</v>
      </c>
      <c r="L1823">
        <f t="shared" ca="1" si="224"/>
        <v>0</v>
      </c>
    </row>
    <row r="1824" spans="1:12" x14ac:dyDescent="0.25">
      <c r="A1824">
        <v>156245288</v>
      </c>
      <c r="B1824" s="1">
        <v>45040</v>
      </c>
      <c r="C1824" s="1">
        <v>45057</v>
      </c>
      <c r="D1824" t="s">
        <v>7</v>
      </c>
      <c r="E1824">
        <v>39</v>
      </c>
      <c r="F1824" t="s">
        <v>6</v>
      </c>
      <c r="G1824" s="8">
        <f t="shared" si="222"/>
        <v>17</v>
      </c>
      <c r="H1824">
        <f t="shared" si="223"/>
        <v>2</v>
      </c>
      <c r="I1824" t="str">
        <f t="shared" si="221"/>
        <v>Monday</v>
      </c>
      <c r="L1824">
        <f t="shared" si="224"/>
        <v>0</v>
      </c>
    </row>
    <row r="1825" spans="1:12" x14ac:dyDescent="0.25">
      <c r="A1825">
        <v>148869972</v>
      </c>
      <c r="B1825" s="1">
        <v>45040</v>
      </c>
      <c r="C1825" s="1">
        <v>45056</v>
      </c>
      <c r="D1825" t="s">
        <v>7</v>
      </c>
      <c r="E1825">
        <v>39</v>
      </c>
      <c r="F1825" t="s">
        <v>6</v>
      </c>
      <c r="G1825" s="8">
        <f t="shared" si="222"/>
        <v>16</v>
      </c>
      <c r="H1825">
        <f t="shared" si="223"/>
        <v>2</v>
      </c>
      <c r="I1825" t="str">
        <f t="shared" si="221"/>
        <v>Monday</v>
      </c>
      <c r="L1825">
        <f t="shared" si="224"/>
        <v>0</v>
      </c>
    </row>
    <row r="1826" spans="1:12" x14ac:dyDescent="0.25">
      <c r="A1826">
        <v>156186115</v>
      </c>
      <c r="B1826" s="1">
        <v>45040</v>
      </c>
      <c r="C1826" s="1">
        <v>45063</v>
      </c>
      <c r="D1826" t="s">
        <v>7</v>
      </c>
      <c r="E1826">
        <v>39</v>
      </c>
      <c r="F1826" t="s">
        <v>6</v>
      </c>
      <c r="G1826" s="8">
        <f t="shared" si="222"/>
        <v>23</v>
      </c>
      <c r="H1826">
        <f t="shared" si="223"/>
        <v>2</v>
      </c>
      <c r="I1826" t="str">
        <f t="shared" si="221"/>
        <v>Monday</v>
      </c>
      <c r="L1826">
        <f t="shared" si="224"/>
        <v>0</v>
      </c>
    </row>
    <row r="1827" spans="1:12" x14ac:dyDescent="0.25">
      <c r="A1827">
        <v>207235755</v>
      </c>
      <c r="B1827" s="1">
        <v>45040</v>
      </c>
      <c r="C1827" s="1">
        <v>45068</v>
      </c>
      <c r="D1827" t="s">
        <v>7</v>
      </c>
      <c r="E1827">
        <v>39</v>
      </c>
      <c r="F1827" t="s">
        <v>6</v>
      </c>
      <c r="G1827" s="8">
        <f t="shared" si="222"/>
        <v>28</v>
      </c>
      <c r="H1827">
        <f t="shared" si="223"/>
        <v>2</v>
      </c>
      <c r="I1827" t="str">
        <f t="shared" si="221"/>
        <v>Monday</v>
      </c>
      <c r="L1827">
        <f t="shared" si="224"/>
        <v>0</v>
      </c>
    </row>
    <row r="1828" spans="1:12" x14ac:dyDescent="0.25">
      <c r="A1828">
        <v>169235213</v>
      </c>
      <c r="B1828" s="1">
        <v>45040</v>
      </c>
      <c r="C1828" s="1">
        <v>45077</v>
      </c>
      <c r="D1828" t="s">
        <v>7</v>
      </c>
      <c r="E1828">
        <v>39</v>
      </c>
      <c r="F1828" t="s">
        <v>6</v>
      </c>
      <c r="G1828" s="8">
        <f t="shared" si="222"/>
        <v>37</v>
      </c>
      <c r="H1828">
        <f t="shared" si="223"/>
        <v>2</v>
      </c>
      <c r="I1828" t="str">
        <f t="shared" si="221"/>
        <v>Monday</v>
      </c>
      <c r="L1828">
        <f t="shared" si="224"/>
        <v>0</v>
      </c>
    </row>
    <row r="1829" spans="1:12" x14ac:dyDescent="0.25">
      <c r="A1829">
        <v>213692152</v>
      </c>
      <c r="B1829" s="1">
        <v>45040</v>
      </c>
      <c r="C1829" s="1">
        <v>45071</v>
      </c>
      <c r="D1829" t="s">
        <v>7</v>
      </c>
      <c r="E1829">
        <v>39</v>
      </c>
      <c r="F1829" t="s">
        <v>6</v>
      </c>
      <c r="G1829" s="8">
        <f t="shared" si="222"/>
        <v>31</v>
      </c>
      <c r="H1829">
        <f t="shared" si="223"/>
        <v>2</v>
      </c>
      <c r="I1829" t="str">
        <f t="shared" si="221"/>
        <v>Monday</v>
      </c>
      <c r="L1829">
        <f t="shared" si="224"/>
        <v>0</v>
      </c>
    </row>
    <row r="1830" spans="1:12" x14ac:dyDescent="0.25">
      <c r="A1830">
        <v>214352003</v>
      </c>
      <c r="B1830" s="1">
        <v>45040</v>
      </c>
      <c r="C1830" s="1">
        <v>45161</v>
      </c>
      <c r="D1830" t="s">
        <v>7</v>
      </c>
      <c r="E1830">
        <v>39</v>
      </c>
      <c r="F1830" t="s">
        <v>6</v>
      </c>
      <c r="G1830" s="8">
        <f t="shared" si="222"/>
        <v>121</v>
      </c>
      <c r="H1830">
        <f t="shared" si="223"/>
        <v>2</v>
      </c>
      <c r="I1830" t="str">
        <f t="shared" si="221"/>
        <v>Monday</v>
      </c>
      <c r="L1830">
        <f t="shared" si="224"/>
        <v>0</v>
      </c>
    </row>
    <row r="1831" spans="1:12" x14ac:dyDescent="0.25">
      <c r="A1831">
        <v>139691790</v>
      </c>
      <c r="B1831" s="1">
        <v>45041</v>
      </c>
      <c r="C1831" s="1">
        <v>45102</v>
      </c>
      <c r="D1831" t="s">
        <v>7</v>
      </c>
      <c r="E1831">
        <v>39</v>
      </c>
      <c r="F1831" t="s">
        <v>6</v>
      </c>
      <c r="G1831" s="8">
        <f t="shared" si="222"/>
        <v>61</v>
      </c>
      <c r="H1831">
        <f t="shared" si="223"/>
        <v>3</v>
      </c>
      <c r="I1831" t="str">
        <f t="shared" si="221"/>
        <v>Tuesday</v>
      </c>
      <c r="L1831">
        <f t="shared" si="224"/>
        <v>0</v>
      </c>
    </row>
    <row r="1832" spans="1:12" x14ac:dyDescent="0.25">
      <c r="A1832">
        <v>210646453</v>
      </c>
      <c r="B1832" s="1">
        <v>45041</v>
      </c>
      <c r="C1832" s="1">
        <v>45101</v>
      </c>
      <c r="D1832" t="s">
        <v>7</v>
      </c>
      <c r="E1832">
        <v>39</v>
      </c>
      <c r="F1832" t="s">
        <v>6</v>
      </c>
      <c r="G1832" s="8">
        <f t="shared" si="222"/>
        <v>60</v>
      </c>
      <c r="H1832">
        <f t="shared" si="223"/>
        <v>3</v>
      </c>
      <c r="I1832" t="str">
        <f t="shared" si="221"/>
        <v>Tuesday</v>
      </c>
      <c r="L1832">
        <f t="shared" si="224"/>
        <v>0</v>
      </c>
    </row>
    <row r="1833" spans="1:12" x14ac:dyDescent="0.25">
      <c r="A1833">
        <v>206891005</v>
      </c>
      <c r="B1833" s="1">
        <v>45041</v>
      </c>
      <c r="C1833" s="1">
        <v>45063</v>
      </c>
      <c r="D1833" t="s">
        <v>7</v>
      </c>
      <c r="E1833">
        <v>39</v>
      </c>
      <c r="F1833" t="s">
        <v>6</v>
      </c>
      <c r="G1833" s="8">
        <f t="shared" si="222"/>
        <v>22</v>
      </c>
      <c r="H1833">
        <f t="shared" si="223"/>
        <v>3</v>
      </c>
      <c r="I1833" t="str">
        <f t="shared" si="221"/>
        <v>Tuesday</v>
      </c>
      <c r="L1833">
        <f t="shared" si="224"/>
        <v>0</v>
      </c>
    </row>
    <row r="1834" spans="1:12" x14ac:dyDescent="0.25">
      <c r="A1834">
        <v>212293354</v>
      </c>
      <c r="B1834" s="1">
        <v>45041</v>
      </c>
      <c r="C1834" s="1">
        <v>45041</v>
      </c>
      <c r="D1834" t="s">
        <v>7</v>
      </c>
      <c r="E1834">
        <v>39</v>
      </c>
      <c r="F1834" t="s">
        <v>6</v>
      </c>
      <c r="G1834" s="8">
        <f t="shared" si="222"/>
        <v>0</v>
      </c>
      <c r="H1834">
        <f t="shared" si="223"/>
        <v>3</v>
      </c>
      <c r="I1834" t="str">
        <f t="shared" si="221"/>
        <v>Tuesday</v>
      </c>
      <c r="L1834">
        <f t="shared" si="224"/>
        <v>1</v>
      </c>
    </row>
    <row r="1835" spans="1:12" x14ac:dyDescent="0.25">
      <c r="A1835">
        <v>214464069</v>
      </c>
      <c r="B1835" s="1">
        <v>45042</v>
      </c>
      <c r="C1835" s="1">
        <f t="shared" ref="C1835:C1836" ca="1" si="229">TODAY()</f>
        <v>45938</v>
      </c>
      <c r="D1835" t="s">
        <v>7</v>
      </c>
      <c r="E1835">
        <v>39</v>
      </c>
      <c r="F1835" t="s">
        <v>6</v>
      </c>
      <c r="G1835" s="8">
        <f t="shared" ca="1" si="222"/>
        <v>896</v>
      </c>
      <c r="H1835">
        <f t="shared" si="223"/>
        <v>4</v>
      </c>
      <c r="I1835" t="str">
        <f t="shared" si="221"/>
        <v>Wednesday</v>
      </c>
      <c r="L1835">
        <f t="shared" ca="1" si="224"/>
        <v>0</v>
      </c>
    </row>
    <row r="1836" spans="1:12" x14ac:dyDescent="0.25">
      <c r="A1836">
        <v>214446543</v>
      </c>
      <c r="B1836" s="1">
        <v>45042</v>
      </c>
      <c r="C1836" s="1">
        <f t="shared" ca="1" si="229"/>
        <v>45938</v>
      </c>
      <c r="D1836" t="s">
        <v>7</v>
      </c>
      <c r="E1836">
        <v>39</v>
      </c>
      <c r="F1836" t="s">
        <v>6</v>
      </c>
      <c r="G1836" s="8">
        <f t="shared" ca="1" si="222"/>
        <v>896</v>
      </c>
      <c r="H1836">
        <f t="shared" si="223"/>
        <v>4</v>
      </c>
      <c r="I1836" t="str">
        <f t="shared" si="221"/>
        <v>Wednesday</v>
      </c>
      <c r="L1836">
        <f t="shared" ca="1" si="224"/>
        <v>0</v>
      </c>
    </row>
    <row r="1837" spans="1:12" x14ac:dyDescent="0.25">
      <c r="A1837">
        <v>212376935</v>
      </c>
      <c r="B1837" s="1">
        <v>45042</v>
      </c>
      <c r="C1837" s="1">
        <v>45089</v>
      </c>
      <c r="D1837" t="s">
        <v>7</v>
      </c>
      <c r="E1837">
        <v>39</v>
      </c>
      <c r="F1837" t="s">
        <v>6</v>
      </c>
      <c r="G1837" s="8">
        <f t="shared" si="222"/>
        <v>47</v>
      </c>
      <c r="H1837">
        <f t="shared" si="223"/>
        <v>4</v>
      </c>
      <c r="I1837" t="str">
        <f t="shared" si="221"/>
        <v>Wednesday</v>
      </c>
      <c r="L1837">
        <f t="shared" si="224"/>
        <v>0</v>
      </c>
    </row>
    <row r="1838" spans="1:12" x14ac:dyDescent="0.25">
      <c r="A1838">
        <v>173118928</v>
      </c>
      <c r="B1838" s="1">
        <v>45042</v>
      </c>
      <c r="C1838" s="1">
        <v>45079</v>
      </c>
      <c r="D1838" t="s">
        <v>7</v>
      </c>
      <c r="E1838">
        <v>39</v>
      </c>
      <c r="F1838" t="s">
        <v>6</v>
      </c>
      <c r="G1838" s="8">
        <f t="shared" si="222"/>
        <v>37</v>
      </c>
      <c r="H1838">
        <f t="shared" si="223"/>
        <v>4</v>
      </c>
      <c r="I1838" t="str">
        <f t="shared" si="221"/>
        <v>Wednesday</v>
      </c>
      <c r="L1838">
        <f t="shared" si="224"/>
        <v>0</v>
      </c>
    </row>
    <row r="1839" spans="1:12" x14ac:dyDescent="0.25">
      <c r="A1839">
        <v>214410106</v>
      </c>
      <c r="B1839" s="1">
        <v>45042</v>
      </c>
      <c r="C1839" s="1">
        <v>45063</v>
      </c>
      <c r="D1839" t="s">
        <v>7</v>
      </c>
      <c r="E1839">
        <v>39</v>
      </c>
      <c r="F1839" t="s">
        <v>6</v>
      </c>
      <c r="G1839" s="8">
        <f t="shared" si="222"/>
        <v>21</v>
      </c>
      <c r="H1839">
        <f t="shared" si="223"/>
        <v>4</v>
      </c>
      <c r="I1839" t="str">
        <f t="shared" si="221"/>
        <v>Wednesday</v>
      </c>
      <c r="L1839">
        <f t="shared" si="224"/>
        <v>0</v>
      </c>
    </row>
    <row r="1840" spans="1:12" x14ac:dyDescent="0.25">
      <c r="A1840">
        <v>214093520</v>
      </c>
      <c r="B1840" s="1">
        <v>45042</v>
      </c>
      <c r="C1840" s="1">
        <v>45070</v>
      </c>
      <c r="D1840" t="s">
        <v>7</v>
      </c>
      <c r="E1840">
        <v>39</v>
      </c>
      <c r="F1840" t="s">
        <v>6</v>
      </c>
      <c r="G1840" s="8">
        <f t="shared" si="222"/>
        <v>28</v>
      </c>
      <c r="H1840">
        <f t="shared" si="223"/>
        <v>4</v>
      </c>
      <c r="I1840" t="str">
        <f t="shared" si="221"/>
        <v>Wednesday</v>
      </c>
      <c r="L1840">
        <f t="shared" si="224"/>
        <v>0</v>
      </c>
    </row>
    <row r="1841" spans="1:12" x14ac:dyDescent="0.25">
      <c r="A1841">
        <v>214441521</v>
      </c>
      <c r="B1841" s="1">
        <v>45042</v>
      </c>
      <c r="C1841" s="1">
        <v>45070</v>
      </c>
      <c r="D1841" t="s">
        <v>7</v>
      </c>
      <c r="E1841">
        <v>39</v>
      </c>
      <c r="F1841" t="s">
        <v>6</v>
      </c>
      <c r="G1841" s="8">
        <f t="shared" si="222"/>
        <v>28</v>
      </c>
      <c r="H1841">
        <f t="shared" si="223"/>
        <v>4</v>
      </c>
      <c r="I1841" t="str">
        <f t="shared" si="221"/>
        <v>Wednesday</v>
      </c>
      <c r="L1841">
        <f t="shared" si="224"/>
        <v>0</v>
      </c>
    </row>
    <row r="1842" spans="1:12" x14ac:dyDescent="0.25">
      <c r="A1842">
        <v>214519787</v>
      </c>
      <c r="B1842" s="1">
        <v>45043</v>
      </c>
      <c r="C1842" s="1">
        <f t="shared" ref="C1842:C1843" ca="1" si="230">TODAY()</f>
        <v>45938</v>
      </c>
      <c r="D1842" t="s">
        <v>7</v>
      </c>
      <c r="E1842">
        <v>39</v>
      </c>
      <c r="F1842" t="s">
        <v>6</v>
      </c>
      <c r="G1842" s="8">
        <f t="shared" ca="1" si="222"/>
        <v>895</v>
      </c>
      <c r="H1842">
        <f t="shared" si="223"/>
        <v>5</v>
      </c>
      <c r="I1842" t="str">
        <f t="shared" si="221"/>
        <v>Thursday</v>
      </c>
      <c r="L1842">
        <f t="shared" ca="1" si="224"/>
        <v>0</v>
      </c>
    </row>
    <row r="1843" spans="1:12" x14ac:dyDescent="0.25">
      <c r="A1843">
        <v>213177724</v>
      </c>
      <c r="B1843" s="1">
        <v>45043</v>
      </c>
      <c r="C1843" s="1">
        <f t="shared" ca="1" si="230"/>
        <v>45938</v>
      </c>
      <c r="D1843" t="s">
        <v>7</v>
      </c>
      <c r="E1843">
        <v>39</v>
      </c>
      <c r="F1843" t="s">
        <v>6</v>
      </c>
      <c r="G1843" s="8">
        <f t="shared" ca="1" si="222"/>
        <v>895</v>
      </c>
      <c r="H1843">
        <f t="shared" si="223"/>
        <v>5</v>
      </c>
      <c r="I1843" t="str">
        <f t="shared" si="221"/>
        <v>Thursday</v>
      </c>
      <c r="L1843">
        <f t="shared" ca="1" si="224"/>
        <v>0</v>
      </c>
    </row>
    <row r="1844" spans="1:12" x14ac:dyDescent="0.25">
      <c r="A1844">
        <v>213421956</v>
      </c>
      <c r="B1844" s="1">
        <v>45043</v>
      </c>
      <c r="C1844" s="1">
        <v>45044</v>
      </c>
      <c r="D1844" t="s">
        <v>8</v>
      </c>
      <c r="E1844">
        <v>39</v>
      </c>
      <c r="F1844" t="s">
        <v>6</v>
      </c>
      <c r="G1844" s="8">
        <f t="shared" si="222"/>
        <v>1</v>
      </c>
      <c r="H1844">
        <f t="shared" si="223"/>
        <v>5</v>
      </c>
      <c r="I1844" t="str">
        <f t="shared" si="221"/>
        <v>Thursday</v>
      </c>
      <c r="L1844">
        <f t="shared" si="224"/>
        <v>1</v>
      </c>
    </row>
    <row r="1845" spans="1:12" x14ac:dyDescent="0.25">
      <c r="A1845">
        <v>151094649</v>
      </c>
      <c r="B1845" s="1">
        <v>45043</v>
      </c>
      <c r="C1845" s="1">
        <v>45073</v>
      </c>
      <c r="D1845" t="s">
        <v>7</v>
      </c>
      <c r="E1845">
        <v>39</v>
      </c>
      <c r="F1845" t="s">
        <v>6</v>
      </c>
      <c r="G1845" s="8">
        <f t="shared" si="222"/>
        <v>30</v>
      </c>
      <c r="H1845">
        <f t="shared" si="223"/>
        <v>5</v>
      </c>
      <c r="I1845" t="str">
        <f t="shared" si="221"/>
        <v>Thursday</v>
      </c>
      <c r="L1845">
        <f t="shared" si="224"/>
        <v>0</v>
      </c>
    </row>
    <row r="1846" spans="1:12" x14ac:dyDescent="0.25">
      <c r="A1846">
        <v>160056180</v>
      </c>
      <c r="B1846" s="1">
        <v>45043</v>
      </c>
      <c r="C1846" s="1">
        <v>45074</v>
      </c>
      <c r="D1846" t="s">
        <v>7</v>
      </c>
      <c r="E1846">
        <v>39</v>
      </c>
      <c r="F1846" t="s">
        <v>6</v>
      </c>
      <c r="G1846" s="8">
        <f t="shared" si="222"/>
        <v>31</v>
      </c>
      <c r="H1846">
        <f t="shared" si="223"/>
        <v>5</v>
      </c>
      <c r="I1846" t="str">
        <f t="shared" si="221"/>
        <v>Thursday</v>
      </c>
      <c r="L1846">
        <f t="shared" si="224"/>
        <v>0</v>
      </c>
    </row>
    <row r="1847" spans="1:12" x14ac:dyDescent="0.25">
      <c r="A1847">
        <v>166480898</v>
      </c>
      <c r="B1847" s="1">
        <v>45043</v>
      </c>
      <c r="C1847" s="1">
        <v>45071</v>
      </c>
      <c r="D1847" t="s">
        <v>7</v>
      </c>
      <c r="E1847">
        <v>39</v>
      </c>
      <c r="F1847" t="s">
        <v>6</v>
      </c>
      <c r="G1847" s="8">
        <f t="shared" si="222"/>
        <v>28</v>
      </c>
      <c r="H1847">
        <f t="shared" si="223"/>
        <v>5</v>
      </c>
      <c r="I1847" t="str">
        <f t="shared" si="221"/>
        <v>Thursday</v>
      </c>
      <c r="L1847">
        <f t="shared" si="224"/>
        <v>0</v>
      </c>
    </row>
    <row r="1848" spans="1:12" x14ac:dyDescent="0.25">
      <c r="A1848">
        <v>182085396</v>
      </c>
      <c r="B1848" s="1">
        <v>45043</v>
      </c>
      <c r="C1848" s="1">
        <v>45080</v>
      </c>
      <c r="D1848" t="s">
        <v>7</v>
      </c>
      <c r="E1848">
        <v>39</v>
      </c>
      <c r="F1848" t="s">
        <v>6</v>
      </c>
      <c r="G1848" s="8">
        <f t="shared" si="222"/>
        <v>37</v>
      </c>
      <c r="H1848">
        <f t="shared" si="223"/>
        <v>5</v>
      </c>
      <c r="I1848" t="str">
        <f t="shared" si="221"/>
        <v>Thursday</v>
      </c>
      <c r="L1848">
        <f t="shared" si="224"/>
        <v>0</v>
      </c>
    </row>
    <row r="1849" spans="1:12" x14ac:dyDescent="0.25">
      <c r="A1849">
        <v>214519010</v>
      </c>
      <c r="B1849" s="1">
        <v>45043</v>
      </c>
      <c r="C1849" s="1">
        <v>45074</v>
      </c>
      <c r="D1849" t="s">
        <v>7</v>
      </c>
      <c r="E1849">
        <v>39</v>
      </c>
      <c r="F1849" t="s">
        <v>6</v>
      </c>
      <c r="G1849" s="8">
        <f t="shared" si="222"/>
        <v>31</v>
      </c>
      <c r="H1849">
        <f t="shared" si="223"/>
        <v>5</v>
      </c>
      <c r="I1849" t="str">
        <f t="shared" si="221"/>
        <v>Thursday</v>
      </c>
      <c r="L1849">
        <f t="shared" si="224"/>
        <v>0</v>
      </c>
    </row>
    <row r="1850" spans="1:12" x14ac:dyDescent="0.25">
      <c r="A1850">
        <v>148657735</v>
      </c>
      <c r="B1850" s="1">
        <v>45043</v>
      </c>
      <c r="C1850" s="1">
        <v>45072</v>
      </c>
      <c r="D1850" t="s">
        <v>7</v>
      </c>
      <c r="E1850">
        <v>39</v>
      </c>
      <c r="F1850" t="s">
        <v>6</v>
      </c>
      <c r="G1850" s="8">
        <f t="shared" si="222"/>
        <v>29</v>
      </c>
      <c r="H1850">
        <f t="shared" si="223"/>
        <v>5</v>
      </c>
      <c r="I1850" t="str">
        <f t="shared" si="221"/>
        <v>Thursday</v>
      </c>
      <c r="L1850">
        <f t="shared" si="224"/>
        <v>0</v>
      </c>
    </row>
    <row r="1851" spans="1:12" x14ac:dyDescent="0.25">
      <c r="A1851">
        <v>214555461</v>
      </c>
      <c r="B1851" s="1">
        <v>45044</v>
      </c>
      <c r="C1851" s="1">
        <f t="shared" ref="C1851:C1853" ca="1" si="231">TODAY()</f>
        <v>45938</v>
      </c>
      <c r="D1851" t="s">
        <v>7</v>
      </c>
      <c r="E1851">
        <v>39</v>
      </c>
      <c r="F1851" t="s">
        <v>6</v>
      </c>
      <c r="G1851" s="8">
        <f t="shared" ca="1" si="222"/>
        <v>894</v>
      </c>
      <c r="H1851">
        <f t="shared" si="223"/>
        <v>6</v>
      </c>
      <c r="I1851" t="str">
        <f t="shared" si="221"/>
        <v>Friday</v>
      </c>
      <c r="L1851">
        <f t="shared" ca="1" si="224"/>
        <v>0</v>
      </c>
    </row>
    <row r="1852" spans="1:12" x14ac:dyDescent="0.25">
      <c r="A1852">
        <v>148042512</v>
      </c>
      <c r="B1852" s="1">
        <v>45044</v>
      </c>
      <c r="C1852" s="1">
        <f t="shared" ca="1" si="231"/>
        <v>45938</v>
      </c>
      <c r="D1852" t="s">
        <v>7</v>
      </c>
      <c r="E1852">
        <v>39</v>
      </c>
      <c r="F1852" t="s">
        <v>6</v>
      </c>
      <c r="G1852" s="8">
        <f t="shared" ca="1" si="222"/>
        <v>894</v>
      </c>
      <c r="H1852">
        <f t="shared" si="223"/>
        <v>6</v>
      </c>
      <c r="I1852" t="str">
        <f t="shared" si="221"/>
        <v>Friday</v>
      </c>
      <c r="L1852">
        <f t="shared" ca="1" si="224"/>
        <v>0</v>
      </c>
    </row>
    <row r="1853" spans="1:12" x14ac:dyDescent="0.25">
      <c r="A1853">
        <v>214534717</v>
      </c>
      <c r="B1853" s="1">
        <v>45044</v>
      </c>
      <c r="C1853" s="1">
        <f t="shared" ca="1" si="231"/>
        <v>45938</v>
      </c>
      <c r="D1853" t="s">
        <v>7</v>
      </c>
      <c r="E1853">
        <v>39</v>
      </c>
      <c r="F1853" t="s">
        <v>6</v>
      </c>
      <c r="G1853" s="8">
        <f t="shared" ca="1" si="222"/>
        <v>894</v>
      </c>
      <c r="H1853">
        <f t="shared" si="223"/>
        <v>6</v>
      </c>
      <c r="I1853" t="str">
        <f t="shared" si="221"/>
        <v>Friday</v>
      </c>
      <c r="L1853">
        <f t="shared" ca="1" si="224"/>
        <v>0</v>
      </c>
    </row>
    <row r="1854" spans="1:12" x14ac:dyDescent="0.25">
      <c r="A1854">
        <v>211223610</v>
      </c>
      <c r="B1854" s="1">
        <v>45044</v>
      </c>
      <c r="C1854" s="1">
        <v>45112</v>
      </c>
      <c r="D1854" t="s">
        <v>7</v>
      </c>
      <c r="E1854">
        <v>39</v>
      </c>
      <c r="F1854" t="s">
        <v>6</v>
      </c>
      <c r="G1854" s="8">
        <f t="shared" si="222"/>
        <v>68</v>
      </c>
      <c r="H1854">
        <f t="shared" si="223"/>
        <v>6</v>
      </c>
      <c r="I1854" t="str">
        <f t="shared" si="221"/>
        <v>Friday</v>
      </c>
      <c r="L1854">
        <f t="shared" si="224"/>
        <v>0</v>
      </c>
    </row>
    <row r="1855" spans="1:12" x14ac:dyDescent="0.25">
      <c r="A1855">
        <v>214444866</v>
      </c>
      <c r="B1855" s="1">
        <v>45044</v>
      </c>
      <c r="C1855" s="1">
        <v>45105</v>
      </c>
      <c r="D1855" t="s">
        <v>7</v>
      </c>
      <c r="E1855">
        <v>39</v>
      </c>
      <c r="F1855" t="s">
        <v>6</v>
      </c>
      <c r="G1855" s="8">
        <f t="shared" si="222"/>
        <v>61</v>
      </c>
      <c r="H1855">
        <f t="shared" si="223"/>
        <v>6</v>
      </c>
      <c r="I1855" t="str">
        <f t="shared" si="221"/>
        <v>Friday</v>
      </c>
      <c r="L1855">
        <f t="shared" si="224"/>
        <v>0</v>
      </c>
    </row>
    <row r="1856" spans="1:12" x14ac:dyDescent="0.25">
      <c r="A1856">
        <v>206477826</v>
      </c>
      <c r="B1856" s="1">
        <v>45044</v>
      </c>
      <c r="C1856" s="1">
        <v>45081</v>
      </c>
      <c r="D1856" t="s">
        <v>7</v>
      </c>
      <c r="E1856">
        <v>39</v>
      </c>
      <c r="F1856" t="s">
        <v>6</v>
      </c>
      <c r="G1856" s="8">
        <f t="shared" si="222"/>
        <v>37</v>
      </c>
      <c r="H1856">
        <f t="shared" si="223"/>
        <v>6</v>
      </c>
      <c r="I1856" t="str">
        <f t="shared" si="221"/>
        <v>Friday</v>
      </c>
      <c r="L1856">
        <f t="shared" si="224"/>
        <v>0</v>
      </c>
    </row>
    <row r="1857" spans="1:12" x14ac:dyDescent="0.25">
      <c r="A1857">
        <v>214589440</v>
      </c>
      <c r="B1857" s="1">
        <v>45044</v>
      </c>
      <c r="C1857" s="1">
        <v>45074</v>
      </c>
      <c r="D1857" t="s">
        <v>7</v>
      </c>
      <c r="E1857">
        <v>39</v>
      </c>
      <c r="F1857" t="s">
        <v>6</v>
      </c>
      <c r="G1857" s="8">
        <f t="shared" si="222"/>
        <v>30</v>
      </c>
      <c r="H1857">
        <f t="shared" si="223"/>
        <v>6</v>
      </c>
      <c r="I1857" t="str">
        <f t="shared" si="221"/>
        <v>Friday</v>
      </c>
      <c r="L1857">
        <f t="shared" si="224"/>
        <v>0</v>
      </c>
    </row>
    <row r="1858" spans="1:12" x14ac:dyDescent="0.25">
      <c r="A1858">
        <v>214516527</v>
      </c>
      <c r="B1858" s="1">
        <v>45044</v>
      </c>
      <c r="C1858" s="1">
        <v>45075</v>
      </c>
      <c r="D1858" t="s">
        <v>7</v>
      </c>
      <c r="E1858">
        <v>39</v>
      </c>
      <c r="F1858" t="s">
        <v>6</v>
      </c>
      <c r="G1858" s="8">
        <f t="shared" si="222"/>
        <v>31</v>
      </c>
      <c r="H1858">
        <f t="shared" si="223"/>
        <v>6</v>
      </c>
      <c r="I1858" t="str">
        <f t="shared" ref="I1858:I1921" si="232">TEXT(B1858,"DDDD")</f>
        <v>Friday</v>
      </c>
      <c r="L1858">
        <f t="shared" si="224"/>
        <v>0</v>
      </c>
    </row>
    <row r="1859" spans="1:12" x14ac:dyDescent="0.25">
      <c r="A1859">
        <v>158980862</v>
      </c>
      <c r="B1859" s="1">
        <v>45044</v>
      </c>
      <c r="C1859" s="1">
        <v>45063</v>
      </c>
      <c r="D1859" t="s">
        <v>7</v>
      </c>
      <c r="E1859">
        <v>39</v>
      </c>
      <c r="F1859" t="s">
        <v>6</v>
      </c>
      <c r="G1859" s="8">
        <f t="shared" ref="G1859:G1922" si="233">IFERROR(DATEDIF(B1859,C1859,"D"),"0")</f>
        <v>19</v>
      </c>
      <c r="H1859">
        <f t="shared" ref="H1859:H1922" si="234">WEEKDAY(B1859,1)</f>
        <v>6</v>
      </c>
      <c r="I1859" t="str">
        <f t="shared" si="232"/>
        <v>Friday</v>
      </c>
      <c r="L1859">
        <f t="shared" ref="L1859:L1922" si="235">IF( OR($G1859=0,$G1859 = 1, $G1859 = 2), 1, 0 )</f>
        <v>0</v>
      </c>
    </row>
    <row r="1860" spans="1:12" x14ac:dyDescent="0.25">
      <c r="A1860">
        <v>144769275</v>
      </c>
      <c r="B1860" s="1">
        <v>45044</v>
      </c>
      <c r="C1860" s="1">
        <v>45044</v>
      </c>
      <c r="D1860" t="s">
        <v>7</v>
      </c>
      <c r="E1860">
        <v>39</v>
      </c>
      <c r="F1860" t="s">
        <v>6</v>
      </c>
      <c r="G1860" s="8">
        <f t="shared" si="233"/>
        <v>0</v>
      </c>
      <c r="H1860">
        <f t="shared" si="234"/>
        <v>6</v>
      </c>
      <c r="I1860" t="str">
        <f t="shared" si="232"/>
        <v>Friday</v>
      </c>
      <c r="L1860">
        <f t="shared" si="235"/>
        <v>1</v>
      </c>
    </row>
    <row r="1861" spans="1:12" x14ac:dyDescent="0.25">
      <c r="A1861">
        <v>214508205</v>
      </c>
      <c r="B1861" s="1">
        <v>45044</v>
      </c>
      <c r="C1861" s="1">
        <v>45111</v>
      </c>
      <c r="D1861" t="s">
        <v>7</v>
      </c>
      <c r="E1861">
        <v>39</v>
      </c>
      <c r="F1861" t="s">
        <v>6</v>
      </c>
      <c r="G1861" s="8">
        <f t="shared" si="233"/>
        <v>67</v>
      </c>
      <c r="H1861">
        <f t="shared" si="234"/>
        <v>6</v>
      </c>
      <c r="I1861" t="str">
        <f t="shared" si="232"/>
        <v>Friday</v>
      </c>
      <c r="L1861">
        <f t="shared" si="235"/>
        <v>0</v>
      </c>
    </row>
    <row r="1862" spans="1:12" x14ac:dyDescent="0.25">
      <c r="A1862">
        <v>156178486</v>
      </c>
      <c r="B1862" s="1">
        <v>45045</v>
      </c>
      <c r="C1862" s="1">
        <f t="shared" ref="C1862" ca="1" si="236">TODAY()</f>
        <v>45938</v>
      </c>
      <c r="D1862" t="s">
        <v>7</v>
      </c>
      <c r="E1862">
        <v>39</v>
      </c>
      <c r="F1862" t="s">
        <v>6</v>
      </c>
      <c r="G1862" s="8">
        <f t="shared" ca="1" si="233"/>
        <v>893</v>
      </c>
      <c r="H1862">
        <f t="shared" si="234"/>
        <v>7</v>
      </c>
      <c r="I1862" t="str">
        <f t="shared" si="232"/>
        <v>Saturday</v>
      </c>
      <c r="L1862">
        <f t="shared" ca="1" si="235"/>
        <v>0</v>
      </c>
    </row>
    <row r="1863" spans="1:12" x14ac:dyDescent="0.25">
      <c r="A1863">
        <v>214584458</v>
      </c>
      <c r="B1863" s="1">
        <v>45045</v>
      </c>
      <c r="C1863" s="1">
        <v>45127</v>
      </c>
      <c r="D1863" t="s">
        <v>7</v>
      </c>
      <c r="E1863">
        <v>39</v>
      </c>
      <c r="F1863" t="s">
        <v>6</v>
      </c>
      <c r="G1863" s="8">
        <f t="shared" si="233"/>
        <v>82</v>
      </c>
      <c r="H1863">
        <f t="shared" si="234"/>
        <v>7</v>
      </c>
      <c r="I1863" t="str">
        <f t="shared" si="232"/>
        <v>Saturday</v>
      </c>
      <c r="L1863">
        <f t="shared" si="235"/>
        <v>0</v>
      </c>
    </row>
    <row r="1864" spans="1:12" x14ac:dyDescent="0.25">
      <c r="A1864">
        <v>181935574</v>
      </c>
      <c r="B1864" s="1">
        <v>45046</v>
      </c>
      <c r="C1864" s="1">
        <f t="shared" ref="C1864" ca="1" si="237">TODAY()</f>
        <v>45938</v>
      </c>
      <c r="D1864" t="s">
        <v>7</v>
      </c>
      <c r="E1864">
        <v>39</v>
      </c>
      <c r="F1864" t="s">
        <v>6</v>
      </c>
      <c r="G1864" s="8">
        <f t="shared" ca="1" si="233"/>
        <v>892</v>
      </c>
      <c r="H1864">
        <f t="shared" si="234"/>
        <v>1</v>
      </c>
      <c r="I1864" t="str">
        <f t="shared" si="232"/>
        <v>Sunday</v>
      </c>
      <c r="L1864">
        <f t="shared" ca="1" si="235"/>
        <v>0</v>
      </c>
    </row>
    <row r="1865" spans="1:12" x14ac:dyDescent="0.25">
      <c r="A1865">
        <v>153006404</v>
      </c>
      <c r="B1865" s="1">
        <v>45046</v>
      </c>
      <c r="C1865" s="1">
        <v>45066</v>
      </c>
      <c r="D1865" t="s">
        <v>7</v>
      </c>
      <c r="E1865">
        <v>39</v>
      </c>
      <c r="F1865" t="s">
        <v>6</v>
      </c>
      <c r="G1865" s="8">
        <f t="shared" si="233"/>
        <v>20</v>
      </c>
      <c r="H1865">
        <f t="shared" si="234"/>
        <v>1</v>
      </c>
      <c r="I1865" t="str">
        <f t="shared" si="232"/>
        <v>Sunday</v>
      </c>
      <c r="L1865">
        <f t="shared" si="235"/>
        <v>0</v>
      </c>
    </row>
    <row r="1866" spans="1:12" x14ac:dyDescent="0.25">
      <c r="A1866">
        <v>214423891</v>
      </c>
      <c r="B1866" s="1">
        <v>45046</v>
      </c>
      <c r="C1866" s="1">
        <v>45079</v>
      </c>
      <c r="D1866" t="s">
        <v>7</v>
      </c>
      <c r="E1866">
        <v>39</v>
      </c>
      <c r="F1866" t="s">
        <v>6</v>
      </c>
      <c r="G1866" s="8">
        <f t="shared" si="233"/>
        <v>33</v>
      </c>
      <c r="H1866">
        <f t="shared" si="234"/>
        <v>1</v>
      </c>
      <c r="I1866" t="str">
        <f t="shared" si="232"/>
        <v>Sunday</v>
      </c>
      <c r="L1866">
        <f t="shared" si="235"/>
        <v>0</v>
      </c>
    </row>
    <row r="1867" spans="1:12" x14ac:dyDescent="0.25">
      <c r="A1867">
        <v>214510838</v>
      </c>
      <c r="B1867" s="1">
        <v>45046</v>
      </c>
      <c r="C1867" s="1">
        <v>45083</v>
      </c>
      <c r="D1867" t="s">
        <v>7</v>
      </c>
      <c r="E1867">
        <v>39</v>
      </c>
      <c r="F1867" t="s">
        <v>6</v>
      </c>
      <c r="G1867" s="8">
        <f t="shared" si="233"/>
        <v>37</v>
      </c>
      <c r="H1867">
        <f t="shared" si="234"/>
        <v>1</v>
      </c>
      <c r="I1867" t="str">
        <f t="shared" si="232"/>
        <v>Sunday</v>
      </c>
      <c r="L1867">
        <f t="shared" si="235"/>
        <v>0</v>
      </c>
    </row>
    <row r="1868" spans="1:12" x14ac:dyDescent="0.25">
      <c r="A1868">
        <v>211383216</v>
      </c>
      <c r="B1868" s="1">
        <v>45046</v>
      </c>
      <c r="C1868" s="1">
        <v>45048</v>
      </c>
      <c r="D1868" t="s">
        <v>7</v>
      </c>
      <c r="E1868">
        <v>39</v>
      </c>
      <c r="F1868" t="s">
        <v>6</v>
      </c>
      <c r="G1868" s="8">
        <f t="shared" si="233"/>
        <v>2</v>
      </c>
      <c r="H1868">
        <f t="shared" si="234"/>
        <v>1</v>
      </c>
      <c r="I1868" t="str">
        <f t="shared" si="232"/>
        <v>Sunday</v>
      </c>
      <c r="L1868">
        <f t="shared" si="235"/>
        <v>1</v>
      </c>
    </row>
    <row r="1869" spans="1:12" x14ac:dyDescent="0.25">
      <c r="A1869">
        <v>214641741</v>
      </c>
      <c r="B1869" s="1">
        <v>45046</v>
      </c>
      <c r="C1869" s="1">
        <v>45047</v>
      </c>
      <c r="D1869" t="s">
        <v>7</v>
      </c>
      <c r="E1869">
        <v>39</v>
      </c>
      <c r="F1869" t="s">
        <v>6</v>
      </c>
      <c r="G1869" s="8">
        <f t="shared" si="233"/>
        <v>1</v>
      </c>
      <c r="H1869">
        <f t="shared" si="234"/>
        <v>1</v>
      </c>
      <c r="I1869" t="str">
        <f t="shared" si="232"/>
        <v>Sunday</v>
      </c>
      <c r="L1869">
        <f t="shared" si="235"/>
        <v>1</v>
      </c>
    </row>
    <row r="1870" spans="1:12" x14ac:dyDescent="0.25">
      <c r="A1870">
        <v>214643362</v>
      </c>
      <c r="B1870" s="1">
        <v>45046</v>
      </c>
      <c r="C1870" s="1">
        <v>45107</v>
      </c>
      <c r="D1870" t="s">
        <v>7</v>
      </c>
      <c r="E1870">
        <v>39</v>
      </c>
      <c r="F1870" t="s">
        <v>6</v>
      </c>
      <c r="G1870" s="8">
        <f t="shared" si="233"/>
        <v>61</v>
      </c>
      <c r="H1870">
        <f t="shared" si="234"/>
        <v>1</v>
      </c>
      <c r="I1870" t="str">
        <f t="shared" si="232"/>
        <v>Sunday</v>
      </c>
      <c r="L1870">
        <f t="shared" si="235"/>
        <v>0</v>
      </c>
    </row>
    <row r="1871" spans="1:12" x14ac:dyDescent="0.25">
      <c r="A1871">
        <v>214419772</v>
      </c>
      <c r="B1871" s="1">
        <v>45047</v>
      </c>
      <c r="C1871" s="1">
        <f t="shared" ref="C1871:C1873" ca="1" si="238">TODAY()</f>
        <v>45938</v>
      </c>
      <c r="D1871" t="s">
        <v>7</v>
      </c>
      <c r="E1871">
        <v>39</v>
      </c>
      <c r="F1871" t="s">
        <v>6</v>
      </c>
      <c r="G1871" s="8">
        <f t="shared" ca="1" si="233"/>
        <v>891</v>
      </c>
      <c r="H1871">
        <f t="shared" si="234"/>
        <v>2</v>
      </c>
      <c r="I1871" t="str">
        <f t="shared" si="232"/>
        <v>Monday</v>
      </c>
      <c r="L1871">
        <f t="shared" ca="1" si="235"/>
        <v>0</v>
      </c>
    </row>
    <row r="1872" spans="1:12" x14ac:dyDescent="0.25">
      <c r="A1872">
        <v>213227787</v>
      </c>
      <c r="B1872" s="1">
        <v>45047</v>
      </c>
      <c r="C1872" s="1">
        <f t="shared" ca="1" si="238"/>
        <v>45938</v>
      </c>
      <c r="D1872" t="s">
        <v>7</v>
      </c>
      <c r="E1872">
        <v>39</v>
      </c>
      <c r="F1872" t="s">
        <v>6</v>
      </c>
      <c r="G1872" s="8">
        <f t="shared" ca="1" si="233"/>
        <v>891</v>
      </c>
      <c r="H1872">
        <f t="shared" si="234"/>
        <v>2</v>
      </c>
      <c r="I1872" t="str">
        <f t="shared" si="232"/>
        <v>Monday</v>
      </c>
      <c r="L1872">
        <f t="shared" ca="1" si="235"/>
        <v>0</v>
      </c>
    </row>
    <row r="1873" spans="1:12" x14ac:dyDescent="0.25">
      <c r="A1873">
        <v>214666572</v>
      </c>
      <c r="B1873" s="1">
        <v>45047</v>
      </c>
      <c r="C1873" s="1">
        <f t="shared" ca="1" si="238"/>
        <v>45938</v>
      </c>
      <c r="D1873" t="s">
        <v>7</v>
      </c>
      <c r="E1873">
        <v>39</v>
      </c>
      <c r="F1873" t="s">
        <v>6</v>
      </c>
      <c r="G1873" s="8">
        <f t="shared" ca="1" si="233"/>
        <v>891</v>
      </c>
      <c r="H1873">
        <f t="shared" si="234"/>
        <v>2</v>
      </c>
      <c r="I1873" t="str">
        <f t="shared" si="232"/>
        <v>Monday</v>
      </c>
      <c r="L1873">
        <f t="shared" ca="1" si="235"/>
        <v>0</v>
      </c>
    </row>
    <row r="1874" spans="1:12" x14ac:dyDescent="0.25">
      <c r="A1874">
        <v>126780716</v>
      </c>
      <c r="B1874" s="1">
        <v>45047</v>
      </c>
      <c r="C1874" s="1">
        <v>45078</v>
      </c>
      <c r="D1874" t="s">
        <v>7</v>
      </c>
      <c r="E1874">
        <v>39</v>
      </c>
      <c r="F1874" t="s">
        <v>6</v>
      </c>
      <c r="G1874" s="8">
        <f t="shared" si="233"/>
        <v>31</v>
      </c>
      <c r="H1874">
        <f t="shared" si="234"/>
        <v>2</v>
      </c>
      <c r="I1874" t="str">
        <f t="shared" si="232"/>
        <v>Monday</v>
      </c>
      <c r="L1874">
        <f t="shared" si="235"/>
        <v>0</v>
      </c>
    </row>
    <row r="1875" spans="1:12" x14ac:dyDescent="0.25">
      <c r="A1875">
        <v>214682826</v>
      </c>
      <c r="B1875" s="1">
        <v>45047</v>
      </c>
      <c r="C1875" s="1">
        <v>45078</v>
      </c>
      <c r="D1875" t="s">
        <v>7</v>
      </c>
      <c r="E1875">
        <v>39</v>
      </c>
      <c r="F1875" t="s">
        <v>6</v>
      </c>
      <c r="G1875" s="8">
        <f t="shared" si="233"/>
        <v>31</v>
      </c>
      <c r="H1875">
        <f t="shared" si="234"/>
        <v>2</v>
      </c>
      <c r="I1875" t="str">
        <f t="shared" si="232"/>
        <v>Monday</v>
      </c>
      <c r="L1875">
        <f t="shared" si="235"/>
        <v>0</v>
      </c>
    </row>
    <row r="1876" spans="1:12" x14ac:dyDescent="0.25">
      <c r="A1876">
        <v>212392663</v>
      </c>
      <c r="B1876" s="1">
        <v>45047</v>
      </c>
      <c r="C1876" s="1">
        <v>45070</v>
      </c>
      <c r="D1876" t="s">
        <v>7</v>
      </c>
      <c r="E1876">
        <v>39</v>
      </c>
      <c r="F1876" t="s">
        <v>6</v>
      </c>
      <c r="G1876" s="8">
        <f t="shared" si="233"/>
        <v>23</v>
      </c>
      <c r="H1876">
        <f t="shared" si="234"/>
        <v>2</v>
      </c>
      <c r="I1876" t="str">
        <f t="shared" si="232"/>
        <v>Monday</v>
      </c>
      <c r="L1876">
        <f t="shared" si="235"/>
        <v>0</v>
      </c>
    </row>
    <row r="1877" spans="1:12" x14ac:dyDescent="0.25">
      <c r="A1877">
        <v>147118133</v>
      </c>
      <c r="B1877" s="1">
        <v>45047</v>
      </c>
      <c r="C1877" s="1">
        <v>45146</v>
      </c>
      <c r="D1877" t="s">
        <v>7</v>
      </c>
      <c r="E1877">
        <v>39</v>
      </c>
      <c r="F1877" t="s">
        <v>6</v>
      </c>
      <c r="G1877" s="8">
        <f t="shared" si="233"/>
        <v>99</v>
      </c>
      <c r="H1877">
        <f t="shared" si="234"/>
        <v>2</v>
      </c>
      <c r="I1877" t="str">
        <f t="shared" si="232"/>
        <v>Monday</v>
      </c>
      <c r="L1877">
        <f t="shared" si="235"/>
        <v>0</v>
      </c>
    </row>
    <row r="1878" spans="1:12" x14ac:dyDescent="0.25">
      <c r="A1878">
        <v>157031617</v>
      </c>
      <c r="B1878" s="1">
        <v>45048</v>
      </c>
      <c r="C1878" s="1">
        <f t="shared" ref="C1878:C1881" ca="1" si="239">TODAY()</f>
        <v>45938</v>
      </c>
      <c r="D1878" t="s">
        <v>7</v>
      </c>
      <c r="E1878">
        <v>39</v>
      </c>
      <c r="F1878" t="s">
        <v>6</v>
      </c>
      <c r="G1878" s="8">
        <f t="shared" ca="1" si="233"/>
        <v>890</v>
      </c>
      <c r="H1878">
        <f t="shared" si="234"/>
        <v>3</v>
      </c>
      <c r="I1878" t="str">
        <f t="shared" si="232"/>
        <v>Tuesday</v>
      </c>
      <c r="L1878">
        <f t="shared" ca="1" si="235"/>
        <v>0</v>
      </c>
    </row>
    <row r="1879" spans="1:12" x14ac:dyDescent="0.25">
      <c r="A1879">
        <v>211958379</v>
      </c>
      <c r="B1879" s="1">
        <v>45048</v>
      </c>
      <c r="C1879" s="1">
        <f t="shared" ca="1" si="239"/>
        <v>45938</v>
      </c>
      <c r="D1879" t="s">
        <v>7</v>
      </c>
      <c r="E1879">
        <v>39</v>
      </c>
      <c r="F1879" t="s">
        <v>6</v>
      </c>
      <c r="G1879" s="8">
        <f t="shared" ca="1" si="233"/>
        <v>890</v>
      </c>
      <c r="H1879">
        <f t="shared" si="234"/>
        <v>3</v>
      </c>
      <c r="I1879" t="str">
        <f t="shared" si="232"/>
        <v>Tuesday</v>
      </c>
      <c r="L1879">
        <f t="shared" ca="1" si="235"/>
        <v>0</v>
      </c>
    </row>
    <row r="1880" spans="1:12" x14ac:dyDescent="0.25">
      <c r="A1880">
        <v>152310842</v>
      </c>
      <c r="B1880" s="1">
        <v>45048</v>
      </c>
      <c r="C1880" s="1">
        <f t="shared" ca="1" si="239"/>
        <v>45938</v>
      </c>
      <c r="D1880" t="s">
        <v>7</v>
      </c>
      <c r="E1880">
        <v>39</v>
      </c>
      <c r="F1880" t="s">
        <v>6</v>
      </c>
      <c r="G1880" s="8">
        <f t="shared" ca="1" si="233"/>
        <v>890</v>
      </c>
      <c r="H1880">
        <f t="shared" si="234"/>
        <v>3</v>
      </c>
      <c r="I1880" t="str">
        <f t="shared" si="232"/>
        <v>Tuesday</v>
      </c>
      <c r="L1880">
        <f t="shared" ca="1" si="235"/>
        <v>0</v>
      </c>
    </row>
    <row r="1881" spans="1:12" x14ac:dyDescent="0.25">
      <c r="A1881">
        <v>214711907</v>
      </c>
      <c r="B1881" s="1">
        <v>45048</v>
      </c>
      <c r="C1881" s="1">
        <f t="shared" ca="1" si="239"/>
        <v>45938</v>
      </c>
      <c r="D1881" t="s">
        <v>7</v>
      </c>
      <c r="E1881">
        <v>39</v>
      </c>
      <c r="F1881" t="s">
        <v>6</v>
      </c>
      <c r="G1881" s="8">
        <f t="shared" ca="1" si="233"/>
        <v>890</v>
      </c>
      <c r="H1881">
        <f t="shared" si="234"/>
        <v>3</v>
      </c>
      <c r="I1881" t="str">
        <f t="shared" si="232"/>
        <v>Tuesday</v>
      </c>
      <c r="L1881">
        <f t="shared" ca="1" si="235"/>
        <v>0</v>
      </c>
    </row>
    <row r="1882" spans="1:12" x14ac:dyDescent="0.25">
      <c r="A1882">
        <v>150342446</v>
      </c>
      <c r="B1882" s="1">
        <v>45048</v>
      </c>
      <c r="C1882" s="1">
        <v>45049</v>
      </c>
      <c r="D1882" t="s">
        <v>7</v>
      </c>
      <c r="E1882">
        <v>39</v>
      </c>
      <c r="F1882" t="s">
        <v>6</v>
      </c>
      <c r="G1882" s="8">
        <f t="shared" si="233"/>
        <v>1</v>
      </c>
      <c r="H1882">
        <f t="shared" si="234"/>
        <v>3</v>
      </c>
      <c r="I1882" t="str">
        <f t="shared" si="232"/>
        <v>Tuesday</v>
      </c>
      <c r="L1882">
        <f t="shared" si="235"/>
        <v>1</v>
      </c>
    </row>
    <row r="1883" spans="1:12" x14ac:dyDescent="0.25">
      <c r="A1883">
        <v>214741130</v>
      </c>
      <c r="B1883" s="1">
        <v>45048</v>
      </c>
      <c r="C1883" s="1">
        <v>45116</v>
      </c>
      <c r="D1883" t="s">
        <v>7</v>
      </c>
      <c r="E1883">
        <v>39</v>
      </c>
      <c r="F1883" t="s">
        <v>6</v>
      </c>
      <c r="G1883" s="8">
        <f t="shared" si="233"/>
        <v>68</v>
      </c>
      <c r="H1883">
        <f t="shared" si="234"/>
        <v>3</v>
      </c>
      <c r="I1883" t="str">
        <f t="shared" si="232"/>
        <v>Tuesday</v>
      </c>
      <c r="L1883">
        <f t="shared" si="235"/>
        <v>0</v>
      </c>
    </row>
    <row r="1884" spans="1:12" x14ac:dyDescent="0.25">
      <c r="A1884">
        <v>214734037</v>
      </c>
      <c r="B1884" s="1">
        <v>45048</v>
      </c>
      <c r="C1884" s="1">
        <v>45096</v>
      </c>
      <c r="D1884" t="s">
        <v>7</v>
      </c>
      <c r="E1884">
        <v>39</v>
      </c>
      <c r="F1884" t="s">
        <v>6</v>
      </c>
      <c r="G1884" s="8">
        <f t="shared" si="233"/>
        <v>48</v>
      </c>
      <c r="H1884">
        <f t="shared" si="234"/>
        <v>3</v>
      </c>
      <c r="I1884" t="str">
        <f t="shared" si="232"/>
        <v>Tuesday</v>
      </c>
      <c r="L1884">
        <f t="shared" si="235"/>
        <v>0</v>
      </c>
    </row>
    <row r="1885" spans="1:12" x14ac:dyDescent="0.25">
      <c r="A1885">
        <v>214500293</v>
      </c>
      <c r="B1885" s="1">
        <v>45048</v>
      </c>
      <c r="C1885" s="1">
        <v>45083</v>
      </c>
      <c r="D1885" t="s">
        <v>7</v>
      </c>
      <c r="E1885">
        <v>39</v>
      </c>
      <c r="F1885" t="s">
        <v>6</v>
      </c>
      <c r="G1885" s="8">
        <f t="shared" si="233"/>
        <v>35</v>
      </c>
      <c r="H1885">
        <f t="shared" si="234"/>
        <v>3</v>
      </c>
      <c r="I1885" t="str">
        <f t="shared" si="232"/>
        <v>Tuesday</v>
      </c>
      <c r="L1885">
        <f t="shared" si="235"/>
        <v>0</v>
      </c>
    </row>
    <row r="1886" spans="1:12" x14ac:dyDescent="0.25">
      <c r="A1886">
        <v>214587827</v>
      </c>
      <c r="B1886" s="1">
        <v>45048</v>
      </c>
      <c r="C1886" s="1">
        <v>45139</v>
      </c>
      <c r="D1886" t="s">
        <v>7</v>
      </c>
      <c r="E1886">
        <v>39</v>
      </c>
      <c r="F1886" t="s">
        <v>6</v>
      </c>
      <c r="G1886" s="8">
        <f t="shared" si="233"/>
        <v>91</v>
      </c>
      <c r="H1886">
        <f t="shared" si="234"/>
        <v>3</v>
      </c>
      <c r="I1886" t="str">
        <f t="shared" si="232"/>
        <v>Tuesday</v>
      </c>
      <c r="L1886">
        <f t="shared" si="235"/>
        <v>0</v>
      </c>
    </row>
    <row r="1887" spans="1:12" x14ac:dyDescent="0.25">
      <c r="A1887">
        <v>214739055</v>
      </c>
      <c r="B1887" s="1">
        <v>45048</v>
      </c>
      <c r="C1887" s="1">
        <v>45147</v>
      </c>
      <c r="D1887" t="s">
        <v>7</v>
      </c>
      <c r="E1887">
        <v>39</v>
      </c>
      <c r="F1887" t="s">
        <v>6</v>
      </c>
      <c r="G1887" s="8">
        <f t="shared" si="233"/>
        <v>99</v>
      </c>
      <c r="H1887">
        <f t="shared" si="234"/>
        <v>3</v>
      </c>
      <c r="I1887" t="str">
        <f t="shared" si="232"/>
        <v>Tuesday</v>
      </c>
      <c r="L1887">
        <f t="shared" si="235"/>
        <v>0</v>
      </c>
    </row>
    <row r="1888" spans="1:12" x14ac:dyDescent="0.25">
      <c r="A1888">
        <v>163103693</v>
      </c>
      <c r="B1888" s="1">
        <v>45048</v>
      </c>
      <c r="C1888" s="1">
        <v>45160</v>
      </c>
      <c r="D1888" t="s">
        <v>7</v>
      </c>
      <c r="E1888">
        <v>39</v>
      </c>
      <c r="F1888" t="s">
        <v>6</v>
      </c>
      <c r="G1888" s="8">
        <f t="shared" si="233"/>
        <v>112</v>
      </c>
      <c r="H1888">
        <f t="shared" si="234"/>
        <v>3</v>
      </c>
      <c r="I1888" t="str">
        <f t="shared" si="232"/>
        <v>Tuesday</v>
      </c>
      <c r="L1888">
        <f t="shared" si="235"/>
        <v>0</v>
      </c>
    </row>
    <row r="1889" spans="1:12" x14ac:dyDescent="0.25">
      <c r="A1889">
        <v>214483378</v>
      </c>
      <c r="B1889" s="1">
        <v>45049</v>
      </c>
      <c r="C1889" s="1">
        <f t="shared" ref="C1889:C1890" ca="1" si="240">TODAY()</f>
        <v>45938</v>
      </c>
      <c r="D1889" t="s">
        <v>7</v>
      </c>
      <c r="E1889">
        <v>39</v>
      </c>
      <c r="F1889" t="s">
        <v>6</v>
      </c>
      <c r="G1889" s="8">
        <f t="shared" ca="1" si="233"/>
        <v>889</v>
      </c>
      <c r="H1889">
        <f t="shared" si="234"/>
        <v>4</v>
      </c>
      <c r="I1889" t="str">
        <f t="shared" si="232"/>
        <v>Wednesday</v>
      </c>
      <c r="L1889">
        <f t="shared" ca="1" si="235"/>
        <v>0</v>
      </c>
    </row>
    <row r="1890" spans="1:12" x14ac:dyDescent="0.25">
      <c r="A1890">
        <v>157883110</v>
      </c>
      <c r="B1890" s="1">
        <v>45049</v>
      </c>
      <c r="C1890" s="1">
        <f t="shared" ca="1" si="240"/>
        <v>45938</v>
      </c>
      <c r="D1890" t="s">
        <v>7</v>
      </c>
      <c r="E1890">
        <v>39</v>
      </c>
      <c r="F1890" t="s">
        <v>6</v>
      </c>
      <c r="G1890" s="8">
        <f t="shared" ca="1" si="233"/>
        <v>889</v>
      </c>
      <c r="H1890">
        <f t="shared" si="234"/>
        <v>4</v>
      </c>
      <c r="I1890" t="str">
        <f t="shared" si="232"/>
        <v>Wednesday</v>
      </c>
      <c r="L1890">
        <f t="shared" ca="1" si="235"/>
        <v>0</v>
      </c>
    </row>
    <row r="1891" spans="1:12" x14ac:dyDescent="0.25">
      <c r="A1891">
        <v>132424181</v>
      </c>
      <c r="B1891" s="1">
        <v>45049</v>
      </c>
      <c r="C1891" s="1">
        <v>45122</v>
      </c>
      <c r="D1891" t="s">
        <v>7</v>
      </c>
      <c r="E1891">
        <v>39</v>
      </c>
      <c r="F1891" t="s">
        <v>6</v>
      </c>
      <c r="G1891" s="8">
        <f t="shared" si="233"/>
        <v>73</v>
      </c>
      <c r="H1891">
        <f t="shared" si="234"/>
        <v>4</v>
      </c>
      <c r="I1891" t="str">
        <f t="shared" si="232"/>
        <v>Wednesday</v>
      </c>
      <c r="L1891">
        <f t="shared" si="235"/>
        <v>0</v>
      </c>
    </row>
    <row r="1892" spans="1:12" x14ac:dyDescent="0.25">
      <c r="A1892">
        <v>214805206</v>
      </c>
      <c r="B1892" s="1">
        <v>45049</v>
      </c>
      <c r="C1892" s="1">
        <v>45097</v>
      </c>
      <c r="D1892" t="s">
        <v>7</v>
      </c>
      <c r="E1892">
        <v>39</v>
      </c>
      <c r="F1892" t="s">
        <v>6</v>
      </c>
      <c r="G1892" s="8">
        <f t="shared" si="233"/>
        <v>48</v>
      </c>
      <c r="H1892">
        <f t="shared" si="234"/>
        <v>4</v>
      </c>
      <c r="I1892" t="str">
        <f t="shared" si="232"/>
        <v>Wednesday</v>
      </c>
      <c r="L1892">
        <f t="shared" si="235"/>
        <v>0</v>
      </c>
    </row>
    <row r="1893" spans="1:12" x14ac:dyDescent="0.25">
      <c r="A1893">
        <v>214641940</v>
      </c>
      <c r="B1893" s="1">
        <v>45049</v>
      </c>
      <c r="C1893" s="1">
        <v>45087</v>
      </c>
      <c r="D1893" t="s">
        <v>7</v>
      </c>
      <c r="E1893">
        <v>39</v>
      </c>
      <c r="F1893" t="s">
        <v>6</v>
      </c>
      <c r="G1893" s="8">
        <f t="shared" si="233"/>
        <v>38</v>
      </c>
      <c r="H1893">
        <f t="shared" si="234"/>
        <v>4</v>
      </c>
      <c r="I1893" t="str">
        <f t="shared" si="232"/>
        <v>Wednesday</v>
      </c>
      <c r="L1893">
        <f t="shared" si="235"/>
        <v>0</v>
      </c>
    </row>
    <row r="1894" spans="1:12" x14ac:dyDescent="0.25">
      <c r="A1894">
        <v>206112289</v>
      </c>
      <c r="B1894" s="1">
        <v>45049</v>
      </c>
      <c r="C1894" s="1">
        <v>45089</v>
      </c>
      <c r="D1894" t="s">
        <v>7</v>
      </c>
      <c r="E1894">
        <v>39</v>
      </c>
      <c r="F1894" t="s">
        <v>6</v>
      </c>
      <c r="G1894" s="8">
        <f t="shared" si="233"/>
        <v>40</v>
      </c>
      <c r="H1894">
        <f t="shared" si="234"/>
        <v>4</v>
      </c>
      <c r="I1894" t="str">
        <f t="shared" si="232"/>
        <v>Wednesday</v>
      </c>
      <c r="L1894">
        <f t="shared" si="235"/>
        <v>0</v>
      </c>
    </row>
    <row r="1895" spans="1:12" x14ac:dyDescent="0.25">
      <c r="A1895">
        <v>214781323</v>
      </c>
      <c r="B1895" s="1">
        <v>45049</v>
      </c>
      <c r="C1895" s="1">
        <v>45070</v>
      </c>
      <c r="D1895" t="s">
        <v>7</v>
      </c>
      <c r="E1895">
        <v>39</v>
      </c>
      <c r="F1895" t="s">
        <v>6</v>
      </c>
      <c r="G1895" s="8">
        <f t="shared" si="233"/>
        <v>21</v>
      </c>
      <c r="H1895">
        <f t="shared" si="234"/>
        <v>4</v>
      </c>
      <c r="I1895" t="str">
        <f t="shared" si="232"/>
        <v>Wednesday</v>
      </c>
      <c r="L1895">
        <f t="shared" si="235"/>
        <v>0</v>
      </c>
    </row>
    <row r="1896" spans="1:12" x14ac:dyDescent="0.25">
      <c r="A1896">
        <v>214767936</v>
      </c>
      <c r="B1896" s="1">
        <v>45049</v>
      </c>
      <c r="C1896" s="1">
        <v>45049</v>
      </c>
      <c r="D1896" t="s">
        <v>7</v>
      </c>
      <c r="E1896">
        <v>39</v>
      </c>
      <c r="F1896" t="s">
        <v>6</v>
      </c>
      <c r="G1896" s="8">
        <f t="shared" si="233"/>
        <v>0</v>
      </c>
      <c r="H1896">
        <f t="shared" si="234"/>
        <v>4</v>
      </c>
      <c r="I1896" t="str">
        <f t="shared" si="232"/>
        <v>Wednesday</v>
      </c>
      <c r="L1896">
        <f t="shared" si="235"/>
        <v>1</v>
      </c>
    </row>
    <row r="1897" spans="1:12" x14ac:dyDescent="0.25">
      <c r="A1897">
        <v>182023209</v>
      </c>
      <c r="B1897" s="1">
        <v>45049</v>
      </c>
      <c r="C1897" s="1">
        <v>45060</v>
      </c>
      <c r="D1897" t="s">
        <v>7</v>
      </c>
      <c r="E1897">
        <v>39</v>
      </c>
      <c r="F1897" t="s">
        <v>6</v>
      </c>
      <c r="G1897" s="8">
        <f t="shared" si="233"/>
        <v>11</v>
      </c>
      <c r="H1897">
        <f t="shared" si="234"/>
        <v>4</v>
      </c>
      <c r="I1897" t="str">
        <f t="shared" si="232"/>
        <v>Wednesday</v>
      </c>
      <c r="L1897">
        <f t="shared" si="235"/>
        <v>0</v>
      </c>
    </row>
    <row r="1898" spans="1:12" x14ac:dyDescent="0.25">
      <c r="A1898">
        <v>148513036</v>
      </c>
      <c r="B1898" s="1">
        <v>45050</v>
      </c>
      <c r="C1898" s="1">
        <f t="shared" ref="C1898:C1899" ca="1" si="241">TODAY()</f>
        <v>45938</v>
      </c>
      <c r="D1898" t="s">
        <v>7</v>
      </c>
      <c r="E1898">
        <v>39</v>
      </c>
      <c r="F1898" t="s">
        <v>6</v>
      </c>
      <c r="G1898" s="8">
        <f t="shared" ca="1" si="233"/>
        <v>888</v>
      </c>
      <c r="H1898">
        <f t="shared" si="234"/>
        <v>5</v>
      </c>
      <c r="I1898" t="str">
        <f t="shared" si="232"/>
        <v>Thursday</v>
      </c>
      <c r="L1898">
        <f t="shared" ca="1" si="235"/>
        <v>0</v>
      </c>
    </row>
    <row r="1899" spans="1:12" x14ac:dyDescent="0.25">
      <c r="A1899">
        <v>157910445</v>
      </c>
      <c r="B1899" s="1">
        <v>45050</v>
      </c>
      <c r="C1899" s="1">
        <f t="shared" ca="1" si="241"/>
        <v>45938</v>
      </c>
      <c r="D1899" t="s">
        <v>7</v>
      </c>
      <c r="E1899">
        <v>39</v>
      </c>
      <c r="F1899" t="s">
        <v>6</v>
      </c>
      <c r="G1899" s="8">
        <f t="shared" ca="1" si="233"/>
        <v>888</v>
      </c>
      <c r="H1899">
        <f t="shared" si="234"/>
        <v>5</v>
      </c>
      <c r="I1899" t="str">
        <f t="shared" si="232"/>
        <v>Thursday</v>
      </c>
      <c r="L1899">
        <f t="shared" ca="1" si="235"/>
        <v>0</v>
      </c>
    </row>
    <row r="1900" spans="1:12" x14ac:dyDescent="0.25">
      <c r="A1900">
        <v>213810773</v>
      </c>
      <c r="B1900" s="1">
        <v>45050</v>
      </c>
      <c r="C1900" s="1">
        <v>45174</v>
      </c>
      <c r="D1900" t="s">
        <v>7</v>
      </c>
      <c r="E1900">
        <v>39</v>
      </c>
      <c r="F1900" t="s">
        <v>6</v>
      </c>
      <c r="G1900" s="8">
        <f t="shared" si="233"/>
        <v>124</v>
      </c>
      <c r="H1900">
        <f t="shared" si="234"/>
        <v>5</v>
      </c>
      <c r="I1900" t="str">
        <f t="shared" si="232"/>
        <v>Thursday</v>
      </c>
      <c r="L1900">
        <f t="shared" si="235"/>
        <v>0</v>
      </c>
    </row>
    <row r="1901" spans="1:12" x14ac:dyDescent="0.25">
      <c r="A1901">
        <v>154820233</v>
      </c>
      <c r="B1901" s="1">
        <v>45050</v>
      </c>
      <c r="C1901" s="1">
        <v>45112</v>
      </c>
      <c r="D1901" t="s">
        <v>7</v>
      </c>
      <c r="E1901">
        <v>39</v>
      </c>
      <c r="F1901" t="s">
        <v>6</v>
      </c>
      <c r="G1901" s="8">
        <f t="shared" si="233"/>
        <v>62</v>
      </c>
      <c r="H1901">
        <f t="shared" si="234"/>
        <v>5</v>
      </c>
      <c r="I1901" t="str">
        <f t="shared" si="232"/>
        <v>Thursday</v>
      </c>
      <c r="L1901">
        <f t="shared" si="235"/>
        <v>0</v>
      </c>
    </row>
    <row r="1902" spans="1:12" x14ac:dyDescent="0.25">
      <c r="A1902">
        <v>214248197</v>
      </c>
      <c r="B1902" s="1">
        <v>45050</v>
      </c>
      <c r="C1902" s="1">
        <v>45079</v>
      </c>
      <c r="D1902" t="s">
        <v>7</v>
      </c>
      <c r="E1902">
        <v>39</v>
      </c>
      <c r="F1902" t="s">
        <v>6</v>
      </c>
      <c r="G1902" s="8">
        <f t="shared" si="233"/>
        <v>29</v>
      </c>
      <c r="H1902">
        <f t="shared" si="234"/>
        <v>5</v>
      </c>
      <c r="I1902" t="str">
        <f t="shared" si="232"/>
        <v>Thursday</v>
      </c>
      <c r="L1902">
        <f t="shared" si="235"/>
        <v>0</v>
      </c>
    </row>
    <row r="1903" spans="1:12" x14ac:dyDescent="0.25">
      <c r="A1903">
        <v>214818730</v>
      </c>
      <c r="B1903" s="1">
        <v>45050</v>
      </c>
      <c r="C1903" s="1">
        <v>45078</v>
      </c>
      <c r="D1903" t="s">
        <v>7</v>
      </c>
      <c r="E1903">
        <v>39</v>
      </c>
      <c r="F1903" t="s">
        <v>6</v>
      </c>
      <c r="G1903" s="8">
        <f t="shared" si="233"/>
        <v>28</v>
      </c>
      <c r="H1903">
        <f t="shared" si="234"/>
        <v>5</v>
      </c>
      <c r="I1903" t="str">
        <f t="shared" si="232"/>
        <v>Thursday</v>
      </c>
      <c r="L1903">
        <f t="shared" si="235"/>
        <v>0</v>
      </c>
    </row>
    <row r="1904" spans="1:12" x14ac:dyDescent="0.25">
      <c r="A1904">
        <v>186667733</v>
      </c>
      <c r="B1904" s="1">
        <v>45050</v>
      </c>
      <c r="C1904" s="1">
        <v>45078</v>
      </c>
      <c r="D1904" t="s">
        <v>7</v>
      </c>
      <c r="E1904">
        <v>39</v>
      </c>
      <c r="F1904" t="s">
        <v>6</v>
      </c>
      <c r="G1904" s="8">
        <f t="shared" si="233"/>
        <v>28</v>
      </c>
      <c r="H1904">
        <f t="shared" si="234"/>
        <v>5</v>
      </c>
      <c r="I1904" t="str">
        <f t="shared" si="232"/>
        <v>Thursday</v>
      </c>
      <c r="L1904">
        <f t="shared" si="235"/>
        <v>0</v>
      </c>
    </row>
    <row r="1905" spans="1:12" x14ac:dyDescent="0.25">
      <c r="A1905">
        <v>214901781</v>
      </c>
      <c r="B1905" s="1">
        <v>45051</v>
      </c>
      <c r="C1905" s="1">
        <f t="shared" ref="C1905:C1909" ca="1" si="242">TODAY()</f>
        <v>45938</v>
      </c>
      <c r="D1905" t="s">
        <v>7</v>
      </c>
      <c r="E1905">
        <v>39</v>
      </c>
      <c r="F1905" t="s">
        <v>6</v>
      </c>
      <c r="G1905" s="8">
        <f t="shared" ca="1" si="233"/>
        <v>887</v>
      </c>
      <c r="H1905">
        <f t="shared" si="234"/>
        <v>6</v>
      </c>
      <c r="I1905" t="str">
        <f t="shared" si="232"/>
        <v>Friday</v>
      </c>
      <c r="L1905">
        <f t="shared" ca="1" si="235"/>
        <v>0</v>
      </c>
    </row>
    <row r="1906" spans="1:12" x14ac:dyDescent="0.25">
      <c r="A1906">
        <v>214884589</v>
      </c>
      <c r="B1906" s="1">
        <v>45051</v>
      </c>
      <c r="C1906" s="1">
        <f t="shared" ca="1" si="242"/>
        <v>45938</v>
      </c>
      <c r="D1906" t="s">
        <v>7</v>
      </c>
      <c r="E1906">
        <v>39</v>
      </c>
      <c r="F1906" t="s">
        <v>6</v>
      </c>
      <c r="G1906" s="8">
        <f t="shared" ca="1" si="233"/>
        <v>887</v>
      </c>
      <c r="H1906">
        <f t="shared" si="234"/>
        <v>6</v>
      </c>
      <c r="I1906" t="str">
        <f t="shared" si="232"/>
        <v>Friday</v>
      </c>
      <c r="L1906">
        <f t="shared" ca="1" si="235"/>
        <v>0</v>
      </c>
    </row>
    <row r="1907" spans="1:12" x14ac:dyDescent="0.25">
      <c r="A1907">
        <v>210344586</v>
      </c>
      <c r="B1907" s="1">
        <v>45051</v>
      </c>
      <c r="C1907" s="1">
        <f t="shared" ca="1" si="242"/>
        <v>45938</v>
      </c>
      <c r="D1907" t="s">
        <v>7</v>
      </c>
      <c r="E1907">
        <v>39</v>
      </c>
      <c r="F1907" t="s">
        <v>6</v>
      </c>
      <c r="G1907" s="8">
        <f t="shared" ca="1" si="233"/>
        <v>887</v>
      </c>
      <c r="H1907">
        <f t="shared" si="234"/>
        <v>6</v>
      </c>
      <c r="I1907" t="str">
        <f t="shared" si="232"/>
        <v>Friday</v>
      </c>
      <c r="L1907">
        <f t="shared" ca="1" si="235"/>
        <v>0</v>
      </c>
    </row>
    <row r="1908" spans="1:12" x14ac:dyDescent="0.25">
      <c r="A1908">
        <v>214813191</v>
      </c>
      <c r="B1908" s="1">
        <v>45051</v>
      </c>
      <c r="C1908" s="1">
        <f t="shared" ca="1" si="242"/>
        <v>45938</v>
      </c>
      <c r="D1908" t="s">
        <v>7</v>
      </c>
      <c r="E1908">
        <v>39</v>
      </c>
      <c r="F1908" t="s">
        <v>6</v>
      </c>
      <c r="G1908" s="8">
        <f t="shared" ca="1" si="233"/>
        <v>887</v>
      </c>
      <c r="H1908">
        <f t="shared" si="234"/>
        <v>6</v>
      </c>
      <c r="I1908" t="str">
        <f t="shared" si="232"/>
        <v>Friday</v>
      </c>
      <c r="L1908">
        <f t="shared" ca="1" si="235"/>
        <v>0</v>
      </c>
    </row>
    <row r="1909" spans="1:12" x14ac:dyDescent="0.25">
      <c r="A1909">
        <v>214880602</v>
      </c>
      <c r="B1909" s="1">
        <v>45051</v>
      </c>
      <c r="C1909" s="1">
        <f t="shared" ca="1" si="242"/>
        <v>45938</v>
      </c>
      <c r="D1909" t="s">
        <v>7</v>
      </c>
      <c r="E1909">
        <v>39</v>
      </c>
      <c r="F1909" t="s">
        <v>6</v>
      </c>
      <c r="G1909" s="8">
        <f t="shared" ca="1" si="233"/>
        <v>887</v>
      </c>
      <c r="H1909">
        <f t="shared" si="234"/>
        <v>6</v>
      </c>
      <c r="I1909" t="str">
        <f t="shared" si="232"/>
        <v>Friday</v>
      </c>
      <c r="L1909">
        <f t="shared" ca="1" si="235"/>
        <v>0</v>
      </c>
    </row>
    <row r="1910" spans="1:12" x14ac:dyDescent="0.25">
      <c r="A1910">
        <v>186140999</v>
      </c>
      <c r="B1910" s="1">
        <v>45051</v>
      </c>
      <c r="C1910" s="1">
        <v>45080</v>
      </c>
      <c r="D1910" t="s">
        <v>7</v>
      </c>
      <c r="E1910">
        <v>39</v>
      </c>
      <c r="F1910" t="s">
        <v>6</v>
      </c>
      <c r="G1910" s="8">
        <f t="shared" si="233"/>
        <v>29</v>
      </c>
      <c r="H1910">
        <f t="shared" si="234"/>
        <v>6</v>
      </c>
      <c r="I1910" t="str">
        <f t="shared" si="232"/>
        <v>Friday</v>
      </c>
      <c r="L1910">
        <f t="shared" si="235"/>
        <v>0</v>
      </c>
    </row>
    <row r="1911" spans="1:12" x14ac:dyDescent="0.25">
      <c r="A1911">
        <v>214860336</v>
      </c>
      <c r="B1911" s="1">
        <v>45051</v>
      </c>
      <c r="C1911" s="1">
        <v>45110</v>
      </c>
      <c r="D1911" t="s">
        <v>7</v>
      </c>
      <c r="E1911">
        <v>39</v>
      </c>
      <c r="F1911" t="s">
        <v>6</v>
      </c>
      <c r="G1911" s="8">
        <f t="shared" si="233"/>
        <v>59</v>
      </c>
      <c r="H1911">
        <f t="shared" si="234"/>
        <v>6</v>
      </c>
      <c r="I1911" t="str">
        <f t="shared" si="232"/>
        <v>Friday</v>
      </c>
      <c r="L1911">
        <f t="shared" si="235"/>
        <v>0</v>
      </c>
    </row>
    <row r="1912" spans="1:12" x14ac:dyDescent="0.25">
      <c r="A1912">
        <v>138725699</v>
      </c>
      <c r="B1912" s="1">
        <v>45051</v>
      </c>
      <c r="C1912" s="1">
        <v>45089</v>
      </c>
      <c r="D1912" t="s">
        <v>7</v>
      </c>
      <c r="E1912">
        <v>39</v>
      </c>
      <c r="F1912" t="s">
        <v>6</v>
      </c>
      <c r="G1912" s="8">
        <f t="shared" si="233"/>
        <v>38</v>
      </c>
      <c r="H1912">
        <f t="shared" si="234"/>
        <v>6</v>
      </c>
      <c r="I1912" t="str">
        <f t="shared" si="232"/>
        <v>Friday</v>
      </c>
      <c r="L1912">
        <f t="shared" si="235"/>
        <v>0</v>
      </c>
    </row>
    <row r="1913" spans="1:12" x14ac:dyDescent="0.25">
      <c r="A1913">
        <v>132315255</v>
      </c>
      <c r="B1913" s="1">
        <v>45051</v>
      </c>
      <c r="C1913" s="1">
        <v>45051</v>
      </c>
      <c r="D1913" t="s">
        <v>7</v>
      </c>
      <c r="E1913">
        <v>39</v>
      </c>
      <c r="F1913" t="s">
        <v>6</v>
      </c>
      <c r="G1913" s="8">
        <f t="shared" si="233"/>
        <v>0</v>
      </c>
      <c r="H1913">
        <f t="shared" si="234"/>
        <v>6</v>
      </c>
      <c r="I1913" t="str">
        <f t="shared" si="232"/>
        <v>Friday</v>
      </c>
      <c r="L1913">
        <f t="shared" si="235"/>
        <v>1</v>
      </c>
    </row>
    <row r="1914" spans="1:12" x14ac:dyDescent="0.25">
      <c r="A1914">
        <v>208202304</v>
      </c>
      <c r="B1914" s="1">
        <v>45051</v>
      </c>
      <c r="C1914" s="1">
        <v>45051</v>
      </c>
      <c r="D1914" t="s">
        <v>7</v>
      </c>
      <c r="E1914">
        <v>39</v>
      </c>
      <c r="F1914" t="s">
        <v>6</v>
      </c>
      <c r="G1914" s="8">
        <f t="shared" si="233"/>
        <v>0</v>
      </c>
      <c r="H1914">
        <f t="shared" si="234"/>
        <v>6</v>
      </c>
      <c r="I1914" t="str">
        <f t="shared" si="232"/>
        <v>Friday</v>
      </c>
      <c r="L1914">
        <f t="shared" si="235"/>
        <v>1</v>
      </c>
    </row>
    <row r="1915" spans="1:12" x14ac:dyDescent="0.25">
      <c r="A1915">
        <v>214869362</v>
      </c>
      <c r="B1915" s="1">
        <v>45051</v>
      </c>
      <c r="C1915" s="1">
        <v>45077</v>
      </c>
      <c r="D1915" t="s">
        <v>7</v>
      </c>
      <c r="E1915">
        <v>39</v>
      </c>
      <c r="F1915" t="s">
        <v>6</v>
      </c>
      <c r="G1915" s="8">
        <f t="shared" si="233"/>
        <v>26</v>
      </c>
      <c r="H1915">
        <f t="shared" si="234"/>
        <v>6</v>
      </c>
      <c r="I1915" t="str">
        <f t="shared" si="232"/>
        <v>Friday</v>
      </c>
      <c r="L1915">
        <f t="shared" si="235"/>
        <v>0</v>
      </c>
    </row>
    <row r="1916" spans="1:12" x14ac:dyDescent="0.25">
      <c r="A1916">
        <v>207118054</v>
      </c>
      <c r="B1916" s="1">
        <v>45052</v>
      </c>
      <c r="C1916" s="1">
        <f t="shared" ref="C1916:C1917" ca="1" si="243">TODAY()</f>
        <v>45938</v>
      </c>
      <c r="D1916" t="s">
        <v>7</v>
      </c>
      <c r="E1916">
        <v>39</v>
      </c>
      <c r="F1916" t="s">
        <v>6</v>
      </c>
      <c r="G1916" s="8">
        <f t="shared" ca="1" si="233"/>
        <v>886</v>
      </c>
      <c r="H1916">
        <f t="shared" si="234"/>
        <v>7</v>
      </c>
      <c r="I1916" t="str">
        <f t="shared" si="232"/>
        <v>Saturday</v>
      </c>
      <c r="L1916">
        <f t="shared" ca="1" si="235"/>
        <v>0</v>
      </c>
    </row>
    <row r="1917" spans="1:12" x14ac:dyDescent="0.25">
      <c r="A1917">
        <v>214856586</v>
      </c>
      <c r="B1917" s="1">
        <v>45052</v>
      </c>
      <c r="C1917" s="1">
        <f t="shared" ca="1" si="243"/>
        <v>45938</v>
      </c>
      <c r="D1917" t="s">
        <v>7</v>
      </c>
      <c r="E1917">
        <v>39</v>
      </c>
      <c r="F1917" t="s">
        <v>6</v>
      </c>
      <c r="G1917" s="8">
        <f t="shared" ca="1" si="233"/>
        <v>886</v>
      </c>
      <c r="H1917">
        <f t="shared" si="234"/>
        <v>7</v>
      </c>
      <c r="I1917" t="str">
        <f t="shared" si="232"/>
        <v>Saturday</v>
      </c>
      <c r="L1917">
        <f t="shared" ca="1" si="235"/>
        <v>0</v>
      </c>
    </row>
    <row r="1918" spans="1:12" x14ac:dyDescent="0.25">
      <c r="A1918">
        <v>201945254</v>
      </c>
      <c r="B1918" s="1">
        <v>45052</v>
      </c>
      <c r="C1918" s="1">
        <v>45079</v>
      </c>
      <c r="D1918" t="s">
        <v>7</v>
      </c>
      <c r="E1918">
        <v>39</v>
      </c>
      <c r="F1918" t="s">
        <v>6</v>
      </c>
      <c r="G1918" s="8">
        <f t="shared" si="233"/>
        <v>27</v>
      </c>
      <c r="H1918">
        <f t="shared" si="234"/>
        <v>7</v>
      </c>
      <c r="I1918" t="str">
        <f t="shared" si="232"/>
        <v>Saturday</v>
      </c>
      <c r="L1918">
        <f t="shared" si="235"/>
        <v>0</v>
      </c>
    </row>
    <row r="1919" spans="1:12" x14ac:dyDescent="0.25">
      <c r="A1919">
        <v>134531651</v>
      </c>
      <c r="B1919" s="1">
        <v>45053</v>
      </c>
      <c r="C1919" s="1">
        <f t="shared" ref="C1919:C1921" ca="1" si="244">TODAY()</f>
        <v>45938</v>
      </c>
      <c r="D1919" t="s">
        <v>7</v>
      </c>
      <c r="E1919">
        <v>39</v>
      </c>
      <c r="F1919" t="s">
        <v>6</v>
      </c>
      <c r="G1919" s="8">
        <f t="shared" ca="1" si="233"/>
        <v>885</v>
      </c>
      <c r="H1919">
        <f t="shared" si="234"/>
        <v>1</v>
      </c>
      <c r="I1919" t="str">
        <f t="shared" si="232"/>
        <v>Sunday</v>
      </c>
      <c r="L1919">
        <f t="shared" ca="1" si="235"/>
        <v>0</v>
      </c>
    </row>
    <row r="1920" spans="1:12" x14ac:dyDescent="0.25">
      <c r="A1920">
        <v>204865394</v>
      </c>
      <c r="B1920" s="1">
        <v>45053</v>
      </c>
      <c r="C1920" s="1">
        <f t="shared" ca="1" si="244"/>
        <v>45938</v>
      </c>
      <c r="D1920" t="s">
        <v>7</v>
      </c>
      <c r="E1920">
        <v>39</v>
      </c>
      <c r="F1920" t="s">
        <v>6</v>
      </c>
      <c r="G1920" s="8">
        <f t="shared" ca="1" si="233"/>
        <v>885</v>
      </c>
      <c r="H1920">
        <f t="shared" si="234"/>
        <v>1</v>
      </c>
      <c r="I1920" t="str">
        <f t="shared" si="232"/>
        <v>Sunday</v>
      </c>
      <c r="L1920">
        <f t="shared" ca="1" si="235"/>
        <v>0</v>
      </c>
    </row>
    <row r="1921" spans="1:12" x14ac:dyDescent="0.25">
      <c r="A1921">
        <v>158906669</v>
      </c>
      <c r="B1921" s="1">
        <v>45053</v>
      </c>
      <c r="C1921" s="1">
        <f t="shared" ca="1" si="244"/>
        <v>45938</v>
      </c>
      <c r="D1921" t="s">
        <v>7</v>
      </c>
      <c r="E1921">
        <v>39</v>
      </c>
      <c r="F1921" t="s">
        <v>6</v>
      </c>
      <c r="G1921" s="8">
        <f t="shared" ca="1" si="233"/>
        <v>885</v>
      </c>
      <c r="H1921">
        <f t="shared" si="234"/>
        <v>1</v>
      </c>
      <c r="I1921" t="str">
        <f t="shared" si="232"/>
        <v>Sunday</v>
      </c>
      <c r="L1921">
        <f t="shared" ca="1" si="235"/>
        <v>0</v>
      </c>
    </row>
    <row r="1922" spans="1:12" x14ac:dyDescent="0.25">
      <c r="A1922">
        <v>125591366</v>
      </c>
      <c r="B1922" s="1">
        <v>45053</v>
      </c>
      <c r="C1922" s="1">
        <v>45144</v>
      </c>
      <c r="D1922" t="s">
        <v>7</v>
      </c>
      <c r="E1922">
        <v>39</v>
      </c>
      <c r="F1922" t="s">
        <v>6</v>
      </c>
      <c r="G1922" s="8">
        <f t="shared" si="233"/>
        <v>91</v>
      </c>
      <c r="H1922">
        <f t="shared" si="234"/>
        <v>1</v>
      </c>
      <c r="I1922" t="str">
        <f t="shared" ref="I1922:I1985" si="245">TEXT(B1922,"DDDD")</f>
        <v>Sunday</v>
      </c>
      <c r="L1922">
        <f t="shared" si="235"/>
        <v>0</v>
      </c>
    </row>
    <row r="1923" spans="1:12" x14ac:dyDescent="0.25">
      <c r="A1923">
        <v>214839844</v>
      </c>
      <c r="B1923" s="1">
        <v>45053</v>
      </c>
      <c r="C1923" s="1">
        <v>45114</v>
      </c>
      <c r="D1923" t="s">
        <v>7</v>
      </c>
      <c r="E1923">
        <v>39</v>
      </c>
      <c r="F1923" t="s">
        <v>6</v>
      </c>
      <c r="G1923" s="8">
        <f t="shared" ref="G1923:G1986" si="246">IFERROR(DATEDIF(B1923,C1923,"D"),"0")</f>
        <v>61</v>
      </c>
      <c r="H1923">
        <f t="shared" ref="H1923:H1986" si="247">WEEKDAY(B1923,1)</f>
        <v>1</v>
      </c>
      <c r="I1923" t="str">
        <f t="shared" si="245"/>
        <v>Sunday</v>
      </c>
      <c r="L1923">
        <f t="shared" ref="L1923:L1986" si="248">IF( OR($G1923=0,$G1923 = 1, $G1923 = 2), 1, 0 )</f>
        <v>0</v>
      </c>
    </row>
    <row r="1924" spans="1:12" x14ac:dyDescent="0.25">
      <c r="A1924">
        <v>214939612</v>
      </c>
      <c r="B1924" s="1">
        <v>45053</v>
      </c>
      <c r="C1924" s="1">
        <v>45110</v>
      </c>
      <c r="D1924" t="s">
        <v>7</v>
      </c>
      <c r="E1924">
        <v>39</v>
      </c>
      <c r="F1924" t="s">
        <v>6</v>
      </c>
      <c r="G1924" s="8">
        <f t="shared" si="246"/>
        <v>57</v>
      </c>
      <c r="H1924">
        <f t="shared" si="247"/>
        <v>1</v>
      </c>
      <c r="I1924" t="str">
        <f t="shared" si="245"/>
        <v>Sunday</v>
      </c>
      <c r="L1924">
        <f t="shared" si="248"/>
        <v>0</v>
      </c>
    </row>
    <row r="1925" spans="1:12" x14ac:dyDescent="0.25">
      <c r="A1925">
        <v>204670100</v>
      </c>
      <c r="B1925" s="1">
        <v>45053</v>
      </c>
      <c r="C1925" s="1">
        <v>45121</v>
      </c>
      <c r="D1925" t="s">
        <v>7</v>
      </c>
      <c r="E1925">
        <v>39</v>
      </c>
      <c r="F1925" t="s">
        <v>6</v>
      </c>
      <c r="G1925" s="8">
        <f t="shared" si="246"/>
        <v>68</v>
      </c>
      <c r="H1925">
        <f t="shared" si="247"/>
        <v>1</v>
      </c>
      <c r="I1925" t="str">
        <f t="shared" si="245"/>
        <v>Sunday</v>
      </c>
      <c r="L1925">
        <f t="shared" si="248"/>
        <v>0</v>
      </c>
    </row>
    <row r="1926" spans="1:12" x14ac:dyDescent="0.25">
      <c r="A1926">
        <v>214830539</v>
      </c>
      <c r="B1926" s="1">
        <v>45053</v>
      </c>
      <c r="C1926" s="1">
        <v>45091</v>
      </c>
      <c r="D1926" t="s">
        <v>7</v>
      </c>
      <c r="E1926">
        <v>39</v>
      </c>
      <c r="F1926" t="s">
        <v>6</v>
      </c>
      <c r="G1926" s="8">
        <f t="shared" si="246"/>
        <v>38</v>
      </c>
      <c r="H1926">
        <f t="shared" si="247"/>
        <v>1</v>
      </c>
      <c r="I1926" t="str">
        <f t="shared" si="245"/>
        <v>Sunday</v>
      </c>
      <c r="L1926">
        <f t="shared" si="248"/>
        <v>0</v>
      </c>
    </row>
    <row r="1927" spans="1:12" x14ac:dyDescent="0.25">
      <c r="A1927">
        <v>185952990</v>
      </c>
      <c r="B1927" s="1">
        <v>45053</v>
      </c>
      <c r="C1927" s="1">
        <v>45087</v>
      </c>
      <c r="D1927" t="s">
        <v>7</v>
      </c>
      <c r="E1927">
        <v>39</v>
      </c>
      <c r="F1927" t="s">
        <v>6</v>
      </c>
      <c r="G1927" s="8">
        <f t="shared" si="246"/>
        <v>34</v>
      </c>
      <c r="H1927">
        <f t="shared" si="247"/>
        <v>1</v>
      </c>
      <c r="I1927" t="str">
        <f t="shared" si="245"/>
        <v>Sunday</v>
      </c>
      <c r="L1927">
        <f t="shared" si="248"/>
        <v>0</v>
      </c>
    </row>
    <row r="1928" spans="1:12" x14ac:dyDescent="0.25">
      <c r="A1928">
        <v>214936311</v>
      </c>
      <c r="B1928" s="1">
        <v>45053</v>
      </c>
      <c r="C1928" s="1">
        <v>45053</v>
      </c>
      <c r="D1928" t="s">
        <v>7</v>
      </c>
      <c r="E1928">
        <v>39</v>
      </c>
      <c r="F1928" t="s">
        <v>6</v>
      </c>
      <c r="G1928" s="8">
        <f t="shared" si="246"/>
        <v>0</v>
      </c>
      <c r="H1928">
        <f t="shared" si="247"/>
        <v>1</v>
      </c>
      <c r="I1928" t="str">
        <f t="shared" si="245"/>
        <v>Sunday</v>
      </c>
      <c r="L1928">
        <f t="shared" si="248"/>
        <v>1</v>
      </c>
    </row>
    <row r="1929" spans="1:12" x14ac:dyDescent="0.25">
      <c r="A1929">
        <v>214620392</v>
      </c>
      <c r="B1929" s="1">
        <v>45053</v>
      </c>
      <c r="C1929" s="1">
        <v>45114</v>
      </c>
      <c r="D1929" t="s">
        <v>7</v>
      </c>
      <c r="E1929">
        <v>39</v>
      </c>
      <c r="F1929" t="s">
        <v>6</v>
      </c>
      <c r="G1929" s="8">
        <f t="shared" si="246"/>
        <v>61</v>
      </c>
      <c r="H1929">
        <f t="shared" si="247"/>
        <v>1</v>
      </c>
      <c r="I1929" t="str">
        <f t="shared" si="245"/>
        <v>Sunday</v>
      </c>
      <c r="L1929">
        <f t="shared" si="248"/>
        <v>0</v>
      </c>
    </row>
    <row r="1930" spans="1:12" x14ac:dyDescent="0.25">
      <c r="A1930">
        <v>157935884</v>
      </c>
      <c r="B1930" s="1">
        <v>45054</v>
      </c>
      <c r="C1930" s="1">
        <f t="shared" ref="C1930:C1937" ca="1" si="249">TODAY()</f>
        <v>45938</v>
      </c>
      <c r="D1930" t="s">
        <v>7</v>
      </c>
      <c r="E1930">
        <v>39</v>
      </c>
      <c r="F1930" t="s">
        <v>6</v>
      </c>
      <c r="G1930" s="8">
        <f t="shared" ca="1" si="246"/>
        <v>884</v>
      </c>
      <c r="H1930">
        <f t="shared" si="247"/>
        <v>2</v>
      </c>
      <c r="I1930" t="str">
        <f t="shared" si="245"/>
        <v>Monday</v>
      </c>
      <c r="L1930">
        <f t="shared" ca="1" si="248"/>
        <v>0</v>
      </c>
    </row>
    <row r="1931" spans="1:12" x14ac:dyDescent="0.25">
      <c r="A1931">
        <v>214945706</v>
      </c>
      <c r="B1931" s="1">
        <v>45054</v>
      </c>
      <c r="C1931" s="1">
        <f t="shared" ca="1" si="249"/>
        <v>45938</v>
      </c>
      <c r="D1931" t="s">
        <v>7</v>
      </c>
      <c r="E1931">
        <v>39</v>
      </c>
      <c r="F1931" t="s">
        <v>6</v>
      </c>
      <c r="G1931" s="8">
        <f t="shared" ca="1" si="246"/>
        <v>884</v>
      </c>
      <c r="H1931">
        <f t="shared" si="247"/>
        <v>2</v>
      </c>
      <c r="I1931" t="str">
        <f t="shared" si="245"/>
        <v>Monday</v>
      </c>
      <c r="L1931">
        <f t="shared" ca="1" si="248"/>
        <v>0</v>
      </c>
    </row>
    <row r="1932" spans="1:12" x14ac:dyDescent="0.25">
      <c r="A1932">
        <v>214999374</v>
      </c>
      <c r="B1932" s="1">
        <v>45054</v>
      </c>
      <c r="C1932" s="1">
        <f t="shared" ca="1" si="249"/>
        <v>45938</v>
      </c>
      <c r="D1932" t="s">
        <v>7</v>
      </c>
      <c r="E1932">
        <v>39</v>
      </c>
      <c r="F1932" t="s">
        <v>6</v>
      </c>
      <c r="G1932" s="8">
        <f t="shared" ca="1" si="246"/>
        <v>884</v>
      </c>
      <c r="H1932">
        <f t="shared" si="247"/>
        <v>2</v>
      </c>
      <c r="I1932" t="str">
        <f t="shared" si="245"/>
        <v>Monday</v>
      </c>
      <c r="L1932">
        <f t="shared" ca="1" si="248"/>
        <v>0</v>
      </c>
    </row>
    <row r="1933" spans="1:12" x14ac:dyDescent="0.25">
      <c r="A1933">
        <v>214986467</v>
      </c>
      <c r="B1933" s="1">
        <v>45054</v>
      </c>
      <c r="C1933" s="1">
        <f t="shared" ca="1" si="249"/>
        <v>45938</v>
      </c>
      <c r="D1933" t="s">
        <v>7</v>
      </c>
      <c r="E1933">
        <v>39</v>
      </c>
      <c r="F1933" t="s">
        <v>6</v>
      </c>
      <c r="G1933" s="8">
        <f t="shared" ca="1" si="246"/>
        <v>884</v>
      </c>
      <c r="H1933">
        <f t="shared" si="247"/>
        <v>2</v>
      </c>
      <c r="I1933" t="str">
        <f t="shared" si="245"/>
        <v>Monday</v>
      </c>
      <c r="L1933">
        <f t="shared" ca="1" si="248"/>
        <v>0</v>
      </c>
    </row>
    <row r="1934" spans="1:12" x14ac:dyDescent="0.25">
      <c r="A1934">
        <v>214984741</v>
      </c>
      <c r="B1934" s="1">
        <v>45054</v>
      </c>
      <c r="C1934" s="1">
        <f t="shared" ca="1" si="249"/>
        <v>45938</v>
      </c>
      <c r="D1934" t="s">
        <v>7</v>
      </c>
      <c r="E1934">
        <v>39</v>
      </c>
      <c r="F1934" t="s">
        <v>6</v>
      </c>
      <c r="G1934" s="8">
        <f t="shared" ca="1" si="246"/>
        <v>884</v>
      </c>
      <c r="H1934">
        <f t="shared" si="247"/>
        <v>2</v>
      </c>
      <c r="I1934" t="str">
        <f t="shared" si="245"/>
        <v>Monday</v>
      </c>
      <c r="L1934">
        <f t="shared" ca="1" si="248"/>
        <v>0</v>
      </c>
    </row>
    <row r="1935" spans="1:12" x14ac:dyDescent="0.25">
      <c r="A1935">
        <v>214993166</v>
      </c>
      <c r="B1935" s="1">
        <v>45054</v>
      </c>
      <c r="C1935" s="1">
        <f t="shared" ca="1" si="249"/>
        <v>45938</v>
      </c>
      <c r="D1935" t="s">
        <v>7</v>
      </c>
      <c r="E1935">
        <v>39</v>
      </c>
      <c r="F1935" t="s">
        <v>6</v>
      </c>
      <c r="G1935" s="8">
        <f t="shared" ca="1" si="246"/>
        <v>884</v>
      </c>
      <c r="H1935">
        <f t="shared" si="247"/>
        <v>2</v>
      </c>
      <c r="I1935" t="str">
        <f t="shared" si="245"/>
        <v>Monday</v>
      </c>
      <c r="L1935">
        <f t="shared" ca="1" si="248"/>
        <v>0</v>
      </c>
    </row>
    <row r="1936" spans="1:12" x14ac:dyDescent="0.25">
      <c r="A1936">
        <v>203116697</v>
      </c>
      <c r="B1936" s="1">
        <v>45054</v>
      </c>
      <c r="C1936" s="1">
        <f t="shared" ca="1" si="249"/>
        <v>45938</v>
      </c>
      <c r="D1936" t="s">
        <v>7</v>
      </c>
      <c r="E1936">
        <v>39</v>
      </c>
      <c r="F1936" t="s">
        <v>6</v>
      </c>
      <c r="G1936" s="8">
        <f t="shared" ca="1" si="246"/>
        <v>884</v>
      </c>
      <c r="H1936">
        <f t="shared" si="247"/>
        <v>2</v>
      </c>
      <c r="I1936" t="str">
        <f t="shared" si="245"/>
        <v>Monday</v>
      </c>
      <c r="L1936">
        <f t="shared" ca="1" si="248"/>
        <v>0</v>
      </c>
    </row>
    <row r="1937" spans="1:12" x14ac:dyDescent="0.25">
      <c r="A1937">
        <v>214906741</v>
      </c>
      <c r="B1937" s="1">
        <v>45054</v>
      </c>
      <c r="C1937" s="1">
        <f t="shared" ca="1" si="249"/>
        <v>45938</v>
      </c>
      <c r="D1937" t="s">
        <v>7</v>
      </c>
      <c r="E1937">
        <v>39</v>
      </c>
      <c r="F1937" t="s">
        <v>6</v>
      </c>
      <c r="G1937" s="8">
        <f t="shared" ca="1" si="246"/>
        <v>884</v>
      </c>
      <c r="H1937">
        <f t="shared" si="247"/>
        <v>2</v>
      </c>
      <c r="I1937" t="str">
        <f t="shared" si="245"/>
        <v>Monday</v>
      </c>
      <c r="L1937">
        <f t="shared" ca="1" si="248"/>
        <v>0</v>
      </c>
    </row>
    <row r="1938" spans="1:12" x14ac:dyDescent="0.25">
      <c r="A1938">
        <v>128977818</v>
      </c>
      <c r="B1938" s="1">
        <v>45054</v>
      </c>
      <c r="C1938" s="1">
        <v>45175</v>
      </c>
      <c r="D1938" t="s">
        <v>7</v>
      </c>
      <c r="E1938">
        <v>39</v>
      </c>
      <c r="F1938" t="s">
        <v>6</v>
      </c>
      <c r="G1938" s="8">
        <f t="shared" si="246"/>
        <v>121</v>
      </c>
      <c r="H1938">
        <f t="shared" si="247"/>
        <v>2</v>
      </c>
      <c r="I1938" t="str">
        <f t="shared" si="245"/>
        <v>Monday</v>
      </c>
      <c r="L1938">
        <f t="shared" si="248"/>
        <v>0</v>
      </c>
    </row>
    <row r="1939" spans="1:12" x14ac:dyDescent="0.25">
      <c r="A1939">
        <v>209743418</v>
      </c>
      <c r="B1939" s="1">
        <v>45054</v>
      </c>
      <c r="C1939" s="1">
        <v>45055</v>
      </c>
      <c r="D1939" t="s">
        <v>7</v>
      </c>
      <c r="E1939">
        <v>39</v>
      </c>
      <c r="F1939" t="s">
        <v>6</v>
      </c>
      <c r="G1939" s="8">
        <f t="shared" si="246"/>
        <v>1</v>
      </c>
      <c r="H1939">
        <f t="shared" si="247"/>
        <v>2</v>
      </c>
      <c r="I1939" t="str">
        <f t="shared" si="245"/>
        <v>Monday</v>
      </c>
      <c r="L1939">
        <f t="shared" si="248"/>
        <v>1</v>
      </c>
    </row>
    <row r="1940" spans="1:12" x14ac:dyDescent="0.25">
      <c r="A1940">
        <v>209743418</v>
      </c>
      <c r="B1940" s="1">
        <v>45054</v>
      </c>
      <c r="C1940" s="1">
        <v>45115</v>
      </c>
      <c r="D1940" t="s">
        <v>7</v>
      </c>
      <c r="E1940">
        <v>39</v>
      </c>
      <c r="F1940" t="s">
        <v>6</v>
      </c>
      <c r="G1940" s="8">
        <f t="shared" si="246"/>
        <v>61</v>
      </c>
      <c r="H1940">
        <f t="shared" si="247"/>
        <v>2</v>
      </c>
      <c r="I1940" t="str">
        <f t="shared" si="245"/>
        <v>Monday</v>
      </c>
      <c r="L1940">
        <f t="shared" si="248"/>
        <v>0</v>
      </c>
    </row>
    <row r="1941" spans="1:12" x14ac:dyDescent="0.25">
      <c r="A1941">
        <v>130868671</v>
      </c>
      <c r="B1941" s="1">
        <v>45054</v>
      </c>
      <c r="C1941" s="1">
        <v>45091</v>
      </c>
      <c r="D1941" t="s">
        <v>7</v>
      </c>
      <c r="E1941">
        <v>39</v>
      </c>
      <c r="F1941" t="s">
        <v>6</v>
      </c>
      <c r="G1941" s="8">
        <f t="shared" si="246"/>
        <v>37</v>
      </c>
      <c r="H1941">
        <f t="shared" si="247"/>
        <v>2</v>
      </c>
      <c r="I1941" t="str">
        <f t="shared" si="245"/>
        <v>Monday</v>
      </c>
      <c r="L1941">
        <f t="shared" si="248"/>
        <v>0</v>
      </c>
    </row>
    <row r="1942" spans="1:12" x14ac:dyDescent="0.25">
      <c r="A1942">
        <v>146963394</v>
      </c>
      <c r="B1942" s="1">
        <v>45054</v>
      </c>
      <c r="C1942" s="1">
        <v>45111</v>
      </c>
      <c r="D1942" t="s">
        <v>7</v>
      </c>
      <c r="E1942">
        <v>39</v>
      </c>
      <c r="F1942" t="s">
        <v>6</v>
      </c>
      <c r="G1942" s="8">
        <f t="shared" si="246"/>
        <v>57</v>
      </c>
      <c r="H1942">
        <f t="shared" si="247"/>
        <v>2</v>
      </c>
      <c r="I1942" t="str">
        <f t="shared" si="245"/>
        <v>Monday</v>
      </c>
      <c r="L1942">
        <f t="shared" si="248"/>
        <v>0</v>
      </c>
    </row>
    <row r="1943" spans="1:12" x14ac:dyDescent="0.25">
      <c r="A1943">
        <v>214960770</v>
      </c>
      <c r="B1943" s="1">
        <v>45054</v>
      </c>
      <c r="C1943" s="1">
        <v>45110</v>
      </c>
      <c r="D1943" t="s">
        <v>7</v>
      </c>
      <c r="E1943">
        <v>39</v>
      </c>
      <c r="F1943" t="s">
        <v>6</v>
      </c>
      <c r="G1943" s="8">
        <f t="shared" si="246"/>
        <v>56</v>
      </c>
      <c r="H1943">
        <f t="shared" si="247"/>
        <v>2</v>
      </c>
      <c r="I1943" t="str">
        <f t="shared" si="245"/>
        <v>Monday</v>
      </c>
      <c r="L1943">
        <f t="shared" si="248"/>
        <v>0</v>
      </c>
    </row>
    <row r="1944" spans="1:12" x14ac:dyDescent="0.25">
      <c r="A1944">
        <v>207344872</v>
      </c>
      <c r="B1944" s="1">
        <v>45054</v>
      </c>
      <c r="C1944" s="1">
        <v>45084</v>
      </c>
      <c r="D1944" t="s">
        <v>7</v>
      </c>
      <c r="E1944">
        <v>39</v>
      </c>
      <c r="F1944" t="s">
        <v>6</v>
      </c>
      <c r="G1944" s="8">
        <f t="shared" si="246"/>
        <v>30</v>
      </c>
      <c r="H1944">
        <f t="shared" si="247"/>
        <v>2</v>
      </c>
      <c r="I1944" t="str">
        <f t="shared" si="245"/>
        <v>Monday</v>
      </c>
      <c r="L1944">
        <f t="shared" si="248"/>
        <v>0</v>
      </c>
    </row>
    <row r="1945" spans="1:12" x14ac:dyDescent="0.25">
      <c r="A1945">
        <v>202925989</v>
      </c>
      <c r="B1945" s="1">
        <v>45054</v>
      </c>
      <c r="C1945" s="1">
        <v>45092</v>
      </c>
      <c r="D1945" t="s">
        <v>7</v>
      </c>
      <c r="E1945">
        <v>39</v>
      </c>
      <c r="F1945" t="s">
        <v>6</v>
      </c>
      <c r="G1945" s="8">
        <f t="shared" si="246"/>
        <v>38</v>
      </c>
      <c r="H1945">
        <f t="shared" si="247"/>
        <v>2</v>
      </c>
      <c r="I1945" t="str">
        <f t="shared" si="245"/>
        <v>Monday</v>
      </c>
      <c r="L1945">
        <f t="shared" si="248"/>
        <v>0</v>
      </c>
    </row>
    <row r="1946" spans="1:12" x14ac:dyDescent="0.25">
      <c r="A1946">
        <v>214991976</v>
      </c>
      <c r="B1946" s="1">
        <v>45054</v>
      </c>
      <c r="C1946" s="1">
        <v>45099</v>
      </c>
      <c r="D1946" t="s">
        <v>7</v>
      </c>
      <c r="E1946">
        <v>39</v>
      </c>
      <c r="F1946" t="s">
        <v>6</v>
      </c>
      <c r="G1946" s="8">
        <f t="shared" si="246"/>
        <v>45</v>
      </c>
      <c r="H1946">
        <f t="shared" si="247"/>
        <v>2</v>
      </c>
      <c r="I1946" t="str">
        <f t="shared" si="245"/>
        <v>Monday</v>
      </c>
      <c r="L1946">
        <f t="shared" si="248"/>
        <v>0</v>
      </c>
    </row>
    <row r="1947" spans="1:12" x14ac:dyDescent="0.25">
      <c r="A1947">
        <v>211917633</v>
      </c>
      <c r="B1947" s="1">
        <v>45054</v>
      </c>
      <c r="C1947" s="1">
        <v>45071</v>
      </c>
      <c r="D1947" t="s">
        <v>7</v>
      </c>
      <c r="E1947">
        <v>39</v>
      </c>
      <c r="F1947" t="s">
        <v>6</v>
      </c>
      <c r="G1947" s="8">
        <f t="shared" si="246"/>
        <v>17</v>
      </c>
      <c r="H1947">
        <f t="shared" si="247"/>
        <v>2</v>
      </c>
      <c r="I1947" t="str">
        <f t="shared" si="245"/>
        <v>Monday</v>
      </c>
      <c r="L1947">
        <f t="shared" si="248"/>
        <v>0</v>
      </c>
    </row>
    <row r="1948" spans="1:12" x14ac:dyDescent="0.25">
      <c r="A1948">
        <v>214623264</v>
      </c>
      <c r="B1948" s="1">
        <v>45054</v>
      </c>
      <c r="C1948" s="1">
        <v>45122</v>
      </c>
      <c r="D1948" t="s">
        <v>7</v>
      </c>
      <c r="E1948">
        <v>39</v>
      </c>
      <c r="F1948" t="s">
        <v>6</v>
      </c>
      <c r="G1948" s="8">
        <f t="shared" si="246"/>
        <v>68</v>
      </c>
      <c r="H1948">
        <f t="shared" si="247"/>
        <v>2</v>
      </c>
      <c r="I1948" t="str">
        <f t="shared" si="245"/>
        <v>Monday</v>
      </c>
      <c r="L1948">
        <f t="shared" si="248"/>
        <v>0</v>
      </c>
    </row>
    <row r="1949" spans="1:12" x14ac:dyDescent="0.25">
      <c r="A1949">
        <v>205339362</v>
      </c>
      <c r="B1949" s="1">
        <v>45054</v>
      </c>
      <c r="C1949" s="1">
        <v>45115</v>
      </c>
      <c r="D1949" t="s">
        <v>7</v>
      </c>
      <c r="E1949">
        <v>39</v>
      </c>
      <c r="F1949" t="s">
        <v>6</v>
      </c>
      <c r="G1949" s="8">
        <f t="shared" si="246"/>
        <v>61</v>
      </c>
      <c r="H1949">
        <f t="shared" si="247"/>
        <v>2</v>
      </c>
      <c r="I1949" t="str">
        <f t="shared" si="245"/>
        <v>Monday</v>
      </c>
      <c r="L1949">
        <f t="shared" si="248"/>
        <v>0</v>
      </c>
    </row>
    <row r="1950" spans="1:12" x14ac:dyDescent="0.25">
      <c r="A1950">
        <v>214956352</v>
      </c>
      <c r="B1950" s="1">
        <v>45055</v>
      </c>
      <c r="C1950" s="1">
        <f t="shared" ref="C1950:C1953" ca="1" si="250">TODAY()</f>
        <v>45938</v>
      </c>
      <c r="D1950" t="s">
        <v>7</v>
      </c>
      <c r="E1950">
        <v>39</v>
      </c>
      <c r="F1950" t="s">
        <v>6</v>
      </c>
      <c r="G1950" s="8">
        <f t="shared" ca="1" si="246"/>
        <v>883</v>
      </c>
      <c r="H1950">
        <f t="shared" si="247"/>
        <v>3</v>
      </c>
      <c r="I1950" t="str">
        <f t="shared" si="245"/>
        <v>Tuesday</v>
      </c>
      <c r="L1950">
        <f t="shared" ca="1" si="248"/>
        <v>0</v>
      </c>
    </row>
    <row r="1951" spans="1:12" x14ac:dyDescent="0.25">
      <c r="A1951">
        <v>196061402</v>
      </c>
      <c r="B1951" s="1">
        <v>45055</v>
      </c>
      <c r="C1951" s="1">
        <f t="shared" ca="1" si="250"/>
        <v>45938</v>
      </c>
      <c r="D1951" t="s">
        <v>7</v>
      </c>
      <c r="E1951">
        <v>39</v>
      </c>
      <c r="F1951" t="s">
        <v>6</v>
      </c>
      <c r="G1951" s="8">
        <f t="shared" ca="1" si="246"/>
        <v>883</v>
      </c>
      <c r="H1951">
        <f t="shared" si="247"/>
        <v>3</v>
      </c>
      <c r="I1951" t="str">
        <f t="shared" si="245"/>
        <v>Tuesday</v>
      </c>
      <c r="L1951">
        <f t="shared" ca="1" si="248"/>
        <v>0</v>
      </c>
    </row>
    <row r="1952" spans="1:12" x14ac:dyDescent="0.25">
      <c r="A1952">
        <v>215019022</v>
      </c>
      <c r="B1952" s="1">
        <v>45055</v>
      </c>
      <c r="C1952" s="1">
        <f t="shared" ca="1" si="250"/>
        <v>45938</v>
      </c>
      <c r="D1952" t="s">
        <v>7</v>
      </c>
      <c r="E1952">
        <v>39</v>
      </c>
      <c r="F1952" t="s">
        <v>6</v>
      </c>
      <c r="G1952" s="8">
        <f t="shared" ca="1" si="246"/>
        <v>883</v>
      </c>
      <c r="H1952">
        <f t="shared" si="247"/>
        <v>3</v>
      </c>
      <c r="I1952" t="str">
        <f t="shared" si="245"/>
        <v>Tuesday</v>
      </c>
      <c r="L1952">
        <f t="shared" ca="1" si="248"/>
        <v>0</v>
      </c>
    </row>
    <row r="1953" spans="1:12" x14ac:dyDescent="0.25">
      <c r="A1953">
        <v>185517087</v>
      </c>
      <c r="B1953" s="1">
        <v>45055</v>
      </c>
      <c r="C1953" s="1">
        <f t="shared" ca="1" si="250"/>
        <v>45938</v>
      </c>
      <c r="D1953" t="s">
        <v>7</v>
      </c>
      <c r="E1953">
        <v>39</v>
      </c>
      <c r="F1953" t="s">
        <v>6</v>
      </c>
      <c r="G1953" s="8">
        <f t="shared" ca="1" si="246"/>
        <v>883</v>
      </c>
      <c r="H1953">
        <f t="shared" si="247"/>
        <v>3</v>
      </c>
      <c r="I1953" t="str">
        <f t="shared" si="245"/>
        <v>Tuesday</v>
      </c>
      <c r="L1953">
        <f t="shared" ca="1" si="248"/>
        <v>0</v>
      </c>
    </row>
    <row r="1954" spans="1:12" x14ac:dyDescent="0.25">
      <c r="A1954">
        <v>151513254</v>
      </c>
      <c r="B1954" s="1">
        <v>45055</v>
      </c>
      <c r="C1954" s="1">
        <v>45055</v>
      </c>
      <c r="D1954" t="s">
        <v>7</v>
      </c>
      <c r="E1954">
        <v>39</v>
      </c>
      <c r="F1954" t="s">
        <v>6</v>
      </c>
      <c r="G1954" s="8">
        <f t="shared" si="246"/>
        <v>0</v>
      </c>
      <c r="H1954">
        <f t="shared" si="247"/>
        <v>3</v>
      </c>
      <c r="I1954" t="str">
        <f t="shared" si="245"/>
        <v>Tuesday</v>
      </c>
      <c r="L1954">
        <f t="shared" si="248"/>
        <v>1</v>
      </c>
    </row>
    <row r="1955" spans="1:12" x14ac:dyDescent="0.25">
      <c r="A1955">
        <v>214952558</v>
      </c>
      <c r="B1955" s="1">
        <v>45055</v>
      </c>
      <c r="C1955" s="1">
        <v>45056</v>
      </c>
      <c r="D1955" t="s">
        <v>8</v>
      </c>
      <c r="E1955">
        <v>39</v>
      </c>
      <c r="F1955" t="s">
        <v>6</v>
      </c>
      <c r="G1955" s="8">
        <f t="shared" si="246"/>
        <v>1</v>
      </c>
      <c r="H1955">
        <f t="shared" si="247"/>
        <v>3</v>
      </c>
      <c r="I1955" t="str">
        <f t="shared" si="245"/>
        <v>Tuesday</v>
      </c>
      <c r="L1955">
        <f t="shared" si="248"/>
        <v>1</v>
      </c>
    </row>
    <row r="1956" spans="1:12" x14ac:dyDescent="0.25">
      <c r="A1956">
        <v>139339380</v>
      </c>
      <c r="B1956" s="1">
        <v>45055</v>
      </c>
      <c r="C1956" s="1">
        <v>45095</v>
      </c>
      <c r="D1956" t="s">
        <v>7</v>
      </c>
      <c r="E1956">
        <v>39</v>
      </c>
      <c r="F1956" t="s">
        <v>6</v>
      </c>
      <c r="G1956" s="8">
        <f t="shared" si="246"/>
        <v>40</v>
      </c>
      <c r="H1956">
        <f t="shared" si="247"/>
        <v>3</v>
      </c>
      <c r="I1956" t="str">
        <f t="shared" si="245"/>
        <v>Tuesday</v>
      </c>
      <c r="L1956">
        <f t="shared" si="248"/>
        <v>0</v>
      </c>
    </row>
    <row r="1957" spans="1:12" x14ac:dyDescent="0.25">
      <c r="A1957">
        <v>208188866</v>
      </c>
      <c r="B1957" s="1">
        <v>45055</v>
      </c>
      <c r="C1957" s="1">
        <v>45086</v>
      </c>
      <c r="D1957" t="s">
        <v>7</v>
      </c>
      <c r="E1957">
        <v>39</v>
      </c>
      <c r="F1957" t="s">
        <v>6</v>
      </c>
      <c r="G1957" s="8">
        <f t="shared" si="246"/>
        <v>31</v>
      </c>
      <c r="H1957">
        <f t="shared" si="247"/>
        <v>3</v>
      </c>
      <c r="I1957" t="str">
        <f t="shared" si="245"/>
        <v>Tuesday</v>
      </c>
      <c r="L1957">
        <f t="shared" si="248"/>
        <v>0</v>
      </c>
    </row>
    <row r="1958" spans="1:12" x14ac:dyDescent="0.25">
      <c r="A1958">
        <v>150342446</v>
      </c>
      <c r="B1958" s="1">
        <v>45055</v>
      </c>
      <c r="C1958" s="1">
        <v>45093</v>
      </c>
      <c r="D1958" t="s">
        <v>7</v>
      </c>
      <c r="E1958">
        <v>39</v>
      </c>
      <c r="F1958" t="s">
        <v>6</v>
      </c>
      <c r="G1958" s="8">
        <f t="shared" si="246"/>
        <v>38</v>
      </c>
      <c r="H1958">
        <f t="shared" si="247"/>
        <v>3</v>
      </c>
      <c r="I1958" t="str">
        <f t="shared" si="245"/>
        <v>Tuesday</v>
      </c>
      <c r="L1958">
        <f t="shared" si="248"/>
        <v>0</v>
      </c>
    </row>
    <row r="1959" spans="1:12" x14ac:dyDescent="0.25">
      <c r="A1959">
        <v>188748372</v>
      </c>
      <c r="B1959" s="1">
        <v>45055</v>
      </c>
      <c r="C1959" s="1">
        <v>45093</v>
      </c>
      <c r="D1959" t="s">
        <v>7</v>
      </c>
      <c r="E1959">
        <v>39</v>
      </c>
      <c r="F1959" t="s">
        <v>6</v>
      </c>
      <c r="G1959" s="8">
        <f t="shared" si="246"/>
        <v>38</v>
      </c>
      <c r="H1959">
        <f t="shared" si="247"/>
        <v>3</v>
      </c>
      <c r="I1959" t="str">
        <f t="shared" si="245"/>
        <v>Tuesday</v>
      </c>
      <c r="L1959">
        <f t="shared" si="248"/>
        <v>0</v>
      </c>
    </row>
    <row r="1960" spans="1:12" x14ac:dyDescent="0.25">
      <c r="A1960">
        <v>215034356</v>
      </c>
      <c r="B1960" s="1">
        <v>45055</v>
      </c>
      <c r="C1960" s="1">
        <v>45055</v>
      </c>
      <c r="D1960" t="s">
        <v>7</v>
      </c>
      <c r="E1960">
        <v>39</v>
      </c>
      <c r="F1960" t="s">
        <v>6</v>
      </c>
      <c r="G1960" s="8">
        <f t="shared" si="246"/>
        <v>0</v>
      </c>
      <c r="H1960">
        <f t="shared" si="247"/>
        <v>3</v>
      </c>
      <c r="I1960" t="str">
        <f t="shared" si="245"/>
        <v>Tuesday</v>
      </c>
      <c r="L1960">
        <f t="shared" si="248"/>
        <v>1</v>
      </c>
    </row>
    <row r="1961" spans="1:12" x14ac:dyDescent="0.25">
      <c r="A1961">
        <v>145013444</v>
      </c>
      <c r="B1961" s="1">
        <v>45055</v>
      </c>
      <c r="C1961" s="1">
        <v>45075</v>
      </c>
      <c r="D1961" t="s">
        <v>7</v>
      </c>
      <c r="E1961">
        <v>39</v>
      </c>
      <c r="F1961" t="s">
        <v>6</v>
      </c>
      <c r="G1961" s="8">
        <f t="shared" si="246"/>
        <v>20</v>
      </c>
      <c r="H1961">
        <f t="shared" si="247"/>
        <v>3</v>
      </c>
      <c r="I1961" t="str">
        <f t="shared" si="245"/>
        <v>Tuesday</v>
      </c>
      <c r="L1961">
        <f t="shared" si="248"/>
        <v>0</v>
      </c>
    </row>
    <row r="1962" spans="1:12" x14ac:dyDescent="0.25">
      <c r="A1962">
        <v>164548755</v>
      </c>
      <c r="B1962" s="1">
        <v>45055</v>
      </c>
      <c r="C1962" s="1">
        <v>45123</v>
      </c>
      <c r="D1962" t="s">
        <v>7</v>
      </c>
      <c r="E1962">
        <v>39</v>
      </c>
      <c r="F1962" t="s">
        <v>6</v>
      </c>
      <c r="G1962" s="8">
        <f t="shared" si="246"/>
        <v>68</v>
      </c>
      <c r="H1962">
        <f t="shared" si="247"/>
        <v>3</v>
      </c>
      <c r="I1962" t="str">
        <f t="shared" si="245"/>
        <v>Tuesday</v>
      </c>
      <c r="L1962">
        <f t="shared" si="248"/>
        <v>0</v>
      </c>
    </row>
    <row r="1963" spans="1:12" x14ac:dyDescent="0.25">
      <c r="A1963">
        <v>193315330</v>
      </c>
      <c r="B1963" s="1">
        <v>45055</v>
      </c>
      <c r="C1963" s="1">
        <v>45154</v>
      </c>
      <c r="D1963" t="s">
        <v>7</v>
      </c>
      <c r="E1963">
        <v>39</v>
      </c>
      <c r="F1963" t="s">
        <v>6</v>
      </c>
      <c r="G1963" s="8">
        <f t="shared" si="246"/>
        <v>99</v>
      </c>
      <c r="H1963">
        <f t="shared" si="247"/>
        <v>3</v>
      </c>
      <c r="I1963" t="str">
        <f t="shared" si="245"/>
        <v>Tuesday</v>
      </c>
      <c r="L1963">
        <f t="shared" si="248"/>
        <v>0</v>
      </c>
    </row>
    <row r="1964" spans="1:12" x14ac:dyDescent="0.25">
      <c r="A1964">
        <v>147592201</v>
      </c>
      <c r="B1964" s="1">
        <v>45056</v>
      </c>
      <c r="C1964" s="1">
        <f t="shared" ref="C1964:C1966" ca="1" si="251">TODAY()</f>
        <v>45938</v>
      </c>
      <c r="D1964" t="s">
        <v>7</v>
      </c>
      <c r="E1964">
        <v>39</v>
      </c>
      <c r="F1964" t="s">
        <v>6</v>
      </c>
      <c r="G1964" s="8">
        <f t="shared" ca="1" si="246"/>
        <v>882</v>
      </c>
      <c r="H1964">
        <f t="shared" si="247"/>
        <v>4</v>
      </c>
      <c r="I1964" t="str">
        <f t="shared" si="245"/>
        <v>Wednesday</v>
      </c>
      <c r="L1964">
        <f t="shared" ca="1" si="248"/>
        <v>0</v>
      </c>
    </row>
    <row r="1965" spans="1:12" x14ac:dyDescent="0.25">
      <c r="A1965">
        <v>192068317</v>
      </c>
      <c r="B1965" s="1">
        <v>45056</v>
      </c>
      <c r="C1965" s="1">
        <f t="shared" ca="1" si="251"/>
        <v>45938</v>
      </c>
      <c r="D1965" t="s">
        <v>7</v>
      </c>
      <c r="E1965">
        <v>39</v>
      </c>
      <c r="F1965" t="s">
        <v>6</v>
      </c>
      <c r="G1965" s="8">
        <f t="shared" ca="1" si="246"/>
        <v>882</v>
      </c>
      <c r="H1965">
        <f t="shared" si="247"/>
        <v>4</v>
      </c>
      <c r="I1965" t="str">
        <f t="shared" si="245"/>
        <v>Wednesday</v>
      </c>
      <c r="L1965">
        <f t="shared" ca="1" si="248"/>
        <v>0</v>
      </c>
    </row>
    <row r="1966" spans="1:12" x14ac:dyDescent="0.25">
      <c r="A1966">
        <v>214396083</v>
      </c>
      <c r="B1966" s="1">
        <v>45056</v>
      </c>
      <c r="C1966" s="1">
        <f t="shared" ca="1" si="251"/>
        <v>45938</v>
      </c>
      <c r="D1966" t="s">
        <v>7</v>
      </c>
      <c r="E1966">
        <v>39</v>
      </c>
      <c r="F1966" t="s">
        <v>6</v>
      </c>
      <c r="G1966" s="8">
        <f t="shared" ca="1" si="246"/>
        <v>882</v>
      </c>
      <c r="H1966">
        <f t="shared" si="247"/>
        <v>4</v>
      </c>
      <c r="I1966" t="str">
        <f t="shared" si="245"/>
        <v>Wednesday</v>
      </c>
      <c r="L1966">
        <f t="shared" ca="1" si="248"/>
        <v>0</v>
      </c>
    </row>
    <row r="1967" spans="1:12" x14ac:dyDescent="0.25">
      <c r="A1967">
        <v>214698924</v>
      </c>
      <c r="B1967" s="1">
        <v>45056</v>
      </c>
      <c r="C1967" s="1">
        <v>45056</v>
      </c>
      <c r="D1967" t="s">
        <v>7</v>
      </c>
      <c r="E1967">
        <v>39</v>
      </c>
      <c r="F1967" t="s">
        <v>6</v>
      </c>
      <c r="G1967" s="8">
        <f t="shared" si="246"/>
        <v>0</v>
      </c>
      <c r="H1967">
        <f t="shared" si="247"/>
        <v>4</v>
      </c>
      <c r="I1967" t="str">
        <f t="shared" si="245"/>
        <v>Wednesday</v>
      </c>
      <c r="L1967">
        <f t="shared" si="248"/>
        <v>1</v>
      </c>
    </row>
    <row r="1968" spans="1:12" x14ac:dyDescent="0.25">
      <c r="A1968">
        <v>153402484</v>
      </c>
      <c r="B1968" s="1">
        <v>45056</v>
      </c>
      <c r="C1968" s="1">
        <v>45086</v>
      </c>
      <c r="D1968" t="s">
        <v>7</v>
      </c>
      <c r="E1968">
        <v>39</v>
      </c>
      <c r="F1968" t="s">
        <v>6</v>
      </c>
      <c r="G1968" s="8">
        <f t="shared" si="246"/>
        <v>30</v>
      </c>
      <c r="H1968">
        <f t="shared" si="247"/>
        <v>4</v>
      </c>
      <c r="I1968" t="str">
        <f t="shared" si="245"/>
        <v>Wednesday</v>
      </c>
      <c r="L1968">
        <f t="shared" si="248"/>
        <v>0</v>
      </c>
    </row>
    <row r="1969" spans="1:12" x14ac:dyDescent="0.25">
      <c r="A1969">
        <v>214809412</v>
      </c>
      <c r="B1969" s="1">
        <v>45056</v>
      </c>
      <c r="C1969" s="1">
        <v>45147</v>
      </c>
      <c r="D1969" t="s">
        <v>7</v>
      </c>
      <c r="E1969">
        <v>39</v>
      </c>
      <c r="F1969" t="s">
        <v>6</v>
      </c>
      <c r="G1969" s="8">
        <f t="shared" si="246"/>
        <v>91</v>
      </c>
      <c r="H1969">
        <f t="shared" si="247"/>
        <v>4</v>
      </c>
      <c r="I1969" t="str">
        <f t="shared" si="245"/>
        <v>Wednesday</v>
      </c>
      <c r="L1969">
        <f t="shared" si="248"/>
        <v>0</v>
      </c>
    </row>
    <row r="1970" spans="1:12" x14ac:dyDescent="0.25">
      <c r="A1970">
        <v>215062365</v>
      </c>
      <c r="B1970" s="1">
        <v>45056</v>
      </c>
      <c r="C1970" s="1">
        <v>45141</v>
      </c>
      <c r="D1970" t="s">
        <v>7</v>
      </c>
      <c r="E1970">
        <v>39</v>
      </c>
      <c r="F1970" t="s">
        <v>6</v>
      </c>
      <c r="G1970" s="8">
        <f t="shared" si="246"/>
        <v>85</v>
      </c>
      <c r="H1970">
        <f t="shared" si="247"/>
        <v>4</v>
      </c>
      <c r="I1970" t="str">
        <f t="shared" si="245"/>
        <v>Wednesday</v>
      </c>
      <c r="L1970">
        <f t="shared" si="248"/>
        <v>0</v>
      </c>
    </row>
    <row r="1971" spans="1:12" x14ac:dyDescent="0.25">
      <c r="A1971">
        <v>135185873</v>
      </c>
      <c r="B1971" s="1">
        <v>45057</v>
      </c>
      <c r="C1971" s="1">
        <f t="shared" ref="C1971:C1974" ca="1" si="252">TODAY()</f>
        <v>45938</v>
      </c>
      <c r="D1971" t="s">
        <v>7</v>
      </c>
      <c r="E1971">
        <v>39</v>
      </c>
      <c r="F1971" t="s">
        <v>6</v>
      </c>
      <c r="G1971" s="8">
        <f t="shared" ca="1" si="246"/>
        <v>881</v>
      </c>
      <c r="H1971">
        <f t="shared" si="247"/>
        <v>5</v>
      </c>
      <c r="I1971" t="str">
        <f t="shared" si="245"/>
        <v>Thursday</v>
      </c>
      <c r="L1971">
        <f t="shared" ca="1" si="248"/>
        <v>0</v>
      </c>
    </row>
    <row r="1972" spans="1:12" x14ac:dyDescent="0.25">
      <c r="A1972">
        <v>144898968</v>
      </c>
      <c r="B1972" s="1">
        <v>45057</v>
      </c>
      <c r="C1972" s="1">
        <f t="shared" ca="1" si="252"/>
        <v>45938</v>
      </c>
      <c r="D1972" t="s">
        <v>7</v>
      </c>
      <c r="E1972">
        <v>39</v>
      </c>
      <c r="F1972" t="s">
        <v>6</v>
      </c>
      <c r="G1972" s="8">
        <f t="shared" ca="1" si="246"/>
        <v>881</v>
      </c>
      <c r="H1972">
        <f t="shared" si="247"/>
        <v>5</v>
      </c>
      <c r="I1972" t="str">
        <f t="shared" si="245"/>
        <v>Thursday</v>
      </c>
      <c r="L1972">
        <f t="shared" ca="1" si="248"/>
        <v>0</v>
      </c>
    </row>
    <row r="1973" spans="1:12" x14ac:dyDescent="0.25">
      <c r="A1973">
        <v>214973231</v>
      </c>
      <c r="B1973" s="1">
        <v>45057</v>
      </c>
      <c r="C1973" s="1">
        <f t="shared" ca="1" si="252"/>
        <v>45938</v>
      </c>
      <c r="D1973" t="s">
        <v>7</v>
      </c>
      <c r="E1973">
        <v>39</v>
      </c>
      <c r="F1973" t="s">
        <v>6</v>
      </c>
      <c r="G1973" s="8">
        <f t="shared" ca="1" si="246"/>
        <v>881</v>
      </c>
      <c r="H1973">
        <f t="shared" si="247"/>
        <v>5</v>
      </c>
      <c r="I1973" t="str">
        <f t="shared" si="245"/>
        <v>Thursday</v>
      </c>
      <c r="L1973">
        <f t="shared" ca="1" si="248"/>
        <v>0</v>
      </c>
    </row>
    <row r="1974" spans="1:12" x14ac:dyDescent="0.25">
      <c r="A1974">
        <v>214971897</v>
      </c>
      <c r="B1974" s="1">
        <v>45057</v>
      </c>
      <c r="C1974" s="1">
        <f t="shared" ca="1" si="252"/>
        <v>45938</v>
      </c>
      <c r="D1974" t="s">
        <v>7</v>
      </c>
      <c r="E1974">
        <v>39</v>
      </c>
      <c r="F1974" t="s">
        <v>6</v>
      </c>
      <c r="G1974" s="8">
        <f t="shared" ca="1" si="246"/>
        <v>881</v>
      </c>
      <c r="H1974">
        <f t="shared" si="247"/>
        <v>5</v>
      </c>
      <c r="I1974" t="str">
        <f t="shared" si="245"/>
        <v>Thursday</v>
      </c>
      <c r="L1974">
        <f t="shared" ca="1" si="248"/>
        <v>0</v>
      </c>
    </row>
    <row r="1975" spans="1:12" x14ac:dyDescent="0.25">
      <c r="A1975">
        <v>134919488</v>
      </c>
      <c r="B1975" s="1">
        <v>45057</v>
      </c>
      <c r="C1975" s="1">
        <v>45145</v>
      </c>
      <c r="D1975" t="s">
        <v>7</v>
      </c>
      <c r="E1975">
        <v>39</v>
      </c>
      <c r="F1975" t="s">
        <v>6</v>
      </c>
      <c r="G1975" s="8">
        <f t="shared" si="246"/>
        <v>88</v>
      </c>
      <c r="H1975">
        <f t="shared" si="247"/>
        <v>5</v>
      </c>
      <c r="I1975" t="str">
        <f t="shared" si="245"/>
        <v>Thursday</v>
      </c>
      <c r="L1975">
        <f t="shared" si="248"/>
        <v>0</v>
      </c>
    </row>
    <row r="1976" spans="1:12" x14ac:dyDescent="0.25">
      <c r="A1976">
        <v>214912916</v>
      </c>
      <c r="B1976" s="1">
        <v>45057</v>
      </c>
      <c r="C1976" s="1">
        <v>45088</v>
      </c>
      <c r="D1976" t="s">
        <v>7</v>
      </c>
      <c r="E1976">
        <v>39</v>
      </c>
      <c r="F1976" t="s">
        <v>6</v>
      </c>
      <c r="G1976" s="8">
        <f t="shared" si="246"/>
        <v>31</v>
      </c>
      <c r="H1976">
        <f t="shared" si="247"/>
        <v>5</v>
      </c>
      <c r="I1976" t="str">
        <f t="shared" si="245"/>
        <v>Thursday</v>
      </c>
      <c r="L1976">
        <f t="shared" si="248"/>
        <v>0</v>
      </c>
    </row>
    <row r="1977" spans="1:12" x14ac:dyDescent="0.25">
      <c r="A1977">
        <v>215138344</v>
      </c>
      <c r="B1977" s="1">
        <v>45057</v>
      </c>
      <c r="C1977" s="1">
        <v>45079</v>
      </c>
      <c r="D1977" t="s">
        <v>7</v>
      </c>
      <c r="E1977">
        <v>39</v>
      </c>
      <c r="F1977" t="s">
        <v>6</v>
      </c>
      <c r="G1977" s="8">
        <f t="shared" si="246"/>
        <v>22</v>
      </c>
      <c r="H1977">
        <f t="shared" si="247"/>
        <v>5</v>
      </c>
      <c r="I1977" t="str">
        <f t="shared" si="245"/>
        <v>Thursday</v>
      </c>
      <c r="L1977">
        <f t="shared" si="248"/>
        <v>0</v>
      </c>
    </row>
    <row r="1978" spans="1:12" x14ac:dyDescent="0.25">
      <c r="A1978">
        <v>215132378</v>
      </c>
      <c r="B1978" s="1">
        <v>45057</v>
      </c>
      <c r="C1978" s="1">
        <v>45082</v>
      </c>
      <c r="D1978" t="s">
        <v>7</v>
      </c>
      <c r="E1978">
        <v>39</v>
      </c>
      <c r="F1978" t="s">
        <v>6</v>
      </c>
      <c r="G1978" s="8">
        <f t="shared" si="246"/>
        <v>25</v>
      </c>
      <c r="H1978">
        <f t="shared" si="247"/>
        <v>5</v>
      </c>
      <c r="I1978" t="str">
        <f t="shared" si="245"/>
        <v>Thursday</v>
      </c>
      <c r="L1978">
        <f t="shared" si="248"/>
        <v>0</v>
      </c>
    </row>
    <row r="1979" spans="1:12" x14ac:dyDescent="0.25">
      <c r="A1979">
        <v>206145911</v>
      </c>
      <c r="B1979" s="1">
        <v>45057</v>
      </c>
      <c r="C1979" s="1">
        <v>45057</v>
      </c>
      <c r="D1979" t="s">
        <v>7</v>
      </c>
      <c r="E1979">
        <v>39</v>
      </c>
      <c r="F1979" t="s">
        <v>6</v>
      </c>
      <c r="G1979" s="8">
        <f t="shared" si="246"/>
        <v>0</v>
      </c>
      <c r="H1979">
        <f t="shared" si="247"/>
        <v>5</v>
      </c>
      <c r="I1979" t="str">
        <f t="shared" si="245"/>
        <v>Thursday</v>
      </c>
      <c r="L1979">
        <f t="shared" si="248"/>
        <v>1</v>
      </c>
    </row>
    <row r="1980" spans="1:12" x14ac:dyDescent="0.25">
      <c r="A1980">
        <v>215146368</v>
      </c>
      <c r="B1980" s="1">
        <v>45057</v>
      </c>
      <c r="C1980" s="1">
        <v>45065</v>
      </c>
      <c r="D1980" t="s">
        <v>7</v>
      </c>
      <c r="E1980">
        <v>39</v>
      </c>
      <c r="F1980" t="s">
        <v>6</v>
      </c>
      <c r="G1980" s="8">
        <f t="shared" si="246"/>
        <v>8</v>
      </c>
      <c r="H1980">
        <f t="shared" si="247"/>
        <v>5</v>
      </c>
      <c r="I1980" t="str">
        <f t="shared" si="245"/>
        <v>Thursday</v>
      </c>
      <c r="L1980">
        <f t="shared" si="248"/>
        <v>0</v>
      </c>
    </row>
    <row r="1981" spans="1:12" x14ac:dyDescent="0.25">
      <c r="A1981">
        <v>133199506</v>
      </c>
      <c r="B1981" s="1">
        <v>45058</v>
      </c>
      <c r="C1981" s="1">
        <f t="shared" ref="C1981:C1986" ca="1" si="253">TODAY()</f>
        <v>45938</v>
      </c>
      <c r="D1981" t="s">
        <v>7</v>
      </c>
      <c r="E1981">
        <v>39</v>
      </c>
      <c r="F1981" t="s">
        <v>6</v>
      </c>
      <c r="G1981" s="8">
        <f t="shared" ca="1" si="246"/>
        <v>880</v>
      </c>
      <c r="H1981">
        <f t="shared" si="247"/>
        <v>6</v>
      </c>
      <c r="I1981" t="str">
        <f t="shared" si="245"/>
        <v>Friday</v>
      </c>
      <c r="L1981">
        <f t="shared" ca="1" si="248"/>
        <v>0</v>
      </c>
    </row>
    <row r="1982" spans="1:12" x14ac:dyDescent="0.25">
      <c r="A1982">
        <v>202763494</v>
      </c>
      <c r="B1982" s="1">
        <v>45058</v>
      </c>
      <c r="C1982" s="1">
        <f t="shared" ca="1" si="253"/>
        <v>45938</v>
      </c>
      <c r="D1982" t="s">
        <v>7</v>
      </c>
      <c r="E1982">
        <v>39</v>
      </c>
      <c r="F1982" t="s">
        <v>6</v>
      </c>
      <c r="G1982" s="8">
        <f t="shared" ca="1" si="246"/>
        <v>880</v>
      </c>
      <c r="H1982">
        <f t="shared" si="247"/>
        <v>6</v>
      </c>
      <c r="I1982" t="str">
        <f t="shared" si="245"/>
        <v>Friday</v>
      </c>
      <c r="L1982">
        <f t="shared" ca="1" si="248"/>
        <v>0</v>
      </c>
    </row>
    <row r="1983" spans="1:12" x14ac:dyDescent="0.25">
      <c r="A1983">
        <v>215113205</v>
      </c>
      <c r="B1983" s="1">
        <v>45058</v>
      </c>
      <c r="C1983" s="1">
        <f t="shared" ca="1" si="253"/>
        <v>45938</v>
      </c>
      <c r="D1983" t="s">
        <v>7</v>
      </c>
      <c r="E1983">
        <v>39</v>
      </c>
      <c r="F1983" t="s">
        <v>6</v>
      </c>
      <c r="G1983" s="8">
        <f t="shared" ca="1" si="246"/>
        <v>880</v>
      </c>
      <c r="H1983">
        <f t="shared" si="247"/>
        <v>6</v>
      </c>
      <c r="I1983" t="str">
        <f t="shared" si="245"/>
        <v>Friday</v>
      </c>
      <c r="L1983">
        <f t="shared" ca="1" si="248"/>
        <v>0</v>
      </c>
    </row>
    <row r="1984" spans="1:12" x14ac:dyDescent="0.25">
      <c r="A1984">
        <v>147097108</v>
      </c>
      <c r="B1984" s="1">
        <v>45058</v>
      </c>
      <c r="C1984" s="1">
        <f t="shared" ca="1" si="253"/>
        <v>45938</v>
      </c>
      <c r="D1984" t="s">
        <v>7</v>
      </c>
      <c r="E1984">
        <v>39</v>
      </c>
      <c r="F1984" t="s">
        <v>6</v>
      </c>
      <c r="G1984" s="8">
        <f t="shared" ca="1" si="246"/>
        <v>880</v>
      </c>
      <c r="H1984">
        <f t="shared" si="247"/>
        <v>6</v>
      </c>
      <c r="I1984" t="str">
        <f t="shared" si="245"/>
        <v>Friday</v>
      </c>
      <c r="L1984">
        <f t="shared" ca="1" si="248"/>
        <v>0</v>
      </c>
    </row>
    <row r="1985" spans="1:12" x14ac:dyDescent="0.25">
      <c r="A1985">
        <v>186692270</v>
      </c>
      <c r="B1985" s="1">
        <v>45058</v>
      </c>
      <c r="C1985" s="1">
        <f t="shared" ca="1" si="253"/>
        <v>45938</v>
      </c>
      <c r="D1985" t="s">
        <v>7</v>
      </c>
      <c r="E1985">
        <v>39</v>
      </c>
      <c r="F1985" t="s">
        <v>6</v>
      </c>
      <c r="G1985" s="8">
        <f t="shared" ca="1" si="246"/>
        <v>880</v>
      </c>
      <c r="H1985">
        <f t="shared" si="247"/>
        <v>6</v>
      </c>
      <c r="I1985" t="str">
        <f t="shared" si="245"/>
        <v>Friday</v>
      </c>
      <c r="L1985">
        <f t="shared" ca="1" si="248"/>
        <v>0</v>
      </c>
    </row>
    <row r="1986" spans="1:12" x14ac:dyDescent="0.25">
      <c r="A1986">
        <v>215169444</v>
      </c>
      <c r="B1986" s="1">
        <v>45058</v>
      </c>
      <c r="C1986" s="1">
        <f t="shared" ca="1" si="253"/>
        <v>45938</v>
      </c>
      <c r="D1986" t="s">
        <v>7</v>
      </c>
      <c r="E1986">
        <v>39</v>
      </c>
      <c r="F1986" t="s">
        <v>6</v>
      </c>
      <c r="G1986" s="8">
        <f t="shared" ca="1" si="246"/>
        <v>880</v>
      </c>
      <c r="H1986">
        <f t="shared" si="247"/>
        <v>6</v>
      </c>
      <c r="I1986" t="str">
        <f t="shared" ref="I1986:I2049" si="254">TEXT(B1986,"DDDD")</f>
        <v>Friday</v>
      </c>
      <c r="L1986">
        <f t="shared" ca="1" si="248"/>
        <v>0</v>
      </c>
    </row>
    <row r="1987" spans="1:12" x14ac:dyDescent="0.25">
      <c r="A1987">
        <v>114992353</v>
      </c>
      <c r="B1987" s="1">
        <v>45058</v>
      </c>
      <c r="C1987" s="1">
        <v>45152</v>
      </c>
      <c r="D1987" t="s">
        <v>7</v>
      </c>
      <c r="E1987">
        <v>39</v>
      </c>
      <c r="F1987" t="s">
        <v>6</v>
      </c>
      <c r="G1987" s="8">
        <f t="shared" ref="G1987:G2050" si="255">IFERROR(DATEDIF(B1987,C1987,"D"),"0")</f>
        <v>94</v>
      </c>
      <c r="H1987">
        <f t="shared" ref="H1987:H2050" si="256">WEEKDAY(B1987,1)</f>
        <v>6</v>
      </c>
      <c r="I1987" t="str">
        <f t="shared" si="254"/>
        <v>Friday</v>
      </c>
      <c r="L1987">
        <f t="shared" ref="L1987:L2050" si="257">IF( OR($G1987=0,$G1987 = 1, $G1987 = 2), 1, 0 )</f>
        <v>0</v>
      </c>
    </row>
    <row r="1988" spans="1:12" x14ac:dyDescent="0.25">
      <c r="A1988">
        <v>212339137</v>
      </c>
      <c r="B1988" s="1">
        <v>45058</v>
      </c>
      <c r="C1988" s="1">
        <v>45059</v>
      </c>
      <c r="D1988" t="s">
        <v>7</v>
      </c>
      <c r="E1988">
        <v>39</v>
      </c>
      <c r="F1988" t="s">
        <v>6</v>
      </c>
      <c r="G1988" s="8">
        <f t="shared" si="255"/>
        <v>1</v>
      </c>
      <c r="H1988">
        <f t="shared" si="256"/>
        <v>6</v>
      </c>
      <c r="I1988" t="str">
        <f t="shared" si="254"/>
        <v>Friday</v>
      </c>
      <c r="L1988">
        <f t="shared" si="257"/>
        <v>1</v>
      </c>
    </row>
    <row r="1989" spans="1:12" x14ac:dyDescent="0.25">
      <c r="A1989">
        <v>175564124</v>
      </c>
      <c r="B1989" s="1">
        <v>45058</v>
      </c>
      <c r="C1989" s="1">
        <v>45081</v>
      </c>
      <c r="D1989" t="s">
        <v>7</v>
      </c>
      <c r="E1989">
        <v>39</v>
      </c>
      <c r="F1989" t="s">
        <v>6</v>
      </c>
      <c r="G1989" s="8">
        <f t="shared" si="255"/>
        <v>23</v>
      </c>
      <c r="H1989">
        <f t="shared" si="256"/>
        <v>6</v>
      </c>
      <c r="I1989" t="str">
        <f t="shared" si="254"/>
        <v>Friday</v>
      </c>
      <c r="L1989">
        <f t="shared" si="257"/>
        <v>0</v>
      </c>
    </row>
    <row r="1990" spans="1:12" x14ac:dyDescent="0.25">
      <c r="A1990">
        <v>174646950</v>
      </c>
      <c r="B1990" s="1">
        <v>45058</v>
      </c>
      <c r="C1990" s="1">
        <v>45096</v>
      </c>
      <c r="D1990" t="s">
        <v>7</v>
      </c>
      <c r="E1990">
        <v>39</v>
      </c>
      <c r="F1990" t="s">
        <v>6</v>
      </c>
      <c r="G1990" s="8">
        <f t="shared" si="255"/>
        <v>38</v>
      </c>
      <c r="H1990">
        <f t="shared" si="256"/>
        <v>6</v>
      </c>
      <c r="I1990" t="str">
        <f t="shared" si="254"/>
        <v>Friday</v>
      </c>
      <c r="L1990">
        <f t="shared" si="257"/>
        <v>0</v>
      </c>
    </row>
    <row r="1991" spans="1:12" x14ac:dyDescent="0.25">
      <c r="A1991">
        <v>215075697</v>
      </c>
      <c r="B1991" s="1">
        <v>45058</v>
      </c>
      <c r="C1991" s="1">
        <v>45088</v>
      </c>
      <c r="D1991" t="s">
        <v>7</v>
      </c>
      <c r="E1991">
        <v>39</v>
      </c>
      <c r="F1991" t="s">
        <v>6</v>
      </c>
      <c r="G1991" s="8">
        <f t="shared" si="255"/>
        <v>30</v>
      </c>
      <c r="H1991">
        <f t="shared" si="256"/>
        <v>6</v>
      </c>
      <c r="I1991" t="str">
        <f t="shared" si="254"/>
        <v>Friday</v>
      </c>
      <c r="L1991">
        <f t="shared" si="257"/>
        <v>0</v>
      </c>
    </row>
    <row r="1992" spans="1:12" x14ac:dyDescent="0.25">
      <c r="A1992">
        <v>215149530</v>
      </c>
      <c r="B1992" s="1">
        <v>45058</v>
      </c>
      <c r="C1992" s="1">
        <v>45107</v>
      </c>
      <c r="D1992" t="s">
        <v>7</v>
      </c>
      <c r="E1992">
        <v>39</v>
      </c>
      <c r="F1992" t="s">
        <v>6</v>
      </c>
      <c r="G1992" s="8">
        <f t="shared" si="255"/>
        <v>49</v>
      </c>
      <c r="H1992">
        <f t="shared" si="256"/>
        <v>6</v>
      </c>
      <c r="I1992" t="str">
        <f t="shared" si="254"/>
        <v>Friday</v>
      </c>
      <c r="L1992">
        <f t="shared" si="257"/>
        <v>0</v>
      </c>
    </row>
    <row r="1993" spans="1:12" x14ac:dyDescent="0.25">
      <c r="A1993">
        <v>215226464</v>
      </c>
      <c r="B1993" s="1">
        <v>45059</v>
      </c>
      <c r="C1993" s="1">
        <f t="shared" ref="C1993:C1997" ca="1" si="258">TODAY()</f>
        <v>45938</v>
      </c>
      <c r="D1993" t="s">
        <v>7</v>
      </c>
      <c r="E1993">
        <v>39</v>
      </c>
      <c r="F1993" t="s">
        <v>6</v>
      </c>
      <c r="G1993" s="8">
        <f t="shared" ca="1" si="255"/>
        <v>879</v>
      </c>
      <c r="H1993">
        <f t="shared" si="256"/>
        <v>7</v>
      </c>
      <c r="I1993" t="str">
        <f t="shared" si="254"/>
        <v>Saturday</v>
      </c>
      <c r="L1993">
        <f t="shared" ca="1" si="257"/>
        <v>0</v>
      </c>
    </row>
    <row r="1994" spans="1:12" x14ac:dyDescent="0.25">
      <c r="A1994">
        <v>215221354</v>
      </c>
      <c r="B1994" s="1">
        <v>45059</v>
      </c>
      <c r="C1994" s="1">
        <f t="shared" ca="1" si="258"/>
        <v>45938</v>
      </c>
      <c r="D1994" t="s">
        <v>7</v>
      </c>
      <c r="E1994">
        <v>39</v>
      </c>
      <c r="F1994" t="s">
        <v>6</v>
      </c>
      <c r="G1994" s="8">
        <f t="shared" ca="1" si="255"/>
        <v>879</v>
      </c>
      <c r="H1994">
        <f t="shared" si="256"/>
        <v>7</v>
      </c>
      <c r="I1994" t="str">
        <f t="shared" si="254"/>
        <v>Saturday</v>
      </c>
      <c r="L1994">
        <f t="shared" ca="1" si="257"/>
        <v>0</v>
      </c>
    </row>
    <row r="1995" spans="1:12" x14ac:dyDescent="0.25">
      <c r="A1995">
        <v>215031638</v>
      </c>
      <c r="B1995" s="1">
        <v>45059</v>
      </c>
      <c r="C1995" s="1">
        <f t="shared" ca="1" si="258"/>
        <v>45938</v>
      </c>
      <c r="D1995" t="s">
        <v>7</v>
      </c>
      <c r="E1995">
        <v>39</v>
      </c>
      <c r="F1995" t="s">
        <v>6</v>
      </c>
      <c r="G1995" s="8">
        <f t="shared" ca="1" si="255"/>
        <v>879</v>
      </c>
      <c r="H1995">
        <f t="shared" si="256"/>
        <v>7</v>
      </c>
      <c r="I1995" t="str">
        <f t="shared" si="254"/>
        <v>Saturday</v>
      </c>
      <c r="L1995">
        <f t="shared" ca="1" si="257"/>
        <v>0</v>
      </c>
    </row>
    <row r="1996" spans="1:12" x14ac:dyDescent="0.25">
      <c r="A1996">
        <v>182019861</v>
      </c>
      <c r="B1996" s="1">
        <v>45060</v>
      </c>
      <c r="C1996" s="1">
        <f t="shared" ca="1" si="258"/>
        <v>45938</v>
      </c>
      <c r="D1996" t="s">
        <v>7</v>
      </c>
      <c r="E1996">
        <v>39</v>
      </c>
      <c r="F1996" t="s">
        <v>6</v>
      </c>
      <c r="G1996" s="8">
        <f t="shared" ca="1" si="255"/>
        <v>878</v>
      </c>
      <c r="H1996">
        <f t="shared" si="256"/>
        <v>1</v>
      </c>
      <c r="I1996" t="str">
        <f t="shared" si="254"/>
        <v>Sunday</v>
      </c>
      <c r="L1996">
        <f t="shared" ca="1" si="257"/>
        <v>0</v>
      </c>
    </row>
    <row r="1997" spans="1:12" x14ac:dyDescent="0.25">
      <c r="A1997">
        <v>210072231</v>
      </c>
      <c r="B1997" s="1">
        <v>45060</v>
      </c>
      <c r="C1997" s="1">
        <f t="shared" ca="1" si="258"/>
        <v>45938</v>
      </c>
      <c r="D1997" t="s">
        <v>7</v>
      </c>
      <c r="E1997">
        <v>39</v>
      </c>
      <c r="F1997" t="s">
        <v>6</v>
      </c>
      <c r="G1997" s="8">
        <f t="shared" ca="1" si="255"/>
        <v>878</v>
      </c>
      <c r="H1997">
        <f t="shared" si="256"/>
        <v>1</v>
      </c>
      <c r="I1997" t="str">
        <f t="shared" si="254"/>
        <v>Sunday</v>
      </c>
      <c r="L1997">
        <f t="shared" ca="1" si="257"/>
        <v>0</v>
      </c>
    </row>
    <row r="1998" spans="1:12" x14ac:dyDescent="0.25">
      <c r="A1998">
        <v>127328847</v>
      </c>
      <c r="B1998" s="1">
        <v>45060</v>
      </c>
      <c r="C1998" s="1">
        <v>45061</v>
      </c>
      <c r="D1998" t="s">
        <v>7</v>
      </c>
      <c r="E1998">
        <v>39</v>
      </c>
      <c r="F1998" t="s">
        <v>6</v>
      </c>
      <c r="G1998" s="8">
        <f t="shared" si="255"/>
        <v>1</v>
      </c>
      <c r="H1998">
        <f t="shared" si="256"/>
        <v>1</v>
      </c>
      <c r="I1998" t="str">
        <f t="shared" si="254"/>
        <v>Sunday</v>
      </c>
      <c r="L1998">
        <f t="shared" si="257"/>
        <v>1</v>
      </c>
    </row>
    <row r="1999" spans="1:12" x14ac:dyDescent="0.25">
      <c r="A1999">
        <v>155566052</v>
      </c>
      <c r="B1999" s="1">
        <v>45060</v>
      </c>
      <c r="C1999" s="1">
        <v>45089</v>
      </c>
      <c r="D1999" t="s">
        <v>7</v>
      </c>
      <c r="E1999">
        <v>39</v>
      </c>
      <c r="F1999" t="s">
        <v>6</v>
      </c>
      <c r="G1999" s="8">
        <f t="shared" si="255"/>
        <v>29</v>
      </c>
      <c r="H1999">
        <f t="shared" si="256"/>
        <v>1</v>
      </c>
      <c r="I1999" t="str">
        <f t="shared" si="254"/>
        <v>Sunday</v>
      </c>
      <c r="L1999">
        <f t="shared" si="257"/>
        <v>0</v>
      </c>
    </row>
    <row r="2000" spans="1:12" x14ac:dyDescent="0.25">
      <c r="A2000">
        <v>151513254</v>
      </c>
      <c r="B2000" s="1">
        <v>45060</v>
      </c>
      <c r="C2000" s="1">
        <v>45097</v>
      </c>
      <c r="D2000" t="s">
        <v>7</v>
      </c>
      <c r="E2000">
        <v>39</v>
      </c>
      <c r="F2000" t="s">
        <v>6</v>
      </c>
      <c r="G2000" s="8">
        <f t="shared" si="255"/>
        <v>37</v>
      </c>
      <c r="H2000">
        <f t="shared" si="256"/>
        <v>1</v>
      </c>
      <c r="I2000" t="str">
        <f t="shared" si="254"/>
        <v>Sunday</v>
      </c>
      <c r="L2000">
        <f t="shared" si="257"/>
        <v>0</v>
      </c>
    </row>
    <row r="2001" spans="1:12" x14ac:dyDescent="0.25">
      <c r="A2001">
        <v>152236400</v>
      </c>
      <c r="B2001" s="1">
        <v>45060</v>
      </c>
      <c r="C2001" s="1">
        <v>45113</v>
      </c>
      <c r="D2001" t="s">
        <v>7</v>
      </c>
      <c r="E2001">
        <v>39</v>
      </c>
      <c r="F2001" t="s">
        <v>6</v>
      </c>
      <c r="G2001" s="8">
        <f t="shared" si="255"/>
        <v>53</v>
      </c>
      <c r="H2001">
        <f t="shared" si="256"/>
        <v>1</v>
      </c>
      <c r="I2001" t="str">
        <f t="shared" si="254"/>
        <v>Sunday</v>
      </c>
      <c r="L2001">
        <f t="shared" si="257"/>
        <v>0</v>
      </c>
    </row>
    <row r="2002" spans="1:12" x14ac:dyDescent="0.25">
      <c r="A2002">
        <v>215030324</v>
      </c>
      <c r="B2002" s="1">
        <v>45060</v>
      </c>
      <c r="C2002" s="1">
        <v>45152</v>
      </c>
      <c r="D2002" t="s">
        <v>7</v>
      </c>
      <c r="E2002">
        <v>39</v>
      </c>
      <c r="F2002" t="s">
        <v>6</v>
      </c>
      <c r="G2002" s="8">
        <f t="shared" si="255"/>
        <v>92</v>
      </c>
      <c r="H2002">
        <f t="shared" si="256"/>
        <v>1</v>
      </c>
      <c r="I2002" t="str">
        <f t="shared" si="254"/>
        <v>Sunday</v>
      </c>
      <c r="L2002">
        <f t="shared" si="257"/>
        <v>0</v>
      </c>
    </row>
    <row r="2003" spans="1:12" x14ac:dyDescent="0.25">
      <c r="A2003">
        <v>206087650</v>
      </c>
      <c r="B2003" s="1">
        <v>45060</v>
      </c>
      <c r="C2003" s="1">
        <v>45128</v>
      </c>
      <c r="D2003" t="s">
        <v>7</v>
      </c>
      <c r="E2003">
        <v>39</v>
      </c>
      <c r="F2003" t="s">
        <v>6</v>
      </c>
      <c r="G2003" s="8">
        <f t="shared" si="255"/>
        <v>68</v>
      </c>
      <c r="H2003">
        <f t="shared" si="256"/>
        <v>1</v>
      </c>
      <c r="I2003" t="str">
        <f t="shared" si="254"/>
        <v>Sunday</v>
      </c>
      <c r="L2003">
        <f t="shared" si="257"/>
        <v>0</v>
      </c>
    </row>
    <row r="2004" spans="1:12" x14ac:dyDescent="0.25">
      <c r="A2004">
        <v>136252657</v>
      </c>
      <c r="B2004" s="1">
        <v>45061</v>
      </c>
      <c r="C2004" s="1">
        <v>45112</v>
      </c>
      <c r="D2004" t="s">
        <v>7</v>
      </c>
      <c r="E2004">
        <v>39</v>
      </c>
      <c r="F2004" t="s">
        <v>6</v>
      </c>
      <c r="G2004" s="8">
        <f t="shared" si="255"/>
        <v>51</v>
      </c>
      <c r="H2004">
        <f t="shared" si="256"/>
        <v>2</v>
      </c>
      <c r="I2004" t="str">
        <f t="shared" si="254"/>
        <v>Monday</v>
      </c>
      <c r="L2004">
        <f t="shared" si="257"/>
        <v>0</v>
      </c>
    </row>
    <row r="2005" spans="1:12" x14ac:dyDescent="0.25">
      <c r="A2005">
        <v>134753801</v>
      </c>
      <c r="B2005" s="1">
        <v>45061</v>
      </c>
      <c r="C2005" s="1">
        <v>45119</v>
      </c>
      <c r="D2005" t="s">
        <v>7</v>
      </c>
      <c r="E2005">
        <v>39</v>
      </c>
      <c r="F2005" t="s">
        <v>6</v>
      </c>
      <c r="G2005" s="8">
        <f t="shared" si="255"/>
        <v>58</v>
      </c>
      <c r="H2005">
        <f t="shared" si="256"/>
        <v>2</v>
      </c>
      <c r="I2005" t="str">
        <f t="shared" si="254"/>
        <v>Monday</v>
      </c>
      <c r="L2005">
        <f t="shared" si="257"/>
        <v>0</v>
      </c>
    </row>
    <row r="2006" spans="1:12" x14ac:dyDescent="0.25">
      <c r="A2006">
        <v>155245092</v>
      </c>
      <c r="B2006" s="1">
        <v>45061</v>
      </c>
      <c r="C2006" s="1">
        <v>45093</v>
      </c>
      <c r="D2006" t="s">
        <v>7</v>
      </c>
      <c r="E2006">
        <v>39</v>
      </c>
      <c r="F2006" t="s">
        <v>6</v>
      </c>
      <c r="G2006" s="8">
        <f t="shared" si="255"/>
        <v>32</v>
      </c>
      <c r="H2006">
        <f t="shared" si="256"/>
        <v>2</v>
      </c>
      <c r="I2006" t="str">
        <f t="shared" si="254"/>
        <v>Monday</v>
      </c>
      <c r="L2006">
        <f t="shared" si="257"/>
        <v>0</v>
      </c>
    </row>
    <row r="2007" spans="1:12" x14ac:dyDescent="0.25">
      <c r="A2007">
        <v>214905500</v>
      </c>
      <c r="B2007" s="1">
        <v>45061</v>
      </c>
      <c r="C2007" s="1">
        <v>45160</v>
      </c>
      <c r="D2007" t="s">
        <v>7</v>
      </c>
      <c r="E2007">
        <v>39</v>
      </c>
      <c r="F2007" t="s">
        <v>6</v>
      </c>
      <c r="G2007" s="8">
        <f t="shared" si="255"/>
        <v>99</v>
      </c>
      <c r="H2007">
        <f t="shared" si="256"/>
        <v>2</v>
      </c>
      <c r="I2007" t="str">
        <f t="shared" si="254"/>
        <v>Monday</v>
      </c>
      <c r="L2007">
        <f t="shared" si="257"/>
        <v>0</v>
      </c>
    </row>
    <row r="2008" spans="1:12" x14ac:dyDescent="0.25">
      <c r="A2008">
        <v>215152504</v>
      </c>
      <c r="B2008" s="1">
        <v>45062</v>
      </c>
      <c r="C2008" s="1">
        <f t="shared" ref="C2008:C2011" ca="1" si="259">TODAY()</f>
        <v>45938</v>
      </c>
      <c r="D2008" t="s">
        <v>7</v>
      </c>
      <c r="E2008">
        <v>39</v>
      </c>
      <c r="F2008" t="s">
        <v>6</v>
      </c>
      <c r="G2008" s="8">
        <f t="shared" ca="1" si="255"/>
        <v>876</v>
      </c>
      <c r="H2008">
        <f t="shared" si="256"/>
        <v>3</v>
      </c>
      <c r="I2008" t="str">
        <f t="shared" si="254"/>
        <v>Tuesday</v>
      </c>
      <c r="L2008">
        <f t="shared" ca="1" si="257"/>
        <v>0</v>
      </c>
    </row>
    <row r="2009" spans="1:12" x14ac:dyDescent="0.25">
      <c r="A2009">
        <v>215336639</v>
      </c>
      <c r="B2009" s="1">
        <v>45062</v>
      </c>
      <c r="C2009" s="1">
        <f t="shared" ca="1" si="259"/>
        <v>45938</v>
      </c>
      <c r="D2009" t="s">
        <v>7</v>
      </c>
      <c r="E2009">
        <v>39</v>
      </c>
      <c r="F2009" t="s">
        <v>6</v>
      </c>
      <c r="G2009" s="8">
        <f t="shared" ca="1" si="255"/>
        <v>876</v>
      </c>
      <c r="H2009">
        <f t="shared" si="256"/>
        <v>3</v>
      </c>
      <c r="I2009" t="str">
        <f t="shared" si="254"/>
        <v>Tuesday</v>
      </c>
      <c r="L2009">
        <f t="shared" ca="1" si="257"/>
        <v>0</v>
      </c>
    </row>
    <row r="2010" spans="1:12" x14ac:dyDescent="0.25">
      <c r="A2010">
        <v>215220026</v>
      </c>
      <c r="B2010" s="1">
        <v>45062</v>
      </c>
      <c r="C2010" s="1">
        <f t="shared" ca="1" si="259"/>
        <v>45938</v>
      </c>
      <c r="D2010" t="s">
        <v>7</v>
      </c>
      <c r="E2010">
        <v>39</v>
      </c>
      <c r="F2010" t="s">
        <v>6</v>
      </c>
      <c r="G2010" s="8">
        <f t="shared" ca="1" si="255"/>
        <v>876</v>
      </c>
      <c r="H2010">
        <f t="shared" si="256"/>
        <v>3</v>
      </c>
      <c r="I2010" t="str">
        <f t="shared" si="254"/>
        <v>Tuesday</v>
      </c>
      <c r="L2010">
        <f t="shared" ca="1" si="257"/>
        <v>0</v>
      </c>
    </row>
    <row r="2011" spans="1:12" x14ac:dyDescent="0.25">
      <c r="A2011">
        <v>202395800</v>
      </c>
      <c r="B2011" s="1">
        <v>45062</v>
      </c>
      <c r="C2011" s="1">
        <f t="shared" ca="1" si="259"/>
        <v>45938</v>
      </c>
      <c r="D2011" t="s">
        <v>7</v>
      </c>
      <c r="E2011">
        <v>39</v>
      </c>
      <c r="F2011" t="s">
        <v>6</v>
      </c>
      <c r="G2011" s="8">
        <f t="shared" ca="1" si="255"/>
        <v>876</v>
      </c>
      <c r="H2011">
        <f t="shared" si="256"/>
        <v>3</v>
      </c>
      <c r="I2011" t="str">
        <f t="shared" si="254"/>
        <v>Tuesday</v>
      </c>
      <c r="L2011">
        <f t="shared" ca="1" si="257"/>
        <v>0</v>
      </c>
    </row>
    <row r="2012" spans="1:12" x14ac:dyDescent="0.25">
      <c r="A2012">
        <v>215289431</v>
      </c>
      <c r="B2012" s="1">
        <v>45062</v>
      </c>
      <c r="C2012" s="1">
        <v>45160</v>
      </c>
      <c r="D2012" t="s">
        <v>7</v>
      </c>
      <c r="E2012">
        <v>39</v>
      </c>
      <c r="F2012" t="s">
        <v>6</v>
      </c>
      <c r="G2012" s="8">
        <f t="shared" si="255"/>
        <v>98</v>
      </c>
      <c r="H2012">
        <f t="shared" si="256"/>
        <v>3</v>
      </c>
      <c r="I2012" t="str">
        <f t="shared" si="254"/>
        <v>Tuesday</v>
      </c>
      <c r="L2012">
        <f t="shared" si="257"/>
        <v>0</v>
      </c>
    </row>
    <row r="2013" spans="1:12" x14ac:dyDescent="0.25">
      <c r="A2013">
        <v>182102820</v>
      </c>
      <c r="B2013" s="1">
        <v>45062</v>
      </c>
      <c r="C2013" s="1">
        <v>45063</v>
      </c>
      <c r="D2013" t="s">
        <v>7</v>
      </c>
      <c r="E2013">
        <v>39</v>
      </c>
      <c r="F2013" t="s">
        <v>6</v>
      </c>
      <c r="G2013" s="8">
        <f t="shared" si="255"/>
        <v>1</v>
      </c>
      <c r="H2013">
        <f t="shared" si="256"/>
        <v>3</v>
      </c>
      <c r="I2013" t="str">
        <f t="shared" si="254"/>
        <v>Tuesday</v>
      </c>
      <c r="L2013">
        <f t="shared" si="257"/>
        <v>1</v>
      </c>
    </row>
    <row r="2014" spans="1:12" x14ac:dyDescent="0.25">
      <c r="A2014">
        <v>215322558</v>
      </c>
      <c r="B2014" s="1">
        <v>45062</v>
      </c>
      <c r="C2014" s="1">
        <v>45100</v>
      </c>
      <c r="D2014" t="s">
        <v>7</v>
      </c>
      <c r="E2014">
        <v>39</v>
      </c>
      <c r="F2014" t="s">
        <v>6</v>
      </c>
      <c r="G2014" s="8">
        <f t="shared" si="255"/>
        <v>38</v>
      </c>
      <c r="H2014">
        <f t="shared" si="256"/>
        <v>3</v>
      </c>
      <c r="I2014" t="str">
        <f t="shared" si="254"/>
        <v>Tuesday</v>
      </c>
      <c r="L2014">
        <f t="shared" si="257"/>
        <v>0</v>
      </c>
    </row>
    <row r="2015" spans="1:12" x14ac:dyDescent="0.25">
      <c r="A2015">
        <v>215347417</v>
      </c>
      <c r="B2015" s="1">
        <v>45062</v>
      </c>
      <c r="C2015" s="1">
        <v>45071</v>
      </c>
      <c r="D2015" t="s">
        <v>7</v>
      </c>
      <c r="E2015">
        <v>39</v>
      </c>
      <c r="F2015" t="s">
        <v>6</v>
      </c>
      <c r="G2015" s="8">
        <f t="shared" si="255"/>
        <v>9</v>
      </c>
      <c r="H2015">
        <f t="shared" si="256"/>
        <v>3</v>
      </c>
      <c r="I2015" t="str">
        <f t="shared" si="254"/>
        <v>Tuesday</v>
      </c>
      <c r="L2015">
        <f t="shared" si="257"/>
        <v>0</v>
      </c>
    </row>
    <row r="2016" spans="1:12" x14ac:dyDescent="0.25">
      <c r="A2016">
        <v>215203944</v>
      </c>
      <c r="B2016" s="1">
        <v>45062</v>
      </c>
      <c r="C2016" s="1">
        <v>45118</v>
      </c>
      <c r="D2016" t="s">
        <v>7</v>
      </c>
      <c r="E2016">
        <v>39</v>
      </c>
      <c r="F2016" t="s">
        <v>6</v>
      </c>
      <c r="G2016" s="8">
        <f t="shared" si="255"/>
        <v>56</v>
      </c>
      <c r="H2016">
        <f t="shared" si="256"/>
        <v>3</v>
      </c>
      <c r="I2016" t="str">
        <f t="shared" si="254"/>
        <v>Tuesday</v>
      </c>
      <c r="L2016">
        <f t="shared" si="257"/>
        <v>0</v>
      </c>
    </row>
    <row r="2017" spans="1:12" x14ac:dyDescent="0.25">
      <c r="A2017">
        <v>215350747</v>
      </c>
      <c r="B2017" s="1">
        <v>45062</v>
      </c>
      <c r="C2017" s="1">
        <v>45141</v>
      </c>
      <c r="D2017" t="s">
        <v>7</v>
      </c>
      <c r="E2017">
        <v>39</v>
      </c>
      <c r="F2017" t="s">
        <v>6</v>
      </c>
      <c r="G2017" s="8">
        <f t="shared" si="255"/>
        <v>79</v>
      </c>
      <c r="H2017">
        <f t="shared" si="256"/>
        <v>3</v>
      </c>
      <c r="I2017" t="str">
        <f t="shared" si="254"/>
        <v>Tuesday</v>
      </c>
      <c r="L2017">
        <f t="shared" si="257"/>
        <v>0</v>
      </c>
    </row>
    <row r="2018" spans="1:12" x14ac:dyDescent="0.25">
      <c r="A2018">
        <v>215254830</v>
      </c>
      <c r="B2018" s="1">
        <v>45062</v>
      </c>
      <c r="C2018" s="1">
        <v>45140</v>
      </c>
      <c r="D2018" t="s">
        <v>7</v>
      </c>
      <c r="E2018">
        <v>39</v>
      </c>
      <c r="F2018" t="s">
        <v>6</v>
      </c>
      <c r="G2018" s="8">
        <f t="shared" si="255"/>
        <v>78</v>
      </c>
      <c r="H2018">
        <f t="shared" si="256"/>
        <v>3</v>
      </c>
      <c r="I2018" t="str">
        <f t="shared" si="254"/>
        <v>Tuesday</v>
      </c>
      <c r="L2018">
        <f t="shared" si="257"/>
        <v>0</v>
      </c>
    </row>
    <row r="2019" spans="1:12" x14ac:dyDescent="0.25">
      <c r="A2019">
        <v>192908537</v>
      </c>
      <c r="B2019" s="1">
        <v>45062</v>
      </c>
      <c r="C2019" s="1">
        <v>45093</v>
      </c>
      <c r="D2019" t="s">
        <v>7</v>
      </c>
      <c r="E2019">
        <v>39</v>
      </c>
      <c r="F2019" t="s">
        <v>6</v>
      </c>
      <c r="G2019" s="8">
        <f t="shared" si="255"/>
        <v>31</v>
      </c>
      <c r="H2019">
        <f t="shared" si="256"/>
        <v>3</v>
      </c>
      <c r="I2019" t="str">
        <f t="shared" si="254"/>
        <v>Tuesday</v>
      </c>
      <c r="L2019">
        <f t="shared" si="257"/>
        <v>0</v>
      </c>
    </row>
    <row r="2020" spans="1:12" x14ac:dyDescent="0.25">
      <c r="A2020">
        <v>123007965</v>
      </c>
      <c r="B2020" s="1">
        <v>45063</v>
      </c>
      <c r="C2020" s="1">
        <f t="shared" ref="C2020:C2024" ca="1" si="260">TODAY()</f>
        <v>45938</v>
      </c>
      <c r="D2020" t="s">
        <v>7</v>
      </c>
      <c r="E2020">
        <v>39</v>
      </c>
      <c r="F2020" t="s">
        <v>6</v>
      </c>
      <c r="G2020" s="8">
        <f t="shared" ca="1" si="255"/>
        <v>875</v>
      </c>
      <c r="H2020">
        <f t="shared" si="256"/>
        <v>4</v>
      </c>
      <c r="I2020" t="str">
        <f t="shared" si="254"/>
        <v>Wednesday</v>
      </c>
      <c r="L2020">
        <f t="shared" ca="1" si="257"/>
        <v>0</v>
      </c>
    </row>
    <row r="2021" spans="1:12" x14ac:dyDescent="0.25">
      <c r="A2021">
        <v>151711223</v>
      </c>
      <c r="B2021" s="1">
        <v>45063</v>
      </c>
      <c r="C2021" s="1">
        <f t="shared" ca="1" si="260"/>
        <v>45938</v>
      </c>
      <c r="D2021" t="s">
        <v>7</v>
      </c>
      <c r="E2021">
        <v>39</v>
      </c>
      <c r="F2021" t="s">
        <v>6</v>
      </c>
      <c r="G2021" s="8">
        <f t="shared" ca="1" si="255"/>
        <v>875</v>
      </c>
      <c r="H2021">
        <f t="shared" si="256"/>
        <v>4</v>
      </c>
      <c r="I2021" t="str">
        <f t="shared" si="254"/>
        <v>Wednesday</v>
      </c>
      <c r="L2021">
        <f t="shared" ca="1" si="257"/>
        <v>0</v>
      </c>
    </row>
    <row r="2022" spans="1:12" x14ac:dyDescent="0.25">
      <c r="A2022">
        <v>130751382</v>
      </c>
      <c r="B2022" s="1">
        <v>45063</v>
      </c>
      <c r="C2022" s="1">
        <f t="shared" ca="1" si="260"/>
        <v>45938</v>
      </c>
      <c r="D2022" t="s">
        <v>7</v>
      </c>
      <c r="E2022">
        <v>39</v>
      </c>
      <c r="F2022" t="s">
        <v>6</v>
      </c>
      <c r="G2022" s="8">
        <f t="shared" ca="1" si="255"/>
        <v>875</v>
      </c>
      <c r="H2022">
        <f t="shared" si="256"/>
        <v>4</v>
      </c>
      <c r="I2022" t="str">
        <f t="shared" si="254"/>
        <v>Wednesday</v>
      </c>
      <c r="L2022">
        <f t="shared" ca="1" si="257"/>
        <v>0</v>
      </c>
    </row>
    <row r="2023" spans="1:12" x14ac:dyDescent="0.25">
      <c r="A2023">
        <v>126037254</v>
      </c>
      <c r="B2023" s="1">
        <v>45063</v>
      </c>
      <c r="C2023" s="1">
        <f t="shared" ca="1" si="260"/>
        <v>45938</v>
      </c>
      <c r="D2023" t="s">
        <v>7</v>
      </c>
      <c r="E2023">
        <v>39</v>
      </c>
      <c r="F2023" t="s">
        <v>6</v>
      </c>
      <c r="G2023" s="8">
        <f t="shared" ca="1" si="255"/>
        <v>875</v>
      </c>
      <c r="H2023">
        <f t="shared" si="256"/>
        <v>4</v>
      </c>
      <c r="I2023" t="str">
        <f t="shared" si="254"/>
        <v>Wednesday</v>
      </c>
      <c r="L2023">
        <f t="shared" ca="1" si="257"/>
        <v>0</v>
      </c>
    </row>
    <row r="2024" spans="1:12" x14ac:dyDescent="0.25">
      <c r="A2024">
        <v>133469770</v>
      </c>
      <c r="B2024" s="1">
        <v>45063</v>
      </c>
      <c r="C2024" s="1">
        <f t="shared" ca="1" si="260"/>
        <v>45938</v>
      </c>
      <c r="D2024" t="s">
        <v>7</v>
      </c>
      <c r="E2024">
        <v>39</v>
      </c>
      <c r="F2024" t="s">
        <v>6</v>
      </c>
      <c r="G2024" s="8">
        <f t="shared" ca="1" si="255"/>
        <v>875</v>
      </c>
      <c r="H2024">
        <f t="shared" si="256"/>
        <v>4</v>
      </c>
      <c r="I2024" t="str">
        <f t="shared" si="254"/>
        <v>Wednesday</v>
      </c>
      <c r="L2024">
        <f t="shared" ca="1" si="257"/>
        <v>0</v>
      </c>
    </row>
    <row r="2025" spans="1:12" x14ac:dyDescent="0.25">
      <c r="A2025">
        <v>133565657</v>
      </c>
      <c r="B2025" s="1">
        <v>45063</v>
      </c>
      <c r="C2025" s="1">
        <v>45148</v>
      </c>
      <c r="D2025" t="s">
        <v>7</v>
      </c>
      <c r="E2025">
        <v>39</v>
      </c>
      <c r="F2025" t="s">
        <v>6</v>
      </c>
      <c r="G2025" s="8">
        <f t="shared" si="255"/>
        <v>85</v>
      </c>
      <c r="H2025">
        <f t="shared" si="256"/>
        <v>4</v>
      </c>
      <c r="I2025" t="str">
        <f t="shared" si="254"/>
        <v>Wednesday</v>
      </c>
      <c r="L2025">
        <f t="shared" si="257"/>
        <v>0</v>
      </c>
    </row>
    <row r="2026" spans="1:12" x14ac:dyDescent="0.25">
      <c r="A2026">
        <v>215307979</v>
      </c>
      <c r="B2026" s="1">
        <v>45063</v>
      </c>
      <c r="C2026" s="1">
        <v>45101</v>
      </c>
      <c r="D2026" t="s">
        <v>7</v>
      </c>
      <c r="E2026">
        <v>39</v>
      </c>
      <c r="F2026" t="s">
        <v>6</v>
      </c>
      <c r="G2026" s="8">
        <f t="shared" si="255"/>
        <v>38</v>
      </c>
      <c r="H2026">
        <f t="shared" si="256"/>
        <v>4</v>
      </c>
      <c r="I2026" t="str">
        <f t="shared" si="254"/>
        <v>Wednesday</v>
      </c>
      <c r="L2026">
        <f t="shared" si="257"/>
        <v>0</v>
      </c>
    </row>
    <row r="2027" spans="1:12" x14ac:dyDescent="0.25">
      <c r="A2027">
        <v>174289942</v>
      </c>
      <c r="B2027" s="1">
        <v>45063</v>
      </c>
      <c r="C2027" s="1">
        <v>45128</v>
      </c>
      <c r="D2027" t="s">
        <v>7</v>
      </c>
      <c r="E2027">
        <v>39</v>
      </c>
      <c r="F2027" t="s">
        <v>6</v>
      </c>
      <c r="G2027" s="8">
        <f t="shared" si="255"/>
        <v>65</v>
      </c>
      <c r="H2027">
        <f t="shared" si="256"/>
        <v>4</v>
      </c>
      <c r="I2027" t="str">
        <f t="shared" si="254"/>
        <v>Wednesday</v>
      </c>
      <c r="L2027">
        <f t="shared" si="257"/>
        <v>0</v>
      </c>
    </row>
    <row r="2028" spans="1:12" x14ac:dyDescent="0.25">
      <c r="A2028">
        <v>215366550</v>
      </c>
      <c r="B2028" s="1">
        <v>45063</v>
      </c>
      <c r="C2028" s="1">
        <v>45139</v>
      </c>
      <c r="D2028" t="s">
        <v>7</v>
      </c>
      <c r="E2028">
        <v>39</v>
      </c>
      <c r="F2028" t="s">
        <v>6</v>
      </c>
      <c r="G2028" s="8">
        <f t="shared" si="255"/>
        <v>76</v>
      </c>
      <c r="H2028">
        <f t="shared" si="256"/>
        <v>4</v>
      </c>
      <c r="I2028" t="str">
        <f t="shared" si="254"/>
        <v>Wednesday</v>
      </c>
      <c r="L2028">
        <f t="shared" si="257"/>
        <v>0</v>
      </c>
    </row>
    <row r="2029" spans="1:12" x14ac:dyDescent="0.25">
      <c r="A2029">
        <v>210361390</v>
      </c>
      <c r="B2029" s="1">
        <v>45064</v>
      </c>
      <c r="C2029" s="1">
        <f t="shared" ref="C2029:C2032" ca="1" si="261">TODAY()</f>
        <v>45938</v>
      </c>
      <c r="D2029" t="s">
        <v>7</v>
      </c>
      <c r="E2029">
        <v>39</v>
      </c>
      <c r="F2029" t="s">
        <v>6</v>
      </c>
      <c r="G2029" s="8">
        <f t="shared" ca="1" si="255"/>
        <v>874</v>
      </c>
      <c r="H2029">
        <f t="shared" si="256"/>
        <v>5</v>
      </c>
      <c r="I2029" t="str">
        <f t="shared" si="254"/>
        <v>Thursday</v>
      </c>
      <c r="L2029">
        <f t="shared" ca="1" si="257"/>
        <v>0</v>
      </c>
    </row>
    <row r="2030" spans="1:12" x14ac:dyDescent="0.25">
      <c r="A2030">
        <v>120738319</v>
      </c>
      <c r="B2030" s="1">
        <v>45064</v>
      </c>
      <c r="C2030" s="1">
        <f t="shared" ca="1" si="261"/>
        <v>45938</v>
      </c>
      <c r="D2030" t="s">
        <v>7</v>
      </c>
      <c r="E2030">
        <v>39</v>
      </c>
      <c r="F2030" t="s">
        <v>6</v>
      </c>
      <c r="G2030" s="8">
        <f t="shared" ca="1" si="255"/>
        <v>874</v>
      </c>
      <c r="H2030">
        <f t="shared" si="256"/>
        <v>5</v>
      </c>
      <c r="I2030" t="str">
        <f t="shared" si="254"/>
        <v>Thursday</v>
      </c>
      <c r="L2030">
        <f t="shared" ca="1" si="257"/>
        <v>0</v>
      </c>
    </row>
    <row r="2031" spans="1:12" x14ac:dyDescent="0.25">
      <c r="A2031">
        <v>214122861</v>
      </c>
      <c r="B2031" s="1">
        <v>45064</v>
      </c>
      <c r="C2031" s="1">
        <f t="shared" ca="1" si="261"/>
        <v>45938</v>
      </c>
      <c r="D2031" t="s">
        <v>7</v>
      </c>
      <c r="E2031">
        <v>39</v>
      </c>
      <c r="F2031" t="s">
        <v>6</v>
      </c>
      <c r="G2031" s="8">
        <f t="shared" ca="1" si="255"/>
        <v>874</v>
      </c>
      <c r="H2031">
        <f t="shared" si="256"/>
        <v>5</v>
      </c>
      <c r="I2031" t="str">
        <f t="shared" si="254"/>
        <v>Thursday</v>
      </c>
      <c r="L2031">
        <f t="shared" ca="1" si="257"/>
        <v>0</v>
      </c>
    </row>
    <row r="2032" spans="1:12" x14ac:dyDescent="0.25">
      <c r="A2032">
        <v>214793162</v>
      </c>
      <c r="B2032" s="1">
        <v>45064</v>
      </c>
      <c r="C2032" s="1">
        <f t="shared" ca="1" si="261"/>
        <v>45938</v>
      </c>
      <c r="D2032" t="s">
        <v>7</v>
      </c>
      <c r="E2032">
        <v>39</v>
      </c>
      <c r="F2032" t="s">
        <v>6</v>
      </c>
      <c r="G2032" s="8">
        <f t="shared" ca="1" si="255"/>
        <v>874</v>
      </c>
      <c r="H2032">
        <f t="shared" si="256"/>
        <v>5</v>
      </c>
      <c r="I2032" t="str">
        <f t="shared" si="254"/>
        <v>Thursday</v>
      </c>
      <c r="L2032">
        <f t="shared" ca="1" si="257"/>
        <v>0</v>
      </c>
    </row>
    <row r="2033" spans="1:12" x14ac:dyDescent="0.25">
      <c r="A2033">
        <v>215420480</v>
      </c>
      <c r="B2033" s="1">
        <v>45064</v>
      </c>
      <c r="C2033" s="1">
        <v>45175</v>
      </c>
      <c r="D2033" t="s">
        <v>7</v>
      </c>
      <c r="E2033">
        <v>39</v>
      </c>
      <c r="F2033" t="s">
        <v>6</v>
      </c>
      <c r="G2033" s="8">
        <f t="shared" si="255"/>
        <v>111</v>
      </c>
      <c r="H2033">
        <f t="shared" si="256"/>
        <v>5</v>
      </c>
      <c r="I2033" t="str">
        <f t="shared" si="254"/>
        <v>Thursday</v>
      </c>
      <c r="L2033">
        <f t="shared" si="257"/>
        <v>0</v>
      </c>
    </row>
    <row r="2034" spans="1:12" x14ac:dyDescent="0.25">
      <c r="A2034">
        <v>215415792</v>
      </c>
      <c r="B2034" s="1">
        <v>45064</v>
      </c>
      <c r="C2034" s="1">
        <v>45065</v>
      </c>
      <c r="D2034" t="s">
        <v>8</v>
      </c>
      <c r="E2034">
        <v>39</v>
      </c>
      <c r="F2034" t="s">
        <v>6</v>
      </c>
      <c r="G2034" s="8">
        <f t="shared" si="255"/>
        <v>1</v>
      </c>
      <c r="H2034">
        <f t="shared" si="256"/>
        <v>5</v>
      </c>
      <c r="I2034" t="str">
        <f t="shared" si="254"/>
        <v>Thursday</v>
      </c>
      <c r="L2034">
        <f t="shared" si="257"/>
        <v>1</v>
      </c>
    </row>
    <row r="2035" spans="1:12" x14ac:dyDescent="0.25">
      <c r="A2035">
        <v>152705871</v>
      </c>
      <c r="B2035" s="1">
        <v>45064</v>
      </c>
      <c r="C2035" s="1">
        <v>45071</v>
      </c>
      <c r="D2035" t="s">
        <v>7</v>
      </c>
      <c r="E2035">
        <v>39</v>
      </c>
      <c r="F2035" t="s">
        <v>6</v>
      </c>
      <c r="G2035" s="8">
        <f t="shared" si="255"/>
        <v>7</v>
      </c>
      <c r="H2035">
        <f t="shared" si="256"/>
        <v>5</v>
      </c>
      <c r="I2035" t="str">
        <f t="shared" si="254"/>
        <v>Thursday</v>
      </c>
      <c r="L2035">
        <f t="shared" si="257"/>
        <v>0</v>
      </c>
    </row>
    <row r="2036" spans="1:12" x14ac:dyDescent="0.25">
      <c r="A2036">
        <v>168265029</v>
      </c>
      <c r="B2036" s="1">
        <v>45064</v>
      </c>
      <c r="C2036" s="1">
        <v>45077</v>
      </c>
      <c r="D2036" t="s">
        <v>7</v>
      </c>
      <c r="E2036">
        <v>39</v>
      </c>
      <c r="F2036" t="s">
        <v>6</v>
      </c>
      <c r="G2036" s="8">
        <f t="shared" si="255"/>
        <v>13</v>
      </c>
      <c r="H2036">
        <f t="shared" si="256"/>
        <v>5</v>
      </c>
      <c r="I2036" t="str">
        <f t="shared" si="254"/>
        <v>Thursday</v>
      </c>
      <c r="L2036">
        <f t="shared" si="257"/>
        <v>0</v>
      </c>
    </row>
    <row r="2037" spans="1:12" x14ac:dyDescent="0.25">
      <c r="A2037">
        <v>215428908</v>
      </c>
      <c r="B2037" s="1">
        <v>45064</v>
      </c>
      <c r="C2037" s="1">
        <v>45096</v>
      </c>
      <c r="D2037" t="s">
        <v>7</v>
      </c>
      <c r="E2037">
        <v>39</v>
      </c>
      <c r="F2037" t="s">
        <v>6</v>
      </c>
      <c r="G2037" s="8">
        <f t="shared" si="255"/>
        <v>32</v>
      </c>
      <c r="H2037">
        <f t="shared" si="256"/>
        <v>5</v>
      </c>
      <c r="I2037" t="str">
        <f t="shared" si="254"/>
        <v>Thursday</v>
      </c>
      <c r="L2037">
        <f t="shared" si="257"/>
        <v>0</v>
      </c>
    </row>
    <row r="2038" spans="1:12" x14ac:dyDescent="0.25">
      <c r="A2038">
        <v>215189952</v>
      </c>
      <c r="B2038" s="1">
        <v>45064</v>
      </c>
      <c r="C2038" s="1">
        <v>45106</v>
      </c>
      <c r="D2038" t="s">
        <v>7</v>
      </c>
      <c r="E2038">
        <v>39</v>
      </c>
      <c r="F2038" t="s">
        <v>6</v>
      </c>
      <c r="G2038" s="8">
        <f t="shared" si="255"/>
        <v>42</v>
      </c>
      <c r="H2038">
        <f t="shared" si="256"/>
        <v>5</v>
      </c>
      <c r="I2038" t="str">
        <f t="shared" si="254"/>
        <v>Thursday</v>
      </c>
      <c r="L2038">
        <f t="shared" si="257"/>
        <v>0</v>
      </c>
    </row>
    <row r="2039" spans="1:12" x14ac:dyDescent="0.25">
      <c r="A2039">
        <v>208168256</v>
      </c>
      <c r="B2039" s="1">
        <v>45064</v>
      </c>
      <c r="C2039" s="1">
        <v>45095</v>
      </c>
      <c r="D2039" t="s">
        <v>7</v>
      </c>
      <c r="E2039">
        <v>39</v>
      </c>
      <c r="F2039" t="s">
        <v>6</v>
      </c>
      <c r="G2039" s="8">
        <f t="shared" si="255"/>
        <v>31</v>
      </c>
      <c r="H2039">
        <f t="shared" si="256"/>
        <v>5</v>
      </c>
      <c r="I2039" t="str">
        <f t="shared" si="254"/>
        <v>Thursday</v>
      </c>
      <c r="L2039">
        <f t="shared" si="257"/>
        <v>0</v>
      </c>
    </row>
    <row r="2040" spans="1:12" x14ac:dyDescent="0.25">
      <c r="A2040">
        <v>163193072</v>
      </c>
      <c r="B2040" s="1">
        <v>45065</v>
      </c>
      <c r="C2040" s="1">
        <f t="shared" ref="C2040" ca="1" si="262">TODAY()</f>
        <v>45938</v>
      </c>
      <c r="D2040" t="s">
        <v>7</v>
      </c>
      <c r="E2040">
        <v>39</v>
      </c>
      <c r="F2040" t="s">
        <v>6</v>
      </c>
      <c r="G2040" s="8">
        <f t="shared" ca="1" si="255"/>
        <v>873</v>
      </c>
      <c r="H2040">
        <f t="shared" si="256"/>
        <v>6</v>
      </c>
      <c r="I2040" t="str">
        <f t="shared" si="254"/>
        <v>Friday</v>
      </c>
      <c r="L2040">
        <f t="shared" ca="1" si="257"/>
        <v>0</v>
      </c>
    </row>
    <row r="2041" spans="1:12" x14ac:dyDescent="0.25">
      <c r="A2041">
        <v>153449481</v>
      </c>
      <c r="B2041" s="1">
        <v>45065</v>
      </c>
      <c r="C2041" s="1">
        <v>45066</v>
      </c>
      <c r="D2041" t="s">
        <v>7</v>
      </c>
      <c r="E2041">
        <v>39</v>
      </c>
      <c r="F2041" t="s">
        <v>6</v>
      </c>
      <c r="G2041" s="8">
        <f t="shared" si="255"/>
        <v>1</v>
      </c>
      <c r="H2041">
        <f t="shared" si="256"/>
        <v>6</v>
      </c>
      <c r="I2041" t="str">
        <f t="shared" si="254"/>
        <v>Friday</v>
      </c>
      <c r="L2041">
        <f t="shared" si="257"/>
        <v>1</v>
      </c>
    </row>
    <row r="2042" spans="1:12" x14ac:dyDescent="0.25">
      <c r="A2042">
        <v>215384745</v>
      </c>
      <c r="B2042" s="1">
        <v>45065</v>
      </c>
      <c r="C2042" s="1">
        <v>45095</v>
      </c>
      <c r="D2042" t="s">
        <v>7</v>
      </c>
      <c r="E2042">
        <v>39</v>
      </c>
      <c r="F2042" t="s">
        <v>6</v>
      </c>
      <c r="G2042" s="8">
        <f t="shared" si="255"/>
        <v>30</v>
      </c>
      <c r="H2042">
        <f t="shared" si="256"/>
        <v>6</v>
      </c>
      <c r="I2042" t="str">
        <f t="shared" si="254"/>
        <v>Friday</v>
      </c>
      <c r="L2042">
        <f t="shared" si="257"/>
        <v>0</v>
      </c>
    </row>
    <row r="2043" spans="1:12" x14ac:dyDescent="0.25">
      <c r="A2043">
        <v>160904253</v>
      </c>
      <c r="B2043" s="1">
        <v>45065</v>
      </c>
      <c r="C2043" s="1">
        <v>45103</v>
      </c>
      <c r="D2043" t="s">
        <v>7</v>
      </c>
      <c r="E2043">
        <v>39</v>
      </c>
      <c r="F2043" t="s">
        <v>6</v>
      </c>
      <c r="G2043" s="8">
        <f t="shared" si="255"/>
        <v>38</v>
      </c>
      <c r="H2043">
        <f t="shared" si="256"/>
        <v>6</v>
      </c>
      <c r="I2043" t="str">
        <f t="shared" si="254"/>
        <v>Friday</v>
      </c>
      <c r="L2043">
        <f t="shared" si="257"/>
        <v>0</v>
      </c>
    </row>
    <row r="2044" spans="1:12" x14ac:dyDescent="0.25">
      <c r="A2044">
        <v>215476119</v>
      </c>
      <c r="B2044" s="1">
        <v>45065</v>
      </c>
      <c r="C2044" s="1">
        <v>45103</v>
      </c>
      <c r="D2044" t="s">
        <v>7</v>
      </c>
      <c r="E2044">
        <v>39</v>
      </c>
      <c r="F2044" t="s">
        <v>6</v>
      </c>
      <c r="G2044" s="8">
        <f t="shared" si="255"/>
        <v>38</v>
      </c>
      <c r="H2044">
        <f t="shared" si="256"/>
        <v>6</v>
      </c>
      <c r="I2044" t="str">
        <f t="shared" si="254"/>
        <v>Friday</v>
      </c>
      <c r="L2044">
        <f t="shared" si="257"/>
        <v>0</v>
      </c>
    </row>
    <row r="2045" spans="1:12" x14ac:dyDescent="0.25">
      <c r="A2045">
        <v>214624328</v>
      </c>
      <c r="B2045" s="1">
        <v>45065</v>
      </c>
      <c r="C2045" s="1">
        <v>45091</v>
      </c>
      <c r="D2045" t="s">
        <v>7</v>
      </c>
      <c r="E2045">
        <v>39</v>
      </c>
      <c r="F2045" t="s">
        <v>6</v>
      </c>
      <c r="G2045" s="8">
        <f t="shared" si="255"/>
        <v>26</v>
      </c>
      <c r="H2045">
        <f t="shared" si="256"/>
        <v>6</v>
      </c>
      <c r="I2045" t="str">
        <f t="shared" si="254"/>
        <v>Friday</v>
      </c>
      <c r="L2045">
        <f t="shared" si="257"/>
        <v>0</v>
      </c>
    </row>
    <row r="2046" spans="1:12" x14ac:dyDescent="0.25">
      <c r="A2046">
        <v>215463105</v>
      </c>
      <c r="B2046" s="1">
        <v>45065</v>
      </c>
      <c r="C2046" s="1">
        <v>45073</v>
      </c>
      <c r="D2046" t="s">
        <v>7</v>
      </c>
      <c r="E2046">
        <v>39</v>
      </c>
      <c r="F2046" t="s">
        <v>6</v>
      </c>
      <c r="G2046" s="8">
        <f t="shared" si="255"/>
        <v>8</v>
      </c>
      <c r="H2046">
        <f t="shared" si="256"/>
        <v>6</v>
      </c>
      <c r="I2046" t="str">
        <f t="shared" si="254"/>
        <v>Friday</v>
      </c>
      <c r="L2046">
        <f t="shared" si="257"/>
        <v>0</v>
      </c>
    </row>
    <row r="2047" spans="1:12" x14ac:dyDescent="0.25">
      <c r="A2047">
        <v>187368519</v>
      </c>
      <c r="B2047" s="1">
        <v>45065</v>
      </c>
      <c r="C2047" s="1">
        <v>45164</v>
      </c>
      <c r="D2047" t="s">
        <v>7</v>
      </c>
      <c r="E2047">
        <v>39</v>
      </c>
      <c r="F2047" t="s">
        <v>6</v>
      </c>
      <c r="G2047" s="8">
        <f t="shared" si="255"/>
        <v>99</v>
      </c>
      <c r="H2047">
        <f t="shared" si="256"/>
        <v>6</v>
      </c>
      <c r="I2047" t="str">
        <f t="shared" si="254"/>
        <v>Friday</v>
      </c>
      <c r="L2047">
        <f t="shared" si="257"/>
        <v>0</v>
      </c>
    </row>
    <row r="2048" spans="1:12" x14ac:dyDescent="0.25">
      <c r="A2048">
        <v>206139986</v>
      </c>
      <c r="B2048" s="1">
        <v>45065</v>
      </c>
      <c r="C2048" s="1">
        <v>45125</v>
      </c>
      <c r="D2048" t="s">
        <v>7</v>
      </c>
      <c r="E2048">
        <v>39</v>
      </c>
      <c r="F2048" t="s">
        <v>6</v>
      </c>
      <c r="G2048" s="8">
        <f t="shared" si="255"/>
        <v>60</v>
      </c>
      <c r="H2048">
        <f t="shared" si="256"/>
        <v>6</v>
      </c>
      <c r="I2048" t="str">
        <f t="shared" si="254"/>
        <v>Friday</v>
      </c>
      <c r="L2048">
        <f t="shared" si="257"/>
        <v>0</v>
      </c>
    </row>
    <row r="2049" spans="1:12" x14ac:dyDescent="0.25">
      <c r="A2049">
        <v>215473481</v>
      </c>
      <c r="B2049" s="1">
        <v>45065</v>
      </c>
      <c r="C2049" s="1">
        <v>45121</v>
      </c>
      <c r="D2049" t="s">
        <v>7</v>
      </c>
      <c r="E2049">
        <v>39</v>
      </c>
      <c r="F2049" t="s">
        <v>6</v>
      </c>
      <c r="G2049" s="8">
        <f t="shared" si="255"/>
        <v>56</v>
      </c>
      <c r="H2049">
        <f t="shared" si="256"/>
        <v>6</v>
      </c>
      <c r="I2049" t="str">
        <f t="shared" si="254"/>
        <v>Friday</v>
      </c>
      <c r="L2049">
        <f t="shared" si="257"/>
        <v>0</v>
      </c>
    </row>
    <row r="2050" spans="1:12" x14ac:dyDescent="0.25">
      <c r="A2050">
        <v>214967111</v>
      </c>
      <c r="B2050" s="1">
        <v>45066</v>
      </c>
      <c r="C2050" s="1">
        <f t="shared" ref="C2050" ca="1" si="263">TODAY()</f>
        <v>45938</v>
      </c>
      <c r="D2050" t="s">
        <v>7</v>
      </c>
      <c r="E2050">
        <v>39</v>
      </c>
      <c r="F2050" t="s">
        <v>6</v>
      </c>
      <c r="G2050" s="8">
        <f t="shared" ca="1" si="255"/>
        <v>872</v>
      </c>
      <c r="H2050">
        <f t="shared" si="256"/>
        <v>7</v>
      </c>
      <c r="I2050" t="str">
        <f t="shared" ref="I2050:I2113" si="264">TEXT(B2050,"DDDD")</f>
        <v>Saturday</v>
      </c>
      <c r="L2050">
        <f t="shared" ca="1" si="257"/>
        <v>0</v>
      </c>
    </row>
    <row r="2051" spans="1:12" x14ac:dyDescent="0.25">
      <c r="A2051">
        <v>215472324</v>
      </c>
      <c r="B2051" s="1">
        <v>45066</v>
      </c>
      <c r="C2051" s="1">
        <v>45104</v>
      </c>
      <c r="D2051" t="s">
        <v>7</v>
      </c>
      <c r="E2051">
        <v>39</v>
      </c>
      <c r="F2051" t="s">
        <v>6</v>
      </c>
      <c r="G2051" s="8">
        <f t="shared" ref="G2051:G2114" si="265">IFERROR(DATEDIF(B2051,C2051,"D"),"0")</f>
        <v>38</v>
      </c>
      <c r="H2051">
        <f t="shared" ref="H2051:H2114" si="266">WEEKDAY(B2051,1)</f>
        <v>7</v>
      </c>
      <c r="I2051" t="str">
        <f t="shared" si="264"/>
        <v>Saturday</v>
      </c>
      <c r="L2051">
        <f t="shared" ref="L2051:L2114" si="267">IF( OR($G2051=0,$G2051 = 1, $G2051 = 2), 1, 0 )</f>
        <v>0</v>
      </c>
    </row>
    <row r="2052" spans="1:12" x14ac:dyDescent="0.25">
      <c r="A2052">
        <v>146557284</v>
      </c>
      <c r="B2052" s="1">
        <v>45066</v>
      </c>
      <c r="C2052" s="1">
        <v>45098</v>
      </c>
      <c r="D2052" t="s">
        <v>7</v>
      </c>
      <c r="E2052">
        <v>39</v>
      </c>
      <c r="F2052" t="s">
        <v>6</v>
      </c>
      <c r="G2052" s="8">
        <f t="shared" si="265"/>
        <v>32</v>
      </c>
      <c r="H2052">
        <f t="shared" si="266"/>
        <v>7</v>
      </c>
      <c r="I2052" t="str">
        <f t="shared" si="264"/>
        <v>Saturday</v>
      </c>
      <c r="L2052">
        <f t="shared" si="267"/>
        <v>0</v>
      </c>
    </row>
    <row r="2053" spans="1:12" x14ac:dyDescent="0.25">
      <c r="A2053">
        <v>215486098</v>
      </c>
      <c r="B2053" s="1">
        <v>45067</v>
      </c>
      <c r="C2053" s="1">
        <f t="shared" ref="C2053:C2054" ca="1" si="268">TODAY()</f>
        <v>45938</v>
      </c>
      <c r="D2053" t="s">
        <v>7</v>
      </c>
      <c r="E2053">
        <v>39</v>
      </c>
      <c r="F2053" t="s">
        <v>6</v>
      </c>
      <c r="G2053" s="8">
        <f t="shared" ca="1" si="265"/>
        <v>871</v>
      </c>
      <c r="H2053">
        <f t="shared" si="266"/>
        <v>1</v>
      </c>
      <c r="I2053" t="str">
        <f t="shared" si="264"/>
        <v>Sunday</v>
      </c>
      <c r="L2053">
        <f t="shared" ca="1" si="267"/>
        <v>0</v>
      </c>
    </row>
    <row r="2054" spans="1:12" x14ac:dyDescent="0.25">
      <c r="A2054">
        <v>119436804</v>
      </c>
      <c r="B2054" s="1">
        <v>45067</v>
      </c>
      <c r="C2054" s="1">
        <f t="shared" ca="1" si="268"/>
        <v>45938</v>
      </c>
      <c r="D2054" t="s">
        <v>7</v>
      </c>
      <c r="E2054">
        <v>39</v>
      </c>
      <c r="F2054" t="s">
        <v>6</v>
      </c>
      <c r="G2054" s="8">
        <f t="shared" ca="1" si="265"/>
        <v>871</v>
      </c>
      <c r="H2054">
        <f t="shared" si="266"/>
        <v>1</v>
      </c>
      <c r="I2054" t="str">
        <f t="shared" si="264"/>
        <v>Sunday</v>
      </c>
      <c r="L2054">
        <f t="shared" ca="1" si="267"/>
        <v>0</v>
      </c>
    </row>
    <row r="2055" spans="1:12" x14ac:dyDescent="0.25">
      <c r="A2055">
        <v>127100688</v>
      </c>
      <c r="B2055" s="1">
        <v>45067</v>
      </c>
      <c r="C2055" s="1">
        <v>45068</v>
      </c>
      <c r="D2055" t="s">
        <v>7</v>
      </c>
      <c r="E2055">
        <v>39</v>
      </c>
      <c r="F2055" t="s">
        <v>6</v>
      </c>
      <c r="G2055" s="8">
        <f t="shared" si="265"/>
        <v>1</v>
      </c>
      <c r="H2055">
        <f t="shared" si="266"/>
        <v>1</v>
      </c>
      <c r="I2055" t="str">
        <f t="shared" si="264"/>
        <v>Sunday</v>
      </c>
      <c r="L2055">
        <f t="shared" si="267"/>
        <v>1</v>
      </c>
    </row>
    <row r="2056" spans="1:12" x14ac:dyDescent="0.25">
      <c r="A2056">
        <v>134524378</v>
      </c>
      <c r="B2056" s="1">
        <v>45067</v>
      </c>
      <c r="C2056" s="1">
        <v>45068</v>
      </c>
      <c r="D2056" t="s">
        <v>7</v>
      </c>
      <c r="E2056">
        <v>39</v>
      </c>
      <c r="F2056" t="s">
        <v>6</v>
      </c>
      <c r="G2056" s="8">
        <f t="shared" si="265"/>
        <v>1</v>
      </c>
      <c r="H2056">
        <f t="shared" si="266"/>
        <v>1</v>
      </c>
      <c r="I2056" t="str">
        <f t="shared" si="264"/>
        <v>Sunday</v>
      </c>
      <c r="L2056">
        <f t="shared" si="267"/>
        <v>1</v>
      </c>
    </row>
    <row r="2057" spans="1:12" x14ac:dyDescent="0.25">
      <c r="A2057">
        <v>134652589</v>
      </c>
      <c r="B2057" s="1">
        <v>45067</v>
      </c>
      <c r="C2057" s="1">
        <v>45067</v>
      </c>
      <c r="D2057" t="s">
        <v>7</v>
      </c>
      <c r="E2057">
        <v>39</v>
      </c>
      <c r="F2057" t="s">
        <v>6</v>
      </c>
      <c r="G2057" s="8">
        <f t="shared" si="265"/>
        <v>0</v>
      </c>
      <c r="H2057">
        <f t="shared" si="266"/>
        <v>1</v>
      </c>
      <c r="I2057" t="str">
        <f t="shared" si="264"/>
        <v>Sunday</v>
      </c>
      <c r="L2057">
        <f t="shared" si="267"/>
        <v>1</v>
      </c>
    </row>
    <row r="2058" spans="1:12" x14ac:dyDescent="0.25">
      <c r="A2058">
        <v>214134251</v>
      </c>
      <c r="B2058" s="1">
        <v>45067</v>
      </c>
      <c r="C2058" s="1">
        <v>45068</v>
      </c>
      <c r="D2058" t="s">
        <v>8</v>
      </c>
      <c r="E2058">
        <v>39</v>
      </c>
      <c r="F2058" t="s">
        <v>6</v>
      </c>
      <c r="G2058" s="8">
        <f t="shared" si="265"/>
        <v>1</v>
      </c>
      <c r="H2058">
        <f t="shared" si="266"/>
        <v>1</v>
      </c>
      <c r="I2058" t="str">
        <f t="shared" si="264"/>
        <v>Sunday</v>
      </c>
      <c r="L2058">
        <f t="shared" si="267"/>
        <v>1</v>
      </c>
    </row>
    <row r="2059" spans="1:12" x14ac:dyDescent="0.25">
      <c r="A2059">
        <v>215565049</v>
      </c>
      <c r="B2059" s="1">
        <v>45067</v>
      </c>
      <c r="C2059" s="1">
        <v>45067</v>
      </c>
      <c r="D2059" t="s">
        <v>7</v>
      </c>
      <c r="E2059">
        <v>39</v>
      </c>
      <c r="F2059" t="s">
        <v>6</v>
      </c>
      <c r="G2059" s="8">
        <f t="shared" si="265"/>
        <v>0</v>
      </c>
      <c r="H2059">
        <f t="shared" si="266"/>
        <v>1</v>
      </c>
      <c r="I2059" t="str">
        <f t="shared" si="264"/>
        <v>Sunday</v>
      </c>
      <c r="L2059">
        <f t="shared" si="267"/>
        <v>1</v>
      </c>
    </row>
    <row r="2060" spans="1:12" x14ac:dyDescent="0.25">
      <c r="A2060">
        <v>215606026</v>
      </c>
      <c r="B2060" s="1">
        <v>45067</v>
      </c>
      <c r="C2060" s="1">
        <v>45127</v>
      </c>
      <c r="D2060" t="s">
        <v>7</v>
      </c>
      <c r="E2060">
        <v>39</v>
      </c>
      <c r="F2060" t="s">
        <v>6</v>
      </c>
      <c r="G2060" s="8">
        <f t="shared" si="265"/>
        <v>60</v>
      </c>
      <c r="H2060">
        <f t="shared" si="266"/>
        <v>1</v>
      </c>
      <c r="I2060" t="str">
        <f t="shared" si="264"/>
        <v>Sunday</v>
      </c>
      <c r="L2060">
        <f t="shared" si="267"/>
        <v>0</v>
      </c>
    </row>
    <row r="2061" spans="1:12" x14ac:dyDescent="0.25">
      <c r="A2061">
        <v>215678881</v>
      </c>
      <c r="B2061" s="1">
        <v>45068</v>
      </c>
      <c r="C2061" s="1">
        <f t="shared" ref="C2061:C2065" ca="1" si="269">TODAY()</f>
        <v>45938</v>
      </c>
      <c r="D2061" t="s">
        <v>7</v>
      </c>
      <c r="E2061">
        <v>39</v>
      </c>
      <c r="F2061" t="s">
        <v>6</v>
      </c>
      <c r="G2061" s="8">
        <f t="shared" ca="1" si="265"/>
        <v>870</v>
      </c>
      <c r="H2061">
        <f t="shared" si="266"/>
        <v>2</v>
      </c>
      <c r="I2061" t="str">
        <f t="shared" si="264"/>
        <v>Monday</v>
      </c>
      <c r="L2061">
        <f t="shared" ca="1" si="267"/>
        <v>0</v>
      </c>
    </row>
    <row r="2062" spans="1:12" x14ac:dyDescent="0.25">
      <c r="A2062">
        <v>212356610</v>
      </c>
      <c r="B2062" s="1">
        <v>45068</v>
      </c>
      <c r="C2062" s="1">
        <f t="shared" ca="1" si="269"/>
        <v>45938</v>
      </c>
      <c r="D2062" t="s">
        <v>7</v>
      </c>
      <c r="E2062">
        <v>39</v>
      </c>
      <c r="F2062" t="s">
        <v>6</v>
      </c>
      <c r="G2062" s="8">
        <f t="shared" ca="1" si="265"/>
        <v>870</v>
      </c>
      <c r="H2062">
        <f t="shared" si="266"/>
        <v>2</v>
      </c>
      <c r="I2062" t="str">
        <f t="shared" si="264"/>
        <v>Monday</v>
      </c>
      <c r="L2062">
        <f t="shared" ca="1" si="267"/>
        <v>0</v>
      </c>
    </row>
    <row r="2063" spans="1:12" x14ac:dyDescent="0.25">
      <c r="A2063">
        <v>215336118</v>
      </c>
      <c r="B2063" s="1">
        <v>45068</v>
      </c>
      <c r="C2063" s="1">
        <f t="shared" ca="1" si="269"/>
        <v>45938</v>
      </c>
      <c r="D2063" t="s">
        <v>7</v>
      </c>
      <c r="E2063">
        <v>39</v>
      </c>
      <c r="F2063" t="s">
        <v>6</v>
      </c>
      <c r="G2063" s="8">
        <f t="shared" ca="1" si="265"/>
        <v>870</v>
      </c>
      <c r="H2063">
        <f t="shared" si="266"/>
        <v>2</v>
      </c>
      <c r="I2063" t="str">
        <f t="shared" si="264"/>
        <v>Monday</v>
      </c>
      <c r="L2063">
        <f t="shared" ca="1" si="267"/>
        <v>0</v>
      </c>
    </row>
    <row r="2064" spans="1:12" x14ac:dyDescent="0.25">
      <c r="A2064">
        <v>215664306</v>
      </c>
      <c r="B2064" s="1">
        <v>45068</v>
      </c>
      <c r="C2064" s="1">
        <f t="shared" ca="1" si="269"/>
        <v>45938</v>
      </c>
      <c r="D2064" t="s">
        <v>7</v>
      </c>
      <c r="E2064">
        <v>39</v>
      </c>
      <c r="F2064" t="s">
        <v>6</v>
      </c>
      <c r="G2064" s="8">
        <f t="shared" ca="1" si="265"/>
        <v>870</v>
      </c>
      <c r="H2064">
        <f t="shared" si="266"/>
        <v>2</v>
      </c>
      <c r="I2064" t="str">
        <f t="shared" si="264"/>
        <v>Monday</v>
      </c>
      <c r="L2064">
        <f t="shared" ca="1" si="267"/>
        <v>0</v>
      </c>
    </row>
    <row r="2065" spans="1:12" x14ac:dyDescent="0.25">
      <c r="A2065">
        <v>215643802</v>
      </c>
      <c r="B2065" s="1">
        <v>45068</v>
      </c>
      <c r="C2065" s="1">
        <f t="shared" ca="1" si="269"/>
        <v>45938</v>
      </c>
      <c r="D2065" t="s">
        <v>7</v>
      </c>
      <c r="E2065">
        <v>39</v>
      </c>
      <c r="F2065" t="s">
        <v>6</v>
      </c>
      <c r="G2065" s="8">
        <f t="shared" ca="1" si="265"/>
        <v>870</v>
      </c>
      <c r="H2065">
        <f t="shared" si="266"/>
        <v>2</v>
      </c>
      <c r="I2065" t="str">
        <f t="shared" si="264"/>
        <v>Monday</v>
      </c>
      <c r="L2065">
        <f t="shared" ca="1" si="267"/>
        <v>0</v>
      </c>
    </row>
    <row r="2066" spans="1:12" x14ac:dyDescent="0.25">
      <c r="A2066">
        <v>206177720</v>
      </c>
      <c r="B2066" s="1">
        <v>45068</v>
      </c>
      <c r="C2066" s="1">
        <v>45069</v>
      </c>
      <c r="D2066" t="s">
        <v>8</v>
      </c>
      <c r="E2066">
        <v>39</v>
      </c>
      <c r="F2066" t="s">
        <v>6</v>
      </c>
      <c r="G2066" s="8">
        <f t="shared" si="265"/>
        <v>1</v>
      </c>
      <c r="H2066">
        <f t="shared" si="266"/>
        <v>2</v>
      </c>
      <c r="I2066" t="str">
        <f t="shared" si="264"/>
        <v>Monday</v>
      </c>
      <c r="L2066">
        <f t="shared" si="267"/>
        <v>1</v>
      </c>
    </row>
    <row r="2067" spans="1:12" x14ac:dyDescent="0.25">
      <c r="A2067">
        <v>215691994</v>
      </c>
      <c r="B2067" s="1">
        <v>45068</v>
      </c>
      <c r="C2067" s="1">
        <v>45159</v>
      </c>
      <c r="D2067" t="s">
        <v>7</v>
      </c>
      <c r="E2067">
        <v>39</v>
      </c>
      <c r="F2067" t="s">
        <v>6</v>
      </c>
      <c r="G2067" s="8">
        <f t="shared" si="265"/>
        <v>91</v>
      </c>
      <c r="H2067">
        <f t="shared" si="266"/>
        <v>2</v>
      </c>
      <c r="I2067" t="str">
        <f t="shared" si="264"/>
        <v>Monday</v>
      </c>
      <c r="L2067">
        <f t="shared" si="267"/>
        <v>0</v>
      </c>
    </row>
    <row r="2068" spans="1:12" x14ac:dyDescent="0.25">
      <c r="A2068">
        <v>215653406</v>
      </c>
      <c r="B2068" s="1">
        <v>45069</v>
      </c>
      <c r="C2068" s="1">
        <f t="shared" ref="C2068" ca="1" si="270">TODAY()</f>
        <v>45938</v>
      </c>
      <c r="D2068" t="s">
        <v>7</v>
      </c>
      <c r="E2068">
        <v>39</v>
      </c>
      <c r="F2068" t="s">
        <v>6</v>
      </c>
      <c r="G2068" s="8">
        <f t="shared" ca="1" si="265"/>
        <v>869</v>
      </c>
      <c r="H2068">
        <f t="shared" si="266"/>
        <v>3</v>
      </c>
      <c r="I2068" t="str">
        <f t="shared" si="264"/>
        <v>Tuesday</v>
      </c>
      <c r="L2068">
        <f t="shared" ca="1" si="267"/>
        <v>0</v>
      </c>
    </row>
    <row r="2069" spans="1:12" x14ac:dyDescent="0.25">
      <c r="A2069">
        <v>215534470</v>
      </c>
      <c r="B2069" s="1">
        <v>45069</v>
      </c>
      <c r="C2069" s="1">
        <v>45070</v>
      </c>
      <c r="D2069" t="s">
        <v>7</v>
      </c>
      <c r="E2069">
        <v>39</v>
      </c>
      <c r="F2069" t="s">
        <v>6</v>
      </c>
      <c r="G2069" s="8">
        <f t="shared" si="265"/>
        <v>1</v>
      </c>
      <c r="H2069">
        <f t="shared" si="266"/>
        <v>3</v>
      </c>
      <c r="I2069" t="str">
        <f t="shared" si="264"/>
        <v>Tuesday</v>
      </c>
      <c r="L2069">
        <f t="shared" si="267"/>
        <v>1</v>
      </c>
    </row>
    <row r="2070" spans="1:12" x14ac:dyDescent="0.25">
      <c r="A2070">
        <v>150751482</v>
      </c>
      <c r="B2070" s="1">
        <v>45069</v>
      </c>
      <c r="C2070" s="1">
        <v>45127</v>
      </c>
      <c r="D2070" t="s">
        <v>7</v>
      </c>
      <c r="E2070">
        <v>39</v>
      </c>
      <c r="F2070" t="s">
        <v>6</v>
      </c>
      <c r="G2070" s="8">
        <f t="shared" si="265"/>
        <v>58</v>
      </c>
      <c r="H2070">
        <f t="shared" si="266"/>
        <v>3</v>
      </c>
      <c r="I2070" t="str">
        <f t="shared" si="264"/>
        <v>Tuesday</v>
      </c>
      <c r="L2070">
        <f t="shared" si="267"/>
        <v>0</v>
      </c>
    </row>
    <row r="2071" spans="1:12" x14ac:dyDescent="0.25">
      <c r="A2071">
        <v>208601341</v>
      </c>
      <c r="B2071" s="1">
        <v>45069</v>
      </c>
      <c r="C2071" s="1">
        <v>45115</v>
      </c>
      <c r="D2071" t="s">
        <v>7</v>
      </c>
      <c r="E2071">
        <v>39</v>
      </c>
      <c r="F2071" t="s">
        <v>6</v>
      </c>
      <c r="G2071" s="8">
        <f t="shared" si="265"/>
        <v>46</v>
      </c>
      <c r="H2071">
        <f t="shared" si="266"/>
        <v>3</v>
      </c>
      <c r="I2071" t="str">
        <f t="shared" si="264"/>
        <v>Tuesday</v>
      </c>
      <c r="L2071">
        <f t="shared" si="267"/>
        <v>0</v>
      </c>
    </row>
    <row r="2072" spans="1:12" x14ac:dyDescent="0.25">
      <c r="A2072">
        <v>215473479</v>
      </c>
      <c r="B2072" s="1">
        <v>45069</v>
      </c>
      <c r="C2072" s="1">
        <v>45103</v>
      </c>
      <c r="D2072" t="s">
        <v>7</v>
      </c>
      <c r="E2072">
        <v>39</v>
      </c>
      <c r="F2072" t="s">
        <v>6</v>
      </c>
      <c r="G2072" s="8">
        <f t="shared" si="265"/>
        <v>34</v>
      </c>
      <c r="H2072">
        <f t="shared" si="266"/>
        <v>3</v>
      </c>
      <c r="I2072" t="str">
        <f t="shared" si="264"/>
        <v>Tuesday</v>
      </c>
      <c r="L2072">
        <f t="shared" si="267"/>
        <v>0</v>
      </c>
    </row>
    <row r="2073" spans="1:12" x14ac:dyDescent="0.25">
      <c r="A2073">
        <v>215646044</v>
      </c>
      <c r="B2073" s="1">
        <v>45069</v>
      </c>
      <c r="C2073" s="1">
        <v>45098</v>
      </c>
      <c r="D2073" t="s">
        <v>7</v>
      </c>
      <c r="E2073">
        <v>39</v>
      </c>
      <c r="F2073" t="s">
        <v>6</v>
      </c>
      <c r="G2073" s="8">
        <f t="shared" si="265"/>
        <v>29</v>
      </c>
      <c r="H2073">
        <f t="shared" si="266"/>
        <v>3</v>
      </c>
      <c r="I2073" t="str">
        <f t="shared" si="264"/>
        <v>Tuesday</v>
      </c>
      <c r="L2073">
        <f t="shared" si="267"/>
        <v>0</v>
      </c>
    </row>
    <row r="2074" spans="1:12" x14ac:dyDescent="0.25">
      <c r="A2074">
        <v>215686983</v>
      </c>
      <c r="B2074" s="1">
        <v>45069</v>
      </c>
      <c r="C2074" s="1">
        <v>45103</v>
      </c>
      <c r="D2074" t="s">
        <v>7</v>
      </c>
      <c r="E2074">
        <v>39</v>
      </c>
      <c r="F2074" t="s">
        <v>6</v>
      </c>
      <c r="G2074" s="8">
        <f t="shared" si="265"/>
        <v>34</v>
      </c>
      <c r="H2074">
        <f t="shared" si="266"/>
        <v>3</v>
      </c>
      <c r="I2074" t="str">
        <f t="shared" si="264"/>
        <v>Tuesday</v>
      </c>
      <c r="L2074">
        <f t="shared" si="267"/>
        <v>0</v>
      </c>
    </row>
    <row r="2075" spans="1:12" x14ac:dyDescent="0.25">
      <c r="A2075">
        <v>215704655</v>
      </c>
      <c r="B2075" s="1">
        <v>45070</v>
      </c>
      <c r="C2075" s="1">
        <f t="shared" ref="C2075" ca="1" si="271">TODAY()</f>
        <v>45938</v>
      </c>
      <c r="D2075" t="s">
        <v>7</v>
      </c>
      <c r="E2075">
        <v>39</v>
      </c>
      <c r="F2075" t="s">
        <v>6</v>
      </c>
      <c r="G2075" s="8">
        <f t="shared" ca="1" si="265"/>
        <v>868</v>
      </c>
      <c r="H2075">
        <f t="shared" si="266"/>
        <v>4</v>
      </c>
      <c r="I2075" t="str">
        <f t="shared" si="264"/>
        <v>Wednesday</v>
      </c>
      <c r="L2075">
        <f t="shared" ca="1" si="267"/>
        <v>0</v>
      </c>
    </row>
    <row r="2076" spans="1:12" x14ac:dyDescent="0.25">
      <c r="A2076">
        <v>131984682</v>
      </c>
      <c r="B2076" s="1">
        <v>45070</v>
      </c>
      <c r="C2076" s="1">
        <v>45116</v>
      </c>
      <c r="D2076" t="s">
        <v>7</v>
      </c>
      <c r="E2076">
        <v>39</v>
      </c>
      <c r="F2076" t="s">
        <v>6</v>
      </c>
      <c r="G2076" s="8">
        <f t="shared" si="265"/>
        <v>46</v>
      </c>
      <c r="H2076">
        <f t="shared" si="266"/>
        <v>4</v>
      </c>
      <c r="I2076" t="str">
        <f t="shared" si="264"/>
        <v>Wednesday</v>
      </c>
      <c r="L2076">
        <f t="shared" si="267"/>
        <v>0</v>
      </c>
    </row>
    <row r="2077" spans="1:12" x14ac:dyDescent="0.25">
      <c r="A2077">
        <v>214698924</v>
      </c>
      <c r="B2077" s="1">
        <v>45070</v>
      </c>
      <c r="C2077" s="1">
        <v>45104</v>
      </c>
      <c r="D2077" t="s">
        <v>7</v>
      </c>
      <c r="E2077">
        <v>39</v>
      </c>
      <c r="F2077" t="s">
        <v>6</v>
      </c>
      <c r="G2077" s="8">
        <f t="shared" si="265"/>
        <v>34</v>
      </c>
      <c r="H2077">
        <f t="shared" si="266"/>
        <v>4</v>
      </c>
      <c r="I2077" t="str">
        <f t="shared" si="264"/>
        <v>Wednesday</v>
      </c>
      <c r="L2077">
        <f t="shared" si="267"/>
        <v>0</v>
      </c>
    </row>
    <row r="2078" spans="1:12" x14ac:dyDescent="0.25">
      <c r="A2078">
        <v>183886863</v>
      </c>
      <c r="B2078" s="1">
        <v>45070</v>
      </c>
      <c r="C2078" s="1">
        <v>45070</v>
      </c>
      <c r="D2078" t="s">
        <v>7</v>
      </c>
      <c r="E2078">
        <v>39</v>
      </c>
      <c r="F2078" t="s">
        <v>6</v>
      </c>
      <c r="G2078" s="8">
        <f t="shared" si="265"/>
        <v>0</v>
      </c>
      <c r="H2078">
        <f t="shared" si="266"/>
        <v>4</v>
      </c>
      <c r="I2078" t="str">
        <f t="shared" si="264"/>
        <v>Wednesday</v>
      </c>
      <c r="L2078">
        <f t="shared" si="267"/>
        <v>1</v>
      </c>
    </row>
    <row r="2079" spans="1:12" x14ac:dyDescent="0.25">
      <c r="A2079">
        <v>215869320</v>
      </c>
      <c r="B2079" s="1">
        <v>45071</v>
      </c>
      <c r="C2079" s="1">
        <f t="shared" ref="C2079:C2082" ca="1" si="272">TODAY()</f>
        <v>45938</v>
      </c>
      <c r="D2079" t="s">
        <v>7</v>
      </c>
      <c r="E2079">
        <v>39</v>
      </c>
      <c r="F2079" t="s">
        <v>6</v>
      </c>
      <c r="G2079" s="8">
        <f t="shared" ca="1" si="265"/>
        <v>867</v>
      </c>
      <c r="H2079">
        <f t="shared" si="266"/>
        <v>5</v>
      </c>
      <c r="I2079" t="str">
        <f t="shared" si="264"/>
        <v>Thursday</v>
      </c>
      <c r="L2079">
        <f t="shared" ca="1" si="267"/>
        <v>0</v>
      </c>
    </row>
    <row r="2080" spans="1:12" x14ac:dyDescent="0.25">
      <c r="A2080">
        <v>215616284</v>
      </c>
      <c r="B2080" s="1">
        <v>45071</v>
      </c>
      <c r="C2080" s="1">
        <f t="shared" ca="1" si="272"/>
        <v>45938</v>
      </c>
      <c r="D2080" t="s">
        <v>7</v>
      </c>
      <c r="E2080">
        <v>39</v>
      </c>
      <c r="F2080" t="s">
        <v>6</v>
      </c>
      <c r="G2080" s="8">
        <f t="shared" ca="1" si="265"/>
        <v>867</v>
      </c>
      <c r="H2080">
        <f t="shared" si="266"/>
        <v>5</v>
      </c>
      <c r="I2080" t="str">
        <f t="shared" si="264"/>
        <v>Thursday</v>
      </c>
      <c r="L2080">
        <f t="shared" ca="1" si="267"/>
        <v>0</v>
      </c>
    </row>
    <row r="2081" spans="1:12" x14ac:dyDescent="0.25">
      <c r="A2081">
        <v>215896078</v>
      </c>
      <c r="B2081" s="1">
        <v>45071</v>
      </c>
      <c r="C2081" s="1">
        <f t="shared" ca="1" si="272"/>
        <v>45938</v>
      </c>
      <c r="D2081" t="s">
        <v>7</v>
      </c>
      <c r="E2081">
        <v>39</v>
      </c>
      <c r="F2081" t="s">
        <v>6</v>
      </c>
      <c r="G2081" s="8">
        <f t="shared" ca="1" si="265"/>
        <v>867</v>
      </c>
      <c r="H2081">
        <f t="shared" si="266"/>
        <v>5</v>
      </c>
      <c r="I2081" t="str">
        <f t="shared" si="264"/>
        <v>Thursday</v>
      </c>
      <c r="L2081">
        <f t="shared" ca="1" si="267"/>
        <v>0</v>
      </c>
    </row>
    <row r="2082" spans="1:12" x14ac:dyDescent="0.25">
      <c r="A2082">
        <v>215910170</v>
      </c>
      <c r="B2082" s="1">
        <v>45071</v>
      </c>
      <c r="C2082" s="1">
        <f t="shared" ca="1" si="272"/>
        <v>45938</v>
      </c>
      <c r="D2082" t="s">
        <v>7</v>
      </c>
      <c r="E2082">
        <v>39</v>
      </c>
      <c r="F2082" t="s">
        <v>6</v>
      </c>
      <c r="G2082" s="8">
        <f t="shared" ca="1" si="265"/>
        <v>867</v>
      </c>
      <c r="H2082">
        <f t="shared" si="266"/>
        <v>5</v>
      </c>
      <c r="I2082" t="str">
        <f t="shared" si="264"/>
        <v>Thursday</v>
      </c>
      <c r="L2082">
        <f t="shared" ca="1" si="267"/>
        <v>0</v>
      </c>
    </row>
    <row r="2083" spans="1:12" x14ac:dyDescent="0.25">
      <c r="A2083">
        <v>211754109</v>
      </c>
      <c r="B2083" s="1">
        <v>45071</v>
      </c>
      <c r="C2083" s="1">
        <v>45072</v>
      </c>
      <c r="D2083" t="s">
        <v>8</v>
      </c>
      <c r="E2083">
        <v>39</v>
      </c>
      <c r="F2083" t="s">
        <v>6</v>
      </c>
      <c r="G2083" s="8">
        <f t="shared" si="265"/>
        <v>1</v>
      </c>
      <c r="H2083">
        <f t="shared" si="266"/>
        <v>5</v>
      </c>
      <c r="I2083" t="str">
        <f t="shared" si="264"/>
        <v>Thursday</v>
      </c>
      <c r="L2083">
        <f t="shared" si="267"/>
        <v>1</v>
      </c>
    </row>
    <row r="2084" spans="1:12" x14ac:dyDescent="0.25">
      <c r="A2084">
        <v>205682690</v>
      </c>
      <c r="B2084" s="1">
        <v>45071</v>
      </c>
      <c r="C2084" s="1">
        <v>45072</v>
      </c>
      <c r="D2084" t="s">
        <v>7</v>
      </c>
      <c r="E2084">
        <v>39</v>
      </c>
      <c r="F2084" t="s">
        <v>6</v>
      </c>
      <c r="G2084" s="8">
        <f t="shared" si="265"/>
        <v>1</v>
      </c>
      <c r="H2084">
        <f t="shared" si="266"/>
        <v>5</v>
      </c>
      <c r="I2084" t="str">
        <f t="shared" si="264"/>
        <v>Thursday</v>
      </c>
      <c r="L2084">
        <f t="shared" si="267"/>
        <v>1</v>
      </c>
    </row>
    <row r="2085" spans="1:12" x14ac:dyDescent="0.25">
      <c r="A2085">
        <v>151412112</v>
      </c>
      <c r="B2085" s="1">
        <v>45071</v>
      </c>
      <c r="C2085" s="1">
        <v>45096</v>
      </c>
      <c r="D2085" t="s">
        <v>7</v>
      </c>
      <c r="E2085">
        <v>39</v>
      </c>
      <c r="F2085" t="s">
        <v>6</v>
      </c>
      <c r="G2085" s="8">
        <f t="shared" si="265"/>
        <v>25</v>
      </c>
      <c r="H2085">
        <f t="shared" si="266"/>
        <v>5</v>
      </c>
      <c r="I2085" t="str">
        <f t="shared" si="264"/>
        <v>Thursday</v>
      </c>
      <c r="L2085">
        <f t="shared" si="267"/>
        <v>0</v>
      </c>
    </row>
    <row r="2086" spans="1:12" x14ac:dyDescent="0.25">
      <c r="A2086">
        <v>154467458</v>
      </c>
      <c r="B2086" s="1">
        <v>45071</v>
      </c>
      <c r="C2086" s="1">
        <v>45106</v>
      </c>
      <c r="D2086" t="s">
        <v>7</v>
      </c>
      <c r="E2086">
        <v>39</v>
      </c>
      <c r="F2086" t="s">
        <v>6</v>
      </c>
      <c r="G2086" s="8">
        <f t="shared" si="265"/>
        <v>35</v>
      </c>
      <c r="H2086">
        <f t="shared" si="266"/>
        <v>5</v>
      </c>
      <c r="I2086" t="str">
        <f t="shared" si="264"/>
        <v>Thursday</v>
      </c>
      <c r="L2086">
        <f t="shared" si="267"/>
        <v>0</v>
      </c>
    </row>
    <row r="2087" spans="1:12" x14ac:dyDescent="0.25">
      <c r="A2087">
        <v>212339137</v>
      </c>
      <c r="B2087" s="1">
        <v>45071</v>
      </c>
      <c r="C2087" s="1">
        <v>45109</v>
      </c>
      <c r="D2087" t="s">
        <v>7</v>
      </c>
      <c r="E2087">
        <v>39</v>
      </c>
      <c r="F2087" t="s">
        <v>6</v>
      </c>
      <c r="G2087" s="8">
        <f t="shared" si="265"/>
        <v>38</v>
      </c>
      <c r="H2087">
        <f t="shared" si="266"/>
        <v>5</v>
      </c>
      <c r="I2087" t="str">
        <f t="shared" si="264"/>
        <v>Thursday</v>
      </c>
      <c r="L2087">
        <f t="shared" si="267"/>
        <v>0</v>
      </c>
    </row>
    <row r="2088" spans="1:12" x14ac:dyDescent="0.25">
      <c r="A2088">
        <v>215894271</v>
      </c>
      <c r="B2088" s="1">
        <v>45071</v>
      </c>
      <c r="C2088" s="1">
        <v>45092</v>
      </c>
      <c r="D2088" t="s">
        <v>7</v>
      </c>
      <c r="E2088">
        <v>39</v>
      </c>
      <c r="F2088" t="s">
        <v>6</v>
      </c>
      <c r="G2088" s="8">
        <f t="shared" si="265"/>
        <v>21</v>
      </c>
      <c r="H2088">
        <f t="shared" si="266"/>
        <v>5</v>
      </c>
      <c r="I2088" t="str">
        <f t="shared" si="264"/>
        <v>Thursday</v>
      </c>
      <c r="L2088">
        <f t="shared" si="267"/>
        <v>0</v>
      </c>
    </row>
    <row r="2089" spans="1:12" x14ac:dyDescent="0.25">
      <c r="A2089">
        <v>215908442</v>
      </c>
      <c r="B2089" s="1">
        <v>45071</v>
      </c>
      <c r="C2089" s="1">
        <v>45155</v>
      </c>
      <c r="D2089" t="s">
        <v>7</v>
      </c>
      <c r="E2089">
        <v>39</v>
      </c>
      <c r="F2089" t="s">
        <v>6</v>
      </c>
      <c r="G2089" s="8">
        <f t="shared" si="265"/>
        <v>84</v>
      </c>
      <c r="H2089">
        <f t="shared" si="266"/>
        <v>5</v>
      </c>
      <c r="I2089" t="str">
        <f t="shared" si="264"/>
        <v>Thursday</v>
      </c>
      <c r="L2089">
        <f t="shared" si="267"/>
        <v>0</v>
      </c>
    </row>
    <row r="2090" spans="1:12" x14ac:dyDescent="0.25">
      <c r="A2090">
        <v>136032360</v>
      </c>
      <c r="B2090" s="1">
        <v>45071</v>
      </c>
      <c r="C2090" s="1">
        <v>45163</v>
      </c>
      <c r="D2090" t="s">
        <v>7</v>
      </c>
      <c r="E2090">
        <v>39</v>
      </c>
      <c r="F2090" t="s">
        <v>6</v>
      </c>
      <c r="G2090" s="8">
        <f t="shared" si="265"/>
        <v>92</v>
      </c>
      <c r="H2090">
        <f t="shared" si="266"/>
        <v>5</v>
      </c>
      <c r="I2090" t="str">
        <f t="shared" si="264"/>
        <v>Thursday</v>
      </c>
      <c r="L2090">
        <f t="shared" si="267"/>
        <v>0</v>
      </c>
    </row>
    <row r="2091" spans="1:12" x14ac:dyDescent="0.25">
      <c r="A2091">
        <v>215956542</v>
      </c>
      <c r="B2091" s="1">
        <v>45072</v>
      </c>
      <c r="C2091" s="1">
        <f t="shared" ref="C2091:C2093" ca="1" si="273">TODAY()</f>
        <v>45938</v>
      </c>
      <c r="D2091" t="s">
        <v>7</v>
      </c>
      <c r="E2091">
        <v>39</v>
      </c>
      <c r="F2091" t="s">
        <v>6</v>
      </c>
      <c r="G2091" s="8">
        <f t="shared" ca="1" si="265"/>
        <v>866</v>
      </c>
      <c r="H2091">
        <f t="shared" si="266"/>
        <v>6</v>
      </c>
      <c r="I2091" t="str">
        <f t="shared" si="264"/>
        <v>Friday</v>
      </c>
      <c r="L2091">
        <f t="shared" ca="1" si="267"/>
        <v>0</v>
      </c>
    </row>
    <row r="2092" spans="1:12" x14ac:dyDescent="0.25">
      <c r="A2092">
        <v>215947247</v>
      </c>
      <c r="B2092" s="1">
        <v>45072</v>
      </c>
      <c r="C2092" s="1">
        <f t="shared" ca="1" si="273"/>
        <v>45938</v>
      </c>
      <c r="D2092" t="s">
        <v>7</v>
      </c>
      <c r="E2092">
        <v>39</v>
      </c>
      <c r="F2092" t="s">
        <v>6</v>
      </c>
      <c r="G2092" s="8">
        <f t="shared" ca="1" si="265"/>
        <v>866</v>
      </c>
      <c r="H2092">
        <f t="shared" si="266"/>
        <v>6</v>
      </c>
      <c r="I2092" t="str">
        <f t="shared" si="264"/>
        <v>Friday</v>
      </c>
      <c r="L2092">
        <f t="shared" ca="1" si="267"/>
        <v>0</v>
      </c>
    </row>
    <row r="2093" spans="1:12" x14ac:dyDescent="0.25">
      <c r="A2093">
        <v>122830574</v>
      </c>
      <c r="B2093" s="1">
        <v>45072</v>
      </c>
      <c r="C2093" s="1">
        <f t="shared" ca="1" si="273"/>
        <v>45938</v>
      </c>
      <c r="D2093" t="s">
        <v>7</v>
      </c>
      <c r="E2093">
        <v>39</v>
      </c>
      <c r="F2093" t="s">
        <v>6</v>
      </c>
      <c r="G2093" s="8">
        <f t="shared" ca="1" si="265"/>
        <v>866</v>
      </c>
      <c r="H2093">
        <f t="shared" si="266"/>
        <v>6</v>
      </c>
      <c r="I2093" t="str">
        <f t="shared" si="264"/>
        <v>Friday</v>
      </c>
      <c r="L2093">
        <f t="shared" ca="1" si="267"/>
        <v>0</v>
      </c>
    </row>
    <row r="2094" spans="1:12" x14ac:dyDescent="0.25">
      <c r="A2094">
        <v>206904025</v>
      </c>
      <c r="B2094" s="1">
        <v>45072</v>
      </c>
      <c r="C2094" s="1">
        <v>45073</v>
      </c>
      <c r="D2094" t="s">
        <v>8</v>
      </c>
      <c r="E2094">
        <v>39</v>
      </c>
      <c r="F2094" t="s">
        <v>6</v>
      </c>
      <c r="G2094" s="8">
        <f t="shared" si="265"/>
        <v>1</v>
      </c>
      <c r="H2094">
        <f t="shared" si="266"/>
        <v>6</v>
      </c>
      <c r="I2094" t="str">
        <f t="shared" si="264"/>
        <v>Friday</v>
      </c>
      <c r="L2094">
        <f t="shared" si="267"/>
        <v>1</v>
      </c>
    </row>
    <row r="2095" spans="1:12" x14ac:dyDescent="0.25">
      <c r="A2095">
        <v>153396366</v>
      </c>
      <c r="B2095" s="1">
        <v>45072</v>
      </c>
      <c r="C2095" s="1">
        <v>45104</v>
      </c>
      <c r="D2095" t="s">
        <v>7</v>
      </c>
      <c r="E2095">
        <v>39</v>
      </c>
      <c r="F2095" t="s">
        <v>6</v>
      </c>
      <c r="G2095" s="8">
        <f t="shared" si="265"/>
        <v>32</v>
      </c>
      <c r="H2095">
        <f t="shared" si="266"/>
        <v>6</v>
      </c>
      <c r="I2095" t="str">
        <f t="shared" si="264"/>
        <v>Friday</v>
      </c>
      <c r="L2095">
        <f t="shared" si="267"/>
        <v>0</v>
      </c>
    </row>
    <row r="2096" spans="1:12" x14ac:dyDescent="0.25">
      <c r="A2096">
        <v>200304509</v>
      </c>
      <c r="B2096" s="1">
        <v>45072</v>
      </c>
      <c r="C2096" s="1">
        <v>45094</v>
      </c>
      <c r="D2096" t="s">
        <v>7</v>
      </c>
      <c r="E2096">
        <v>39</v>
      </c>
      <c r="F2096" t="s">
        <v>6</v>
      </c>
      <c r="G2096" s="8">
        <f t="shared" si="265"/>
        <v>22</v>
      </c>
      <c r="H2096">
        <f t="shared" si="266"/>
        <v>6</v>
      </c>
      <c r="I2096" t="str">
        <f t="shared" si="264"/>
        <v>Friday</v>
      </c>
      <c r="L2096">
        <f t="shared" si="267"/>
        <v>0</v>
      </c>
    </row>
    <row r="2097" spans="1:12" x14ac:dyDescent="0.25">
      <c r="A2097">
        <v>215867874</v>
      </c>
      <c r="B2097" s="1">
        <v>45072</v>
      </c>
      <c r="C2097" s="1">
        <v>45095</v>
      </c>
      <c r="D2097" t="s">
        <v>7</v>
      </c>
      <c r="E2097">
        <v>39</v>
      </c>
      <c r="F2097" t="s">
        <v>6</v>
      </c>
      <c r="G2097" s="8">
        <f t="shared" si="265"/>
        <v>23</v>
      </c>
      <c r="H2097">
        <f t="shared" si="266"/>
        <v>6</v>
      </c>
      <c r="I2097" t="str">
        <f t="shared" si="264"/>
        <v>Friday</v>
      </c>
      <c r="L2097">
        <f t="shared" si="267"/>
        <v>0</v>
      </c>
    </row>
    <row r="2098" spans="1:12" x14ac:dyDescent="0.25">
      <c r="A2098">
        <v>215869887</v>
      </c>
      <c r="B2098" s="1">
        <v>45072</v>
      </c>
      <c r="C2098" s="1">
        <v>45088</v>
      </c>
      <c r="D2098" t="s">
        <v>7</v>
      </c>
      <c r="E2098">
        <v>39</v>
      </c>
      <c r="F2098" t="s">
        <v>6</v>
      </c>
      <c r="G2098" s="8">
        <f t="shared" si="265"/>
        <v>16</v>
      </c>
      <c r="H2098">
        <f t="shared" si="266"/>
        <v>6</v>
      </c>
      <c r="I2098" t="str">
        <f t="shared" si="264"/>
        <v>Friday</v>
      </c>
      <c r="L2098">
        <f t="shared" si="267"/>
        <v>0</v>
      </c>
    </row>
    <row r="2099" spans="1:12" x14ac:dyDescent="0.25">
      <c r="A2099">
        <v>134652589</v>
      </c>
      <c r="B2099" s="1">
        <v>45072</v>
      </c>
      <c r="C2099" s="1">
        <v>45087</v>
      </c>
      <c r="D2099" t="s">
        <v>7</v>
      </c>
      <c r="E2099">
        <v>39</v>
      </c>
      <c r="F2099" t="s">
        <v>6</v>
      </c>
      <c r="G2099" s="8">
        <f t="shared" si="265"/>
        <v>15</v>
      </c>
      <c r="H2099">
        <f t="shared" si="266"/>
        <v>6</v>
      </c>
      <c r="I2099" t="str">
        <f t="shared" si="264"/>
        <v>Friday</v>
      </c>
      <c r="L2099">
        <f t="shared" si="267"/>
        <v>0</v>
      </c>
    </row>
    <row r="2100" spans="1:12" x14ac:dyDescent="0.25">
      <c r="A2100">
        <v>215759517</v>
      </c>
      <c r="B2100" s="1">
        <v>45072</v>
      </c>
      <c r="C2100" s="1">
        <v>45171</v>
      </c>
      <c r="D2100" t="s">
        <v>7</v>
      </c>
      <c r="E2100">
        <v>39</v>
      </c>
      <c r="F2100" t="s">
        <v>6</v>
      </c>
      <c r="G2100" s="8">
        <f t="shared" si="265"/>
        <v>99</v>
      </c>
      <c r="H2100">
        <f t="shared" si="266"/>
        <v>6</v>
      </c>
      <c r="I2100" t="str">
        <f t="shared" si="264"/>
        <v>Friday</v>
      </c>
      <c r="L2100">
        <f t="shared" si="267"/>
        <v>0</v>
      </c>
    </row>
    <row r="2101" spans="1:12" x14ac:dyDescent="0.25">
      <c r="A2101">
        <v>152004313</v>
      </c>
      <c r="B2101" s="1">
        <v>45072</v>
      </c>
      <c r="C2101" s="1">
        <v>45111</v>
      </c>
      <c r="D2101" t="s">
        <v>7</v>
      </c>
      <c r="E2101">
        <v>39</v>
      </c>
      <c r="F2101" t="s">
        <v>6</v>
      </c>
      <c r="G2101" s="8">
        <f t="shared" si="265"/>
        <v>39</v>
      </c>
      <c r="H2101">
        <f t="shared" si="266"/>
        <v>6</v>
      </c>
      <c r="I2101" t="str">
        <f t="shared" si="264"/>
        <v>Friday</v>
      </c>
      <c r="L2101">
        <f t="shared" si="267"/>
        <v>0</v>
      </c>
    </row>
    <row r="2102" spans="1:12" x14ac:dyDescent="0.25">
      <c r="A2102">
        <v>215931788</v>
      </c>
      <c r="B2102" s="1">
        <v>45072</v>
      </c>
      <c r="C2102" s="1">
        <v>45104</v>
      </c>
      <c r="D2102" t="s">
        <v>7</v>
      </c>
      <c r="E2102">
        <v>39</v>
      </c>
      <c r="F2102" t="s">
        <v>6</v>
      </c>
      <c r="G2102" s="8">
        <f t="shared" si="265"/>
        <v>32</v>
      </c>
      <c r="H2102">
        <f t="shared" si="266"/>
        <v>6</v>
      </c>
      <c r="I2102" t="str">
        <f t="shared" si="264"/>
        <v>Friday</v>
      </c>
      <c r="L2102">
        <f t="shared" si="267"/>
        <v>0</v>
      </c>
    </row>
    <row r="2103" spans="1:12" x14ac:dyDescent="0.25">
      <c r="A2103">
        <v>215792692</v>
      </c>
      <c r="B2103" s="1">
        <v>45072</v>
      </c>
      <c r="C2103" s="1">
        <v>45132</v>
      </c>
      <c r="D2103" t="s">
        <v>7</v>
      </c>
      <c r="E2103">
        <v>39</v>
      </c>
      <c r="F2103" t="s">
        <v>6</v>
      </c>
      <c r="G2103" s="8">
        <f t="shared" si="265"/>
        <v>60</v>
      </c>
      <c r="H2103">
        <f t="shared" si="266"/>
        <v>6</v>
      </c>
      <c r="I2103" t="str">
        <f t="shared" si="264"/>
        <v>Friday</v>
      </c>
      <c r="L2103">
        <f t="shared" si="267"/>
        <v>0</v>
      </c>
    </row>
    <row r="2104" spans="1:12" x14ac:dyDescent="0.25">
      <c r="A2104">
        <v>205507364</v>
      </c>
      <c r="B2104" s="1">
        <v>45072</v>
      </c>
      <c r="C2104" s="1">
        <v>45133</v>
      </c>
      <c r="D2104" t="s">
        <v>7</v>
      </c>
      <c r="E2104">
        <v>39</v>
      </c>
      <c r="F2104" t="s">
        <v>6</v>
      </c>
      <c r="G2104" s="8">
        <f t="shared" si="265"/>
        <v>61</v>
      </c>
      <c r="H2104">
        <f t="shared" si="266"/>
        <v>6</v>
      </c>
      <c r="I2104" t="str">
        <f t="shared" si="264"/>
        <v>Friday</v>
      </c>
      <c r="L2104">
        <f t="shared" si="267"/>
        <v>0</v>
      </c>
    </row>
    <row r="2105" spans="1:12" x14ac:dyDescent="0.25">
      <c r="A2105">
        <v>130016916</v>
      </c>
      <c r="B2105" s="1">
        <v>45072</v>
      </c>
      <c r="C2105" s="1">
        <v>45133</v>
      </c>
      <c r="D2105" t="s">
        <v>7</v>
      </c>
      <c r="E2105">
        <v>39</v>
      </c>
      <c r="F2105" t="s">
        <v>6</v>
      </c>
      <c r="G2105" s="8">
        <f t="shared" si="265"/>
        <v>61</v>
      </c>
      <c r="H2105">
        <f t="shared" si="266"/>
        <v>6</v>
      </c>
      <c r="I2105" t="str">
        <f t="shared" si="264"/>
        <v>Friday</v>
      </c>
      <c r="L2105">
        <f t="shared" si="267"/>
        <v>0</v>
      </c>
    </row>
    <row r="2106" spans="1:12" x14ac:dyDescent="0.25">
      <c r="A2106">
        <v>174991614</v>
      </c>
      <c r="B2106" s="1">
        <v>45073</v>
      </c>
      <c r="C2106" s="1">
        <f t="shared" ref="C2106:C2108" ca="1" si="274">TODAY()</f>
        <v>45938</v>
      </c>
      <c r="D2106" t="s">
        <v>7</v>
      </c>
      <c r="E2106">
        <v>39</v>
      </c>
      <c r="F2106" t="s">
        <v>6</v>
      </c>
      <c r="G2106" s="8">
        <f t="shared" ca="1" si="265"/>
        <v>865</v>
      </c>
      <c r="H2106">
        <f t="shared" si="266"/>
        <v>7</v>
      </c>
      <c r="I2106" t="str">
        <f t="shared" si="264"/>
        <v>Saturday</v>
      </c>
      <c r="L2106">
        <f t="shared" ca="1" si="267"/>
        <v>0</v>
      </c>
    </row>
    <row r="2107" spans="1:12" x14ac:dyDescent="0.25">
      <c r="A2107">
        <v>118197872</v>
      </c>
      <c r="B2107" s="1">
        <v>45073</v>
      </c>
      <c r="C2107" s="1">
        <f t="shared" ca="1" si="274"/>
        <v>45938</v>
      </c>
      <c r="D2107" t="s">
        <v>7</v>
      </c>
      <c r="E2107">
        <v>39</v>
      </c>
      <c r="F2107" t="s">
        <v>6</v>
      </c>
      <c r="G2107" s="8">
        <f t="shared" ca="1" si="265"/>
        <v>865</v>
      </c>
      <c r="H2107">
        <f t="shared" si="266"/>
        <v>7</v>
      </c>
      <c r="I2107" t="str">
        <f t="shared" si="264"/>
        <v>Saturday</v>
      </c>
      <c r="L2107">
        <f t="shared" ca="1" si="267"/>
        <v>0</v>
      </c>
    </row>
    <row r="2108" spans="1:12" x14ac:dyDescent="0.25">
      <c r="A2108">
        <v>215906516</v>
      </c>
      <c r="B2108" s="1">
        <v>45073</v>
      </c>
      <c r="C2108" s="1">
        <f t="shared" ca="1" si="274"/>
        <v>45938</v>
      </c>
      <c r="D2108" t="s">
        <v>7</v>
      </c>
      <c r="E2108">
        <v>39</v>
      </c>
      <c r="F2108" t="s">
        <v>6</v>
      </c>
      <c r="G2108" s="8">
        <f t="shared" ca="1" si="265"/>
        <v>865</v>
      </c>
      <c r="H2108">
        <f t="shared" si="266"/>
        <v>7</v>
      </c>
      <c r="I2108" t="str">
        <f t="shared" si="264"/>
        <v>Saturday</v>
      </c>
      <c r="L2108">
        <f t="shared" ca="1" si="267"/>
        <v>0</v>
      </c>
    </row>
    <row r="2109" spans="1:12" x14ac:dyDescent="0.25">
      <c r="A2109">
        <v>116197941</v>
      </c>
      <c r="B2109" s="1">
        <v>45073</v>
      </c>
      <c r="C2109" s="1">
        <v>45141</v>
      </c>
      <c r="D2109" t="s">
        <v>7</v>
      </c>
      <c r="E2109">
        <v>39</v>
      </c>
      <c r="F2109" t="s">
        <v>6</v>
      </c>
      <c r="G2109" s="8">
        <f t="shared" si="265"/>
        <v>68</v>
      </c>
      <c r="H2109">
        <f t="shared" si="266"/>
        <v>7</v>
      </c>
      <c r="I2109" t="str">
        <f t="shared" si="264"/>
        <v>Saturday</v>
      </c>
      <c r="L2109">
        <f t="shared" si="267"/>
        <v>0</v>
      </c>
    </row>
    <row r="2110" spans="1:12" x14ac:dyDescent="0.25">
      <c r="A2110">
        <v>215973039</v>
      </c>
      <c r="B2110" s="1">
        <v>45073</v>
      </c>
      <c r="C2110" s="1">
        <v>45080</v>
      </c>
      <c r="D2110" t="s">
        <v>7</v>
      </c>
      <c r="E2110">
        <v>39</v>
      </c>
      <c r="F2110" t="s">
        <v>6</v>
      </c>
      <c r="G2110" s="8">
        <f t="shared" si="265"/>
        <v>7</v>
      </c>
      <c r="H2110">
        <f t="shared" si="266"/>
        <v>7</v>
      </c>
      <c r="I2110" t="str">
        <f t="shared" si="264"/>
        <v>Saturday</v>
      </c>
      <c r="L2110">
        <f t="shared" si="267"/>
        <v>0</v>
      </c>
    </row>
    <row r="2111" spans="1:12" x14ac:dyDescent="0.25">
      <c r="A2111">
        <v>147761700</v>
      </c>
      <c r="B2111" s="1">
        <v>45073</v>
      </c>
      <c r="C2111" s="1">
        <v>45085</v>
      </c>
      <c r="D2111" t="s">
        <v>7</v>
      </c>
      <c r="E2111">
        <v>39</v>
      </c>
      <c r="F2111" t="s">
        <v>6</v>
      </c>
      <c r="G2111" s="8">
        <f t="shared" si="265"/>
        <v>12</v>
      </c>
      <c r="H2111">
        <f t="shared" si="266"/>
        <v>7</v>
      </c>
      <c r="I2111" t="str">
        <f t="shared" si="264"/>
        <v>Saturday</v>
      </c>
      <c r="L2111">
        <f t="shared" si="267"/>
        <v>0</v>
      </c>
    </row>
    <row r="2112" spans="1:12" x14ac:dyDescent="0.25">
      <c r="A2112">
        <v>215943650</v>
      </c>
      <c r="B2112" s="1">
        <v>45073</v>
      </c>
      <c r="C2112" s="1">
        <v>45111</v>
      </c>
      <c r="D2112" t="s">
        <v>7</v>
      </c>
      <c r="E2112">
        <v>39</v>
      </c>
      <c r="F2112" t="s">
        <v>6</v>
      </c>
      <c r="G2112" s="8">
        <f t="shared" si="265"/>
        <v>38</v>
      </c>
      <c r="H2112">
        <f t="shared" si="266"/>
        <v>7</v>
      </c>
      <c r="I2112" t="str">
        <f t="shared" si="264"/>
        <v>Saturday</v>
      </c>
      <c r="L2112">
        <f t="shared" si="267"/>
        <v>0</v>
      </c>
    </row>
    <row r="2113" spans="1:12" x14ac:dyDescent="0.25">
      <c r="A2113">
        <v>157259062</v>
      </c>
      <c r="B2113" s="1">
        <v>45073</v>
      </c>
      <c r="C2113" s="1">
        <v>45111</v>
      </c>
      <c r="D2113" t="s">
        <v>7</v>
      </c>
      <c r="E2113">
        <v>39</v>
      </c>
      <c r="F2113" t="s">
        <v>6</v>
      </c>
      <c r="G2113" s="8">
        <f t="shared" si="265"/>
        <v>38</v>
      </c>
      <c r="H2113">
        <f t="shared" si="266"/>
        <v>7</v>
      </c>
      <c r="I2113" t="str">
        <f t="shared" si="264"/>
        <v>Saturday</v>
      </c>
      <c r="L2113">
        <f t="shared" si="267"/>
        <v>0</v>
      </c>
    </row>
    <row r="2114" spans="1:12" x14ac:dyDescent="0.25">
      <c r="A2114">
        <v>216001506</v>
      </c>
      <c r="B2114" s="1">
        <v>45073</v>
      </c>
      <c r="C2114" s="1">
        <v>45133</v>
      </c>
      <c r="D2114" t="s">
        <v>7</v>
      </c>
      <c r="E2114">
        <v>39</v>
      </c>
      <c r="F2114" t="s">
        <v>6</v>
      </c>
      <c r="G2114" s="8">
        <f t="shared" si="265"/>
        <v>60</v>
      </c>
      <c r="H2114">
        <f t="shared" si="266"/>
        <v>7</v>
      </c>
      <c r="I2114" t="str">
        <f t="shared" ref="I2114:I2177" si="275">TEXT(B2114,"DDDD")</f>
        <v>Saturday</v>
      </c>
      <c r="L2114">
        <f t="shared" si="267"/>
        <v>0</v>
      </c>
    </row>
    <row r="2115" spans="1:12" x14ac:dyDescent="0.25">
      <c r="A2115">
        <v>199306900</v>
      </c>
      <c r="B2115" s="1">
        <v>45073</v>
      </c>
      <c r="C2115" s="1">
        <v>45172</v>
      </c>
      <c r="D2115" t="s">
        <v>7</v>
      </c>
      <c r="E2115">
        <v>39</v>
      </c>
      <c r="F2115" t="s">
        <v>6</v>
      </c>
      <c r="G2115" s="8">
        <f t="shared" ref="G2115:G2178" si="276">IFERROR(DATEDIF(B2115,C2115,"D"),"0")</f>
        <v>99</v>
      </c>
      <c r="H2115">
        <f t="shared" ref="H2115:H2178" si="277">WEEKDAY(B2115,1)</f>
        <v>7</v>
      </c>
      <c r="I2115" t="str">
        <f t="shared" si="275"/>
        <v>Saturday</v>
      </c>
      <c r="L2115">
        <f t="shared" ref="L2115:L2178" si="278">IF( OR($G2115=0,$G2115 = 1, $G2115 = 2), 1, 0 )</f>
        <v>0</v>
      </c>
    </row>
    <row r="2116" spans="1:12" x14ac:dyDescent="0.25">
      <c r="A2116">
        <v>156245288</v>
      </c>
      <c r="B2116" s="1">
        <v>45074</v>
      </c>
      <c r="C2116" s="1">
        <f t="shared" ref="C2116:C2121" ca="1" si="279">TODAY()</f>
        <v>45938</v>
      </c>
      <c r="D2116" t="s">
        <v>7</v>
      </c>
      <c r="E2116">
        <v>39</v>
      </c>
      <c r="F2116" t="s">
        <v>6</v>
      </c>
      <c r="G2116" s="8">
        <f t="shared" ca="1" si="276"/>
        <v>864</v>
      </c>
      <c r="H2116">
        <f t="shared" si="277"/>
        <v>1</v>
      </c>
      <c r="I2116" t="str">
        <f t="shared" si="275"/>
        <v>Sunday</v>
      </c>
      <c r="L2116">
        <f t="shared" ca="1" si="278"/>
        <v>0</v>
      </c>
    </row>
    <row r="2117" spans="1:12" x14ac:dyDescent="0.25">
      <c r="A2117">
        <v>211904765</v>
      </c>
      <c r="B2117" s="1">
        <v>45074</v>
      </c>
      <c r="C2117" s="1">
        <f t="shared" ca="1" si="279"/>
        <v>45938</v>
      </c>
      <c r="D2117" t="s">
        <v>7</v>
      </c>
      <c r="E2117">
        <v>39</v>
      </c>
      <c r="F2117" t="s">
        <v>6</v>
      </c>
      <c r="G2117" s="8">
        <f t="shared" ca="1" si="276"/>
        <v>864</v>
      </c>
      <c r="H2117">
        <f t="shared" si="277"/>
        <v>1</v>
      </c>
      <c r="I2117" t="str">
        <f t="shared" si="275"/>
        <v>Sunday</v>
      </c>
      <c r="L2117">
        <f t="shared" ca="1" si="278"/>
        <v>0</v>
      </c>
    </row>
    <row r="2118" spans="1:12" x14ac:dyDescent="0.25">
      <c r="A2118">
        <v>215832805</v>
      </c>
      <c r="B2118" s="1">
        <v>45074</v>
      </c>
      <c r="C2118" s="1">
        <f t="shared" ca="1" si="279"/>
        <v>45938</v>
      </c>
      <c r="D2118" t="s">
        <v>7</v>
      </c>
      <c r="E2118">
        <v>39</v>
      </c>
      <c r="F2118" t="s">
        <v>6</v>
      </c>
      <c r="G2118" s="8">
        <f t="shared" ca="1" si="276"/>
        <v>864</v>
      </c>
      <c r="H2118">
        <f t="shared" si="277"/>
        <v>1</v>
      </c>
      <c r="I2118" t="str">
        <f t="shared" si="275"/>
        <v>Sunday</v>
      </c>
      <c r="L2118">
        <f t="shared" ca="1" si="278"/>
        <v>0</v>
      </c>
    </row>
    <row r="2119" spans="1:12" x14ac:dyDescent="0.25">
      <c r="A2119">
        <v>156403612</v>
      </c>
      <c r="B2119" s="1">
        <v>45075</v>
      </c>
      <c r="C2119" s="1">
        <f t="shared" ca="1" si="279"/>
        <v>45938</v>
      </c>
      <c r="D2119" t="s">
        <v>7</v>
      </c>
      <c r="E2119">
        <v>39</v>
      </c>
      <c r="F2119" t="s">
        <v>6</v>
      </c>
      <c r="G2119" s="8">
        <f t="shared" ca="1" si="276"/>
        <v>863</v>
      </c>
      <c r="H2119">
        <f t="shared" si="277"/>
        <v>2</v>
      </c>
      <c r="I2119" t="str">
        <f t="shared" si="275"/>
        <v>Monday</v>
      </c>
      <c r="L2119">
        <f t="shared" ca="1" si="278"/>
        <v>0</v>
      </c>
    </row>
    <row r="2120" spans="1:12" x14ac:dyDescent="0.25">
      <c r="A2120">
        <v>216062001</v>
      </c>
      <c r="B2120" s="1">
        <v>45075</v>
      </c>
      <c r="C2120" s="1">
        <f t="shared" ca="1" si="279"/>
        <v>45938</v>
      </c>
      <c r="D2120" t="s">
        <v>7</v>
      </c>
      <c r="E2120">
        <v>39</v>
      </c>
      <c r="F2120" t="s">
        <v>6</v>
      </c>
      <c r="G2120" s="8">
        <f t="shared" ca="1" si="276"/>
        <v>863</v>
      </c>
      <c r="H2120">
        <f t="shared" si="277"/>
        <v>2</v>
      </c>
      <c r="I2120" t="str">
        <f t="shared" si="275"/>
        <v>Monday</v>
      </c>
      <c r="L2120">
        <f t="shared" ca="1" si="278"/>
        <v>0</v>
      </c>
    </row>
    <row r="2121" spans="1:12" x14ac:dyDescent="0.25">
      <c r="A2121">
        <v>216083936</v>
      </c>
      <c r="B2121" s="1">
        <v>45075</v>
      </c>
      <c r="C2121" s="1">
        <f t="shared" ca="1" si="279"/>
        <v>45938</v>
      </c>
      <c r="D2121" t="s">
        <v>7</v>
      </c>
      <c r="E2121">
        <v>39</v>
      </c>
      <c r="F2121" t="s">
        <v>6</v>
      </c>
      <c r="G2121" s="8">
        <f t="shared" ca="1" si="276"/>
        <v>863</v>
      </c>
      <c r="H2121">
        <f t="shared" si="277"/>
        <v>2</v>
      </c>
      <c r="I2121" t="str">
        <f t="shared" si="275"/>
        <v>Monday</v>
      </c>
      <c r="L2121">
        <f t="shared" ca="1" si="278"/>
        <v>0</v>
      </c>
    </row>
    <row r="2122" spans="1:12" x14ac:dyDescent="0.25">
      <c r="A2122">
        <v>215568210</v>
      </c>
      <c r="B2122" s="1">
        <v>45075</v>
      </c>
      <c r="C2122" s="1">
        <v>45166</v>
      </c>
      <c r="D2122" t="s">
        <v>7</v>
      </c>
      <c r="E2122">
        <v>39</v>
      </c>
      <c r="F2122" t="s">
        <v>6</v>
      </c>
      <c r="G2122" s="8">
        <f t="shared" si="276"/>
        <v>91</v>
      </c>
      <c r="H2122">
        <f t="shared" si="277"/>
        <v>2</v>
      </c>
      <c r="I2122" t="str">
        <f t="shared" si="275"/>
        <v>Monday</v>
      </c>
      <c r="L2122">
        <f t="shared" si="278"/>
        <v>0</v>
      </c>
    </row>
    <row r="2123" spans="1:12" x14ac:dyDescent="0.25">
      <c r="A2123">
        <v>181480437</v>
      </c>
      <c r="B2123" s="1">
        <v>45075</v>
      </c>
      <c r="C2123" s="1">
        <v>45110</v>
      </c>
      <c r="D2123" t="s">
        <v>7</v>
      </c>
      <c r="E2123">
        <v>39</v>
      </c>
      <c r="F2123" t="s">
        <v>6</v>
      </c>
      <c r="G2123" s="8">
        <f t="shared" si="276"/>
        <v>35</v>
      </c>
      <c r="H2123">
        <f t="shared" si="277"/>
        <v>2</v>
      </c>
      <c r="I2123" t="str">
        <f t="shared" si="275"/>
        <v>Monday</v>
      </c>
      <c r="L2123">
        <f t="shared" si="278"/>
        <v>0</v>
      </c>
    </row>
    <row r="2124" spans="1:12" x14ac:dyDescent="0.25">
      <c r="A2124">
        <v>147197398</v>
      </c>
      <c r="B2124" s="1">
        <v>45076</v>
      </c>
      <c r="C2124" s="1">
        <f t="shared" ref="C2124:C2128" ca="1" si="280">TODAY()</f>
        <v>45938</v>
      </c>
      <c r="D2124" t="s">
        <v>7</v>
      </c>
      <c r="E2124">
        <v>39</v>
      </c>
      <c r="F2124" t="s">
        <v>6</v>
      </c>
      <c r="G2124" s="8">
        <f t="shared" ca="1" si="276"/>
        <v>862</v>
      </c>
      <c r="H2124">
        <f t="shared" si="277"/>
        <v>3</v>
      </c>
      <c r="I2124" t="str">
        <f t="shared" si="275"/>
        <v>Tuesday</v>
      </c>
      <c r="L2124">
        <f t="shared" ca="1" si="278"/>
        <v>0</v>
      </c>
    </row>
    <row r="2125" spans="1:12" x14ac:dyDescent="0.25">
      <c r="A2125">
        <v>212051648</v>
      </c>
      <c r="B2125" s="1">
        <v>45076</v>
      </c>
      <c r="C2125" s="1">
        <f t="shared" ca="1" si="280"/>
        <v>45938</v>
      </c>
      <c r="D2125" t="s">
        <v>7</v>
      </c>
      <c r="E2125">
        <v>39</v>
      </c>
      <c r="F2125" t="s">
        <v>6</v>
      </c>
      <c r="G2125" s="8">
        <f t="shared" ca="1" si="276"/>
        <v>862</v>
      </c>
      <c r="H2125">
        <f t="shared" si="277"/>
        <v>3</v>
      </c>
      <c r="I2125" t="str">
        <f t="shared" si="275"/>
        <v>Tuesday</v>
      </c>
      <c r="L2125">
        <f t="shared" ca="1" si="278"/>
        <v>0</v>
      </c>
    </row>
    <row r="2126" spans="1:12" x14ac:dyDescent="0.25">
      <c r="A2126">
        <v>216141502</v>
      </c>
      <c r="B2126" s="1">
        <v>45076</v>
      </c>
      <c r="C2126" s="1">
        <f t="shared" ca="1" si="280"/>
        <v>45938</v>
      </c>
      <c r="D2126" t="s">
        <v>7</v>
      </c>
      <c r="E2126">
        <v>39</v>
      </c>
      <c r="F2126" t="s">
        <v>6</v>
      </c>
      <c r="G2126" s="8">
        <f t="shared" ca="1" si="276"/>
        <v>862</v>
      </c>
      <c r="H2126">
        <f t="shared" si="277"/>
        <v>3</v>
      </c>
      <c r="I2126" t="str">
        <f t="shared" si="275"/>
        <v>Tuesday</v>
      </c>
      <c r="L2126">
        <f t="shared" ca="1" si="278"/>
        <v>0</v>
      </c>
    </row>
    <row r="2127" spans="1:12" x14ac:dyDescent="0.25">
      <c r="A2127">
        <v>216136975</v>
      </c>
      <c r="B2127" s="1">
        <v>45076</v>
      </c>
      <c r="C2127" s="1">
        <f t="shared" ca="1" si="280"/>
        <v>45938</v>
      </c>
      <c r="D2127" t="s">
        <v>7</v>
      </c>
      <c r="E2127">
        <v>39</v>
      </c>
      <c r="F2127" t="s">
        <v>6</v>
      </c>
      <c r="G2127" s="8">
        <f t="shared" ca="1" si="276"/>
        <v>862</v>
      </c>
      <c r="H2127">
        <f t="shared" si="277"/>
        <v>3</v>
      </c>
      <c r="I2127" t="str">
        <f t="shared" si="275"/>
        <v>Tuesday</v>
      </c>
      <c r="L2127">
        <f t="shared" ca="1" si="278"/>
        <v>0</v>
      </c>
    </row>
    <row r="2128" spans="1:12" x14ac:dyDescent="0.25">
      <c r="A2128">
        <v>213240907</v>
      </c>
      <c r="B2128" s="1">
        <v>45076</v>
      </c>
      <c r="C2128" s="1">
        <f t="shared" ca="1" si="280"/>
        <v>45938</v>
      </c>
      <c r="D2128" t="s">
        <v>7</v>
      </c>
      <c r="E2128">
        <v>39</v>
      </c>
      <c r="F2128" t="s">
        <v>6</v>
      </c>
      <c r="G2128" s="8">
        <f t="shared" ca="1" si="276"/>
        <v>862</v>
      </c>
      <c r="H2128">
        <f t="shared" si="277"/>
        <v>3</v>
      </c>
      <c r="I2128" t="str">
        <f t="shared" si="275"/>
        <v>Tuesday</v>
      </c>
      <c r="L2128">
        <f t="shared" ca="1" si="278"/>
        <v>0</v>
      </c>
    </row>
    <row r="2129" spans="1:12" x14ac:dyDescent="0.25">
      <c r="A2129">
        <v>204739496</v>
      </c>
      <c r="B2129" s="1">
        <v>45076</v>
      </c>
      <c r="C2129" s="1">
        <v>45172</v>
      </c>
      <c r="D2129" t="s">
        <v>7</v>
      </c>
      <c r="E2129">
        <v>39</v>
      </c>
      <c r="F2129" t="s">
        <v>6</v>
      </c>
      <c r="G2129" s="8">
        <f t="shared" si="276"/>
        <v>96</v>
      </c>
      <c r="H2129">
        <f t="shared" si="277"/>
        <v>3</v>
      </c>
      <c r="I2129" t="str">
        <f t="shared" si="275"/>
        <v>Tuesday</v>
      </c>
      <c r="L2129">
        <f t="shared" si="278"/>
        <v>0</v>
      </c>
    </row>
    <row r="2130" spans="1:12" x14ac:dyDescent="0.25">
      <c r="A2130">
        <v>203366396</v>
      </c>
      <c r="B2130" s="1">
        <v>45076</v>
      </c>
      <c r="C2130" s="1">
        <v>45077</v>
      </c>
      <c r="D2130" t="s">
        <v>7</v>
      </c>
      <c r="E2130">
        <v>39</v>
      </c>
      <c r="F2130" t="s">
        <v>6</v>
      </c>
      <c r="G2130" s="8">
        <f t="shared" si="276"/>
        <v>1</v>
      </c>
      <c r="H2130">
        <f t="shared" si="277"/>
        <v>3</v>
      </c>
      <c r="I2130" t="str">
        <f t="shared" si="275"/>
        <v>Tuesday</v>
      </c>
      <c r="L2130">
        <f t="shared" si="278"/>
        <v>1</v>
      </c>
    </row>
    <row r="2131" spans="1:12" x14ac:dyDescent="0.25">
      <c r="A2131">
        <v>216136446</v>
      </c>
      <c r="B2131" s="1">
        <v>45076</v>
      </c>
      <c r="C2131" s="1">
        <v>45105</v>
      </c>
      <c r="D2131" t="s">
        <v>7</v>
      </c>
      <c r="E2131">
        <v>39</v>
      </c>
      <c r="F2131" t="s">
        <v>6</v>
      </c>
      <c r="G2131" s="8">
        <f t="shared" si="276"/>
        <v>29</v>
      </c>
      <c r="H2131">
        <f t="shared" si="277"/>
        <v>3</v>
      </c>
      <c r="I2131" t="str">
        <f t="shared" si="275"/>
        <v>Tuesday</v>
      </c>
      <c r="L2131">
        <f t="shared" si="278"/>
        <v>0</v>
      </c>
    </row>
    <row r="2132" spans="1:12" x14ac:dyDescent="0.25">
      <c r="A2132">
        <v>216139586</v>
      </c>
      <c r="B2132" s="1">
        <v>45076</v>
      </c>
      <c r="C2132" s="1">
        <v>45107</v>
      </c>
      <c r="D2132" t="s">
        <v>7</v>
      </c>
      <c r="E2132">
        <v>39</v>
      </c>
      <c r="F2132" t="s">
        <v>6</v>
      </c>
      <c r="G2132" s="8">
        <f t="shared" si="276"/>
        <v>31</v>
      </c>
      <c r="H2132">
        <f t="shared" si="277"/>
        <v>3</v>
      </c>
      <c r="I2132" t="str">
        <f t="shared" si="275"/>
        <v>Tuesday</v>
      </c>
      <c r="L2132">
        <f t="shared" si="278"/>
        <v>0</v>
      </c>
    </row>
    <row r="2133" spans="1:12" x14ac:dyDescent="0.25">
      <c r="A2133">
        <v>216126416</v>
      </c>
      <c r="B2133" s="1">
        <v>45076</v>
      </c>
      <c r="C2133" s="1">
        <v>45081</v>
      </c>
      <c r="D2133" t="s">
        <v>7</v>
      </c>
      <c r="E2133">
        <v>39</v>
      </c>
      <c r="F2133" t="s">
        <v>6</v>
      </c>
      <c r="G2133" s="8">
        <f t="shared" si="276"/>
        <v>5</v>
      </c>
      <c r="H2133">
        <f t="shared" si="277"/>
        <v>3</v>
      </c>
      <c r="I2133" t="str">
        <f t="shared" si="275"/>
        <v>Tuesday</v>
      </c>
      <c r="L2133">
        <f t="shared" si="278"/>
        <v>0</v>
      </c>
    </row>
    <row r="2134" spans="1:12" x14ac:dyDescent="0.25">
      <c r="A2134">
        <v>216181144</v>
      </c>
      <c r="B2134" s="1">
        <v>45076</v>
      </c>
      <c r="C2134" s="1">
        <v>45114</v>
      </c>
      <c r="D2134" t="s">
        <v>7</v>
      </c>
      <c r="E2134">
        <v>39</v>
      </c>
      <c r="F2134" t="s">
        <v>6</v>
      </c>
      <c r="G2134" s="8">
        <f t="shared" si="276"/>
        <v>38</v>
      </c>
      <c r="H2134">
        <f t="shared" si="277"/>
        <v>3</v>
      </c>
      <c r="I2134" t="str">
        <f t="shared" si="275"/>
        <v>Tuesday</v>
      </c>
      <c r="L2134">
        <f t="shared" si="278"/>
        <v>0</v>
      </c>
    </row>
    <row r="2135" spans="1:12" x14ac:dyDescent="0.25">
      <c r="A2135">
        <v>216100714</v>
      </c>
      <c r="B2135" s="1">
        <v>45076</v>
      </c>
      <c r="C2135" s="1">
        <v>45140</v>
      </c>
      <c r="D2135" t="s">
        <v>7</v>
      </c>
      <c r="E2135">
        <v>39</v>
      </c>
      <c r="F2135" t="s">
        <v>6</v>
      </c>
      <c r="G2135" s="8">
        <f t="shared" si="276"/>
        <v>64</v>
      </c>
      <c r="H2135">
        <f t="shared" si="277"/>
        <v>3</v>
      </c>
      <c r="I2135" t="str">
        <f t="shared" si="275"/>
        <v>Tuesday</v>
      </c>
      <c r="L2135">
        <f t="shared" si="278"/>
        <v>0</v>
      </c>
    </row>
    <row r="2136" spans="1:12" x14ac:dyDescent="0.25">
      <c r="A2136">
        <v>216155144</v>
      </c>
      <c r="B2136" s="1">
        <v>45076</v>
      </c>
      <c r="C2136" s="1">
        <v>45137</v>
      </c>
      <c r="D2136" t="s">
        <v>7</v>
      </c>
      <c r="E2136">
        <v>39</v>
      </c>
      <c r="F2136" t="s">
        <v>6</v>
      </c>
      <c r="G2136" s="8">
        <f t="shared" si="276"/>
        <v>61</v>
      </c>
      <c r="H2136">
        <f t="shared" si="277"/>
        <v>3</v>
      </c>
      <c r="I2136" t="str">
        <f t="shared" si="275"/>
        <v>Tuesday</v>
      </c>
      <c r="L2136">
        <f t="shared" si="278"/>
        <v>0</v>
      </c>
    </row>
    <row r="2137" spans="1:12" x14ac:dyDescent="0.25">
      <c r="A2137">
        <v>190978347</v>
      </c>
      <c r="B2137" s="1">
        <v>45076</v>
      </c>
      <c r="C2137" s="1">
        <v>45146</v>
      </c>
      <c r="D2137" t="s">
        <v>7</v>
      </c>
      <c r="E2137">
        <v>39</v>
      </c>
      <c r="F2137" t="s">
        <v>6</v>
      </c>
      <c r="G2137" s="8">
        <f t="shared" si="276"/>
        <v>70</v>
      </c>
      <c r="H2137">
        <f t="shared" si="277"/>
        <v>3</v>
      </c>
      <c r="I2137" t="str">
        <f t="shared" si="275"/>
        <v>Tuesday</v>
      </c>
      <c r="L2137">
        <f t="shared" si="278"/>
        <v>0</v>
      </c>
    </row>
    <row r="2138" spans="1:12" x14ac:dyDescent="0.25">
      <c r="A2138">
        <v>215653713</v>
      </c>
      <c r="B2138" s="1">
        <v>45076</v>
      </c>
      <c r="C2138" s="1">
        <v>45118</v>
      </c>
      <c r="D2138" t="s">
        <v>7</v>
      </c>
      <c r="E2138">
        <v>39</v>
      </c>
      <c r="F2138" t="s">
        <v>6</v>
      </c>
      <c r="G2138" s="8">
        <f t="shared" si="276"/>
        <v>42</v>
      </c>
      <c r="H2138">
        <f t="shared" si="277"/>
        <v>3</v>
      </c>
      <c r="I2138" t="str">
        <f t="shared" si="275"/>
        <v>Tuesday</v>
      </c>
      <c r="L2138">
        <f t="shared" si="278"/>
        <v>0</v>
      </c>
    </row>
    <row r="2139" spans="1:12" x14ac:dyDescent="0.25">
      <c r="A2139">
        <v>215185569</v>
      </c>
      <c r="B2139" s="1">
        <v>45076</v>
      </c>
      <c r="C2139" s="1">
        <v>45167</v>
      </c>
      <c r="D2139" t="s">
        <v>7</v>
      </c>
      <c r="E2139">
        <v>39</v>
      </c>
      <c r="F2139" t="s">
        <v>6</v>
      </c>
      <c r="G2139" s="8">
        <f t="shared" si="276"/>
        <v>91</v>
      </c>
      <c r="H2139">
        <f t="shared" si="277"/>
        <v>3</v>
      </c>
      <c r="I2139" t="str">
        <f t="shared" si="275"/>
        <v>Tuesday</v>
      </c>
      <c r="L2139">
        <f t="shared" si="278"/>
        <v>0</v>
      </c>
    </row>
    <row r="2140" spans="1:12" x14ac:dyDescent="0.25">
      <c r="A2140">
        <v>215488799</v>
      </c>
      <c r="B2140" s="1">
        <v>45077</v>
      </c>
      <c r="C2140" s="1">
        <f t="shared" ref="C2140:C2147" ca="1" si="281">TODAY()</f>
        <v>45938</v>
      </c>
      <c r="D2140" t="s">
        <v>7</v>
      </c>
      <c r="E2140">
        <v>39</v>
      </c>
      <c r="F2140" t="s">
        <v>6</v>
      </c>
      <c r="G2140" s="8">
        <f t="shared" ca="1" si="276"/>
        <v>861</v>
      </c>
      <c r="H2140">
        <f t="shared" si="277"/>
        <v>4</v>
      </c>
      <c r="I2140" t="str">
        <f t="shared" si="275"/>
        <v>Wednesday</v>
      </c>
      <c r="L2140">
        <f t="shared" ca="1" si="278"/>
        <v>0</v>
      </c>
    </row>
    <row r="2141" spans="1:12" x14ac:dyDescent="0.25">
      <c r="A2141">
        <v>216170130</v>
      </c>
      <c r="B2141" s="1">
        <v>45077</v>
      </c>
      <c r="C2141" s="1">
        <f t="shared" ca="1" si="281"/>
        <v>45938</v>
      </c>
      <c r="D2141" t="s">
        <v>7</v>
      </c>
      <c r="E2141">
        <v>39</v>
      </c>
      <c r="F2141" t="s">
        <v>6</v>
      </c>
      <c r="G2141" s="8">
        <f t="shared" ca="1" si="276"/>
        <v>861</v>
      </c>
      <c r="H2141">
        <f t="shared" si="277"/>
        <v>4</v>
      </c>
      <c r="I2141" t="str">
        <f t="shared" si="275"/>
        <v>Wednesday</v>
      </c>
      <c r="L2141">
        <f t="shared" ca="1" si="278"/>
        <v>0</v>
      </c>
    </row>
    <row r="2142" spans="1:12" x14ac:dyDescent="0.25">
      <c r="A2142">
        <v>215723337</v>
      </c>
      <c r="B2142" s="1">
        <v>45077</v>
      </c>
      <c r="C2142" s="1">
        <f t="shared" ca="1" si="281"/>
        <v>45938</v>
      </c>
      <c r="D2142" t="s">
        <v>7</v>
      </c>
      <c r="E2142">
        <v>39</v>
      </c>
      <c r="F2142" t="s">
        <v>6</v>
      </c>
      <c r="G2142" s="8">
        <f t="shared" ca="1" si="276"/>
        <v>861</v>
      </c>
      <c r="H2142">
        <f t="shared" si="277"/>
        <v>4</v>
      </c>
      <c r="I2142" t="str">
        <f t="shared" si="275"/>
        <v>Wednesday</v>
      </c>
      <c r="L2142">
        <f t="shared" ca="1" si="278"/>
        <v>0</v>
      </c>
    </row>
    <row r="2143" spans="1:12" x14ac:dyDescent="0.25">
      <c r="A2143">
        <v>148568942</v>
      </c>
      <c r="B2143" s="1">
        <v>45077</v>
      </c>
      <c r="C2143" s="1">
        <f t="shared" ca="1" si="281"/>
        <v>45938</v>
      </c>
      <c r="D2143" t="s">
        <v>7</v>
      </c>
      <c r="E2143">
        <v>39</v>
      </c>
      <c r="F2143" t="s">
        <v>6</v>
      </c>
      <c r="G2143" s="8">
        <f t="shared" ca="1" si="276"/>
        <v>861</v>
      </c>
      <c r="H2143">
        <f t="shared" si="277"/>
        <v>4</v>
      </c>
      <c r="I2143" t="str">
        <f t="shared" si="275"/>
        <v>Wednesday</v>
      </c>
      <c r="L2143">
        <f t="shared" ca="1" si="278"/>
        <v>0</v>
      </c>
    </row>
    <row r="2144" spans="1:12" x14ac:dyDescent="0.25">
      <c r="A2144">
        <v>215102456</v>
      </c>
      <c r="B2144" s="1">
        <v>45077</v>
      </c>
      <c r="C2144" s="1">
        <f t="shared" ca="1" si="281"/>
        <v>45938</v>
      </c>
      <c r="D2144" t="s">
        <v>7</v>
      </c>
      <c r="E2144">
        <v>39</v>
      </c>
      <c r="F2144" t="s">
        <v>6</v>
      </c>
      <c r="G2144" s="8">
        <f t="shared" ca="1" si="276"/>
        <v>861</v>
      </c>
      <c r="H2144">
        <f t="shared" si="277"/>
        <v>4</v>
      </c>
      <c r="I2144" t="str">
        <f t="shared" si="275"/>
        <v>Wednesday</v>
      </c>
      <c r="L2144">
        <f t="shared" ca="1" si="278"/>
        <v>0</v>
      </c>
    </row>
    <row r="2145" spans="1:12" x14ac:dyDescent="0.25">
      <c r="A2145">
        <v>216017581</v>
      </c>
      <c r="B2145" s="1">
        <v>45077</v>
      </c>
      <c r="C2145" s="1">
        <f t="shared" ca="1" si="281"/>
        <v>45938</v>
      </c>
      <c r="D2145" t="s">
        <v>7</v>
      </c>
      <c r="E2145">
        <v>39</v>
      </c>
      <c r="F2145" t="s">
        <v>6</v>
      </c>
      <c r="G2145" s="8">
        <f t="shared" ca="1" si="276"/>
        <v>861</v>
      </c>
      <c r="H2145">
        <f t="shared" si="277"/>
        <v>4</v>
      </c>
      <c r="I2145" t="str">
        <f t="shared" si="275"/>
        <v>Wednesday</v>
      </c>
      <c r="L2145">
        <f t="shared" ca="1" si="278"/>
        <v>0</v>
      </c>
    </row>
    <row r="2146" spans="1:12" x14ac:dyDescent="0.25">
      <c r="A2146">
        <v>153438676</v>
      </c>
      <c r="B2146" s="1">
        <v>45077</v>
      </c>
      <c r="C2146" s="1">
        <f t="shared" ca="1" si="281"/>
        <v>45938</v>
      </c>
      <c r="D2146" t="s">
        <v>7</v>
      </c>
      <c r="E2146">
        <v>39</v>
      </c>
      <c r="F2146" t="s">
        <v>6</v>
      </c>
      <c r="G2146" s="8">
        <f t="shared" ca="1" si="276"/>
        <v>861</v>
      </c>
      <c r="H2146">
        <f t="shared" si="277"/>
        <v>4</v>
      </c>
      <c r="I2146" t="str">
        <f t="shared" si="275"/>
        <v>Wednesday</v>
      </c>
      <c r="L2146">
        <f t="shared" ca="1" si="278"/>
        <v>0</v>
      </c>
    </row>
    <row r="2147" spans="1:12" x14ac:dyDescent="0.25">
      <c r="A2147">
        <v>213190132</v>
      </c>
      <c r="B2147" s="1">
        <v>45077</v>
      </c>
      <c r="C2147" s="1">
        <f t="shared" ca="1" si="281"/>
        <v>45938</v>
      </c>
      <c r="D2147" t="s">
        <v>7</v>
      </c>
      <c r="E2147">
        <v>39</v>
      </c>
      <c r="F2147" t="s">
        <v>6</v>
      </c>
      <c r="G2147" s="8">
        <f t="shared" ca="1" si="276"/>
        <v>861</v>
      </c>
      <c r="H2147">
        <f t="shared" si="277"/>
        <v>4</v>
      </c>
      <c r="I2147" t="str">
        <f t="shared" si="275"/>
        <v>Wednesday</v>
      </c>
      <c r="L2147">
        <f t="shared" ca="1" si="278"/>
        <v>0</v>
      </c>
    </row>
    <row r="2148" spans="1:12" x14ac:dyDescent="0.25">
      <c r="A2148">
        <v>216218992</v>
      </c>
      <c r="B2148" s="1">
        <v>45077</v>
      </c>
      <c r="C2148" s="1">
        <v>45169</v>
      </c>
      <c r="D2148" t="s">
        <v>7</v>
      </c>
      <c r="E2148">
        <v>39</v>
      </c>
      <c r="F2148" t="s">
        <v>6</v>
      </c>
      <c r="G2148" s="8">
        <f t="shared" si="276"/>
        <v>92</v>
      </c>
      <c r="H2148">
        <f t="shared" si="277"/>
        <v>4</v>
      </c>
      <c r="I2148" t="str">
        <f t="shared" si="275"/>
        <v>Wednesday</v>
      </c>
      <c r="L2148">
        <f t="shared" si="278"/>
        <v>0</v>
      </c>
    </row>
    <row r="2149" spans="1:12" x14ac:dyDescent="0.25">
      <c r="A2149">
        <v>216210442</v>
      </c>
      <c r="B2149" s="1">
        <v>45077</v>
      </c>
      <c r="C2149" s="1">
        <v>45092</v>
      </c>
      <c r="D2149" t="s">
        <v>7</v>
      </c>
      <c r="E2149">
        <v>39</v>
      </c>
      <c r="F2149" t="s">
        <v>6</v>
      </c>
      <c r="G2149" s="8">
        <f t="shared" si="276"/>
        <v>15</v>
      </c>
      <c r="H2149">
        <f t="shared" si="277"/>
        <v>4</v>
      </c>
      <c r="I2149" t="str">
        <f t="shared" si="275"/>
        <v>Wednesday</v>
      </c>
      <c r="L2149">
        <f t="shared" si="278"/>
        <v>0</v>
      </c>
    </row>
    <row r="2150" spans="1:12" x14ac:dyDescent="0.25">
      <c r="A2150">
        <v>129447970</v>
      </c>
      <c r="B2150" s="1">
        <v>45077</v>
      </c>
      <c r="C2150" s="1">
        <v>45172</v>
      </c>
      <c r="D2150" t="s">
        <v>7</v>
      </c>
      <c r="E2150">
        <v>39</v>
      </c>
      <c r="F2150" t="s">
        <v>6</v>
      </c>
      <c r="G2150" s="8">
        <f t="shared" si="276"/>
        <v>95</v>
      </c>
      <c r="H2150">
        <f t="shared" si="277"/>
        <v>4</v>
      </c>
      <c r="I2150" t="str">
        <f t="shared" si="275"/>
        <v>Wednesday</v>
      </c>
      <c r="L2150">
        <f t="shared" si="278"/>
        <v>0</v>
      </c>
    </row>
    <row r="2151" spans="1:12" x14ac:dyDescent="0.25">
      <c r="A2151">
        <v>216221115</v>
      </c>
      <c r="B2151" s="1">
        <v>45077</v>
      </c>
      <c r="C2151" s="1">
        <v>45109</v>
      </c>
      <c r="D2151" t="s">
        <v>7</v>
      </c>
      <c r="E2151">
        <v>39</v>
      </c>
      <c r="F2151" t="s">
        <v>6</v>
      </c>
      <c r="G2151" s="8">
        <f t="shared" si="276"/>
        <v>32</v>
      </c>
      <c r="H2151">
        <f t="shared" si="277"/>
        <v>4</v>
      </c>
      <c r="I2151" t="str">
        <f t="shared" si="275"/>
        <v>Wednesday</v>
      </c>
      <c r="L2151">
        <f t="shared" si="278"/>
        <v>0</v>
      </c>
    </row>
    <row r="2152" spans="1:12" x14ac:dyDescent="0.25">
      <c r="A2152">
        <v>215911675</v>
      </c>
      <c r="B2152" s="1">
        <v>45077</v>
      </c>
      <c r="C2152" s="1">
        <v>45114</v>
      </c>
      <c r="D2152" t="s">
        <v>7</v>
      </c>
      <c r="E2152">
        <v>39</v>
      </c>
      <c r="F2152" t="s">
        <v>6</v>
      </c>
      <c r="G2152" s="8">
        <f t="shared" si="276"/>
        <v>37</v>
      </c>
      <c r="H2152">
        <f t="shared" si="277"/>
        <v>4</v>
      </c>
      <c r="I2152" t="str">
        <f t="shared" si="275"/>
        <v>Wednesday</v>
      </c>
      <c r="L2152">
        <f t="shared" si="278"/>
        <v>0</v>
      </c>
    </row>
    <row r="2153" spans="1:12" x14ac:dyDescent="0.25">
      <c r="A2153">
        <v>215908254</v>
      </c>
      <c r="B2153" s="1">
        <v>45077</v>
      </c>
      <c r="C2153" s="1">
        <v>45098</v>
      </c>
      <c r="D2153" t="s">
        <v>7</v>
      </c>
      <c r="E2153">
        <v>39</v>
      </c>
      <c r="F2153" t="s">
        <v>6</v>
      </c>
      <c r="G2153" s="8">
        <f t="shared" si="276"/>
        <v>21</v>
      </c>
      <c r="H2153">
        <f t="shared" si="277"/>
        <v>4</v>
      </c>
      <c r="I2153" t="str">
        <f t="shared" si="275"/>
        <v>Wednesday</v>
      </c>
      <c r="L2153">
        <f t="shared" si="278"/>
        <v>0</v>
      </c>
    </row>
    <row r="2154" spans="1:12" x14ac:dyDescent="0.25">
      <c r="A2154">
        <v>214610994</v>
      </c>
      <c r="B2154" s="1">
        <v>45077</v>
      </c>
      <c r="C2154" s="1">
        <v>45106</v>
      </c>
      <c r="D2154" t="s">
        <v>7</v>
      </c>
      <c r="E2154">
        <v>39</v>
      </c>
      <c r="F2154" t="s">
        <v>6</v>
      </c>
      <c r="G2154" s="8">
        <f t="shared" si="276"/>
        <v>29</v>
      </c>
      <c r="H2154">
        <f t="shared" si="277"/>
        <v>4</v>
      </c>
      <c r="I2154" t="str">
        <f t="shared" si="275"/>
        <v>Wednesday</v>
      </c>
      <c r="L2154">
        <f t="shared" si="278"/>
        <v>0</v>
      </c>
    </row>
    <row r="2155" spans="1:12" x14ac:dyDescent="0.25">
      <c r="A2155">
        <v>143272167</v>
      </c>
      <c r="B2155" s="1">
        <v>45077</v>
      </c>
      <c r="C2155" s="1">
        <v>45176</v>
      </c>
      <c r="D2155" t="s">
        <v>7</v>
      </c>
      <c r="E2155">
        <v>39</v>
      </c>
      <c r="F2155" t="s">
        <v>6</v>
      </c>
      <c r="G2155" s="8">
        <f t="shared" si="276"/>
        <v>99</v>
      </c>
      <c r="H2155">
        <f t="shared" si="277"/>
        <v>4</v>
      </c>
      <c r="I2155" t="str">
        <f t="shared" si="275"/>
        <v>Wednesday</v>
      </c>
      <c r="L2155">
        <f t="shared" si="278"/>
        <v>0</v>
      </c>
    </row>
    <row r="2156" spans="1:12" x14ac:dyDescent="0.25">
      <c r="A2156">
        <v>216340651</v>
      </c>
      <c r="B2156" s="1">
        <v>45078</v>
      </c>
      <c r="C2156" s="1">
        <f t="shared" ref="C2156:C2159" ca="1" si="282">TODAY()</f>
        <v>45938</v>
      </c>
      <c r="D2156" t="s">
        <v>7</v>
      </c>
      <c r="E2156">
        <v>39</v>
      </c>
      <c r="F2156" t="s">
        <v>6</v>
      </c>
      <c r="G2156" s="8">
        <f t="shared" ca="1" si="276"/>
        <v>860</v>
      </c>
      <c r="H2156">
        <f t="shared" si="277"/>
        <v>5</v>
      </c>
      <c r="I2156" t="str">
        <f t="shared" si="275"/>
        <v>Thursday</v>
      </c>
      <c r="L2156">
        <f t="shared" ca="1" si="278"/>
        <v>0</v>
      </c>
    </row>
    <row r="2157" spans="1:12" x14ac:dyDescent="0.25">
      <c r="A2157">
        <v>153573832</v>
      </c>
      <c r="B2157" s="1">
        <v>45078</v>
      </c>
      <c r="C2157" s="1">
        <f t="shared" ca="1" si="282"/>
        <v>45938</v>
      </c>
      <c r="D2157" t="s">
        <v>7</v>
      </c>
      <c r="E2157">
        <v>39</v>
      </c>
      <c r="F2157" t="s">
        <v>6</v>
      </c>
      <c r="G2157" s="8">
        <f t="shared" ca="1" si="276"/>
        <v>860</v>
      </c>
      <c r="H2157">
        <f t="shared" si="277"/>
        <v>5</v>
      </c>
      <c r="I2157" t="str">
        <f t="shared" si="275"/>
        <v>Thursday</v>
      </c>
      <c r="L2157">
        <f t="shared" ca="1" si="278"/>
        <v>0</v>
      </c>
    </row>
    <row r="2158" spans="1:12" x14ac:dyDescent="0.25">
      <c r="A2158">
        <v>138312982</v>
      </c>
      <c r="B2158" s="1">
        <v>45078</v>
      </c>
      <c r="C2158" s="1">
        <f t="shared" ca="1" si="282"/>
        <v>45938</v>
      </c>
      <c r="D2158" t="s">
        <v>7</v>
      </c>
      <c r="E2158">
        <v>39</v>
      </c>
      <c r="F2158" t="s">
        <v>6</v>
      </c>
      <c r="G2158" s="8">
        <f t="shared" ca="1" si="276"/>
        <v>860</v>
      </c>
      <c r="H2158">
        <f t="shared" si="277"/>
        <v>5</v>
      </c>
      <c r="I2158" t="str">
        <f t="shared" si="275"/>
        <v>Thursday</v>
      </c>
      <c r="L2158">
        <f t="shared" ca="1" si="278"/>
        <v>0</v>
      </c>
    </row>
    <row r="2159" spans="1:12" x14ac:dyDescent="0.25">
      <c r="A2159">
        <v>216365777</v>
      </c>
      <c r="B2159" s="1">
        <v>45078</v>
      </c>
      <c r="C2159" s="1">
        <f t="shared" ca="1" si="282"/>
        <v>45938</v>
      </c>
      <c r="D2159" t="s">
        <v>7</v>
      </c>
      <c r="E2159">
        <v>39</v>
      </c>
      <c r="F2159" t="s">
        <v>6</v>
      </c>
      <c r="G2159" s="8">
        <f t="shared" ca="1" si="276"/>
        <v>860</v>
      </c>
      <c r="H2159">
        <f t="shared" si="277"/>
        <v>5</v>
      </c>
      <c r="I2159" t="str">
        <f t="shared" si="275"/>
        <v>Thursday</v>
      </c>
      <c r="L2159">
        <f t="shared" ca="1" si="278"/>
        <v>0</v>
      </c>
    </row>
    <row r="2160" spans="1:12" x14ac:dyDescent="0.25">
      <c r="A2160">
        <v>216272792</v>
      </c>
      <c r="B2160" s="1">
        <v>45078</v>
      </c>
      <c r="C2160" s="1">
        <v>45175</v>
      </c>
      <c r="D2160" t="s">
        <v>7</v>
      </c>
      <c r="E2160">
        <v>39</v>
      </c>
      <c r="F2160" t="s">
        <v>6</v>
      </c>
      <c r="G2160" s="8">
        <f t="shared" si="276"/>
        <v>97</v>
      </c>
      <c r="H2160">
        <f t="shared" si="277"/>
        <v>5</v>
      </c>
      <c r="I2160" t="str">
        <f t="shared" si="275"/>
        <v>Thursday</v>
      </c>
      <c r="L2160">
        <f t="shared" si="278"/>
        <v>0</v>
      </c>
    </row>
    <row r="2161" spans="1:12" x14ac:dyDescent="0.25">
      <c r="A2161">
        <v>167174814</v>
      </c>
      <c r="B2161" s="1">
        <v>45078</v>
      </c>
      <c r="C2161" s="1">
        <v>45088</v>
      </c>
      <c r="D2161" t="s">
        <v>7</v>
      </c>
      <c r="E2161">
        <v>39</v>
      </c>
      <c r="F2161" t="s">
        <v>6</v>
      </c>
      <c r="G2161" s="8">
        <f t="shared" si="276"/>
        <v>10</v>
      </c>
      <c r="H2161">
        <f t="shared" si="277"/>
        <v>5</v>
      </c>
      <c r="I2161" t="str">
        <f t="shared" si="275"/>
        <v>Thursday</v>
      </c>
      <c r="L2161">
        <f t="shared" si="278"/>
        <v>0</v>
      </c>
    </row>
    <row r="2162" spans="1:12" x14ac:dyDescent="0.25">
      <c r="A2162">
        <v>216329176</v>
      </c>
      <c r="B2162" s="1">
        <v>45078</v>
      </c>
      <c r="C2162" s="1">
        <v>45115</v>
      </c>
      <c r="D2162" t="s">
        <v>7</v>
      </c>
      <c r="E2162">
        <v>39</v>
      </c>
      <c r="F2162" t="s">
        <v>6</v>
      </c>
      <c r="G2162" s="8">
        <f t="shared" si="276"/>
        <v>37</v>
      </c>
      <c r="H2162">
        <f t="shared" si="277"/>
        <v>5</v>
      </c>
      <c r="I2162" t="str">
        <f t="shared" si="275"/>
        <v>Thursday</v>
      </c>
      <c r="L2162">
        <f t="shared" si="278"/>
        <v>0</v>
      </c>
    </row>
    <row r="2163" spans="1:12" x14ac:dyDescent="0.25">
      <c r="A2163">
        <v>147320092</v>
      </c>
      <c r="B2163" s="1">
        <v>45078</v>
      </c>
      <c r="C2163" s="1">
        <v>45111</v>
      </c>
      <c r="D2163" t="s">
        <v>7</v>
      </c>
      <c r="E2163">
        <v>39</v>
      </c>
      <c r="F2163" t="s">
        <v>6</v>
      </c>
      <c r="G2163" s="8">
        <f t="shared" si="276"/>
        <v>33</v>
      </c>
      <c r="H2163">
        <f t="shared" si="277"/>
        <v>5</v>
      </c>
      <c r="I2163" t="str">
        <f t="shared" si="275"/>
        <v>Thursday</v>
      </c>
      <c r="L2163">
        <f t="shared" si="278"/>
        <v>0</v>
      </c>
    </row>
    <row r="2164" spans="1:12" x14ac:dyDescent="0.25">
      <c r="A2164">
        <v>157974600</v>
      </c>
      <c r="B2164" s="1">
        <v>45078</v>
      </c>
      <c r="C2164" s="1">
        <v>45091</v>
      </c>
      <c r="D2164" t="s">
        <v>7</v>
      </c>
      <c r="E2164">
        <v>39</v>
      </c>
      <c r="F2164" t="s">
        <v>6</v>
      </c>
      <c r="G2164" s="8">
        <f t="shared" si="276"/>
        <v>13</v>
      </c>
      <c r="H2164">
        <f t="shared" si="277"/>
        <v>5</v>
      </c>
      <c r="I2164" t="str">
        <f t="shared" si="275"/>
        <v>Thursday</v>
      </c>
      <c r="L2164">
        <f t="shared" si="278"/>
        <v>0</v>
      </c>
    </row>
    <row r="2165" spans="1:12" x14ac:dyDescent="0.25">
      <c r="A2165">
        <v>200955808</v>
      </c>
      <c r="B2165" s="1">
        <v>45078</v>
      </c>
      <c r="C2165" s="1">
        <v>45108</v>
      </c>
      <c r="D2165" t="s">
        <v>7</v>
      </c>
      <c r="E2165">
        <v>39</v>
      </c>
      <c r="F2165" t="s">
        <v>6</v>
      </c>
      <c r="G2165" s="8">
        <f t="shared" si="276"/>
        <v>30</v>
      </c>
      <c r="H2165">
        <f t="shared" si="277"/>
        <v>5</v>
      </c>
      <c r="I2165" t="str">
        <f t="shared" si="275"/>
        <v>Thursday</v>
      </c>
      <c r="L2165">
        <f t="shared" si="278"/>
        <v>0</v>
      </c>
    </row>
    <row r="2166" spans="1:12" x14ac:dyDescent="0.25">
      <c r="A2166">
        <v>216332850</v>
      </c>
      <c r="B2166" s="1">
        <v>45078</v>
      </c>
      <c r="C2166" s="1">
        <v>45139</v>
      </c>
      <c r="D2166" t="s">
        <v>7</v>
      </c>
      <c r="E2166">
        <v>39</v>
      </c>
      <c r="F2166" t="s">
        <v>6</v>
      </c>
      <c r="G2166" s="8">
        <f t="shared" si="276"/>
        <v>61</v>
      </c>
      <c r="H2166">
        <f t="shared" si="277"/>
        <v>5</v>
      </c>
      <c r="I2166" t="str">
        <f t="shared" si="275"/>
        <v>Thursday</v>
      </c>
      <c r="L2166">
        <f t="shared" si="278"/>
        <v>0</v>
      </c>
    </row>
    <row r="2167" spans="1:12" x14ac:dyDescent="0.25">
      <c r="A2167">
        <v>149986818</v>
      </c>
      <c r="B2167" s="1">
        <v>45079</v>
      </c>
      <c r="C2167" s="1">
        <f t="shared" ref="C2167:C2168" ca="1" si="283">TODAY()</f>
        <v>45938</v>
      </c>
      <c r="D2167" t="s">
        <v>7</v>
      </c>
      <c r="E2167">
        <v>39</v>
      </c>
      <c r="F2167" t="s">
        <v>6</v>
      </c>
      <c r="G2167" s="8">
        <f t="shared" ca="1" si="276"/>
        <v>859</v>
      </c>
      <c r="H2167">
        <f t="shared" si="277"/>
        <v>6</v>
      </c>
      <c r="I2167" t="str">
        <f t="shared" si="275"/>
        <v>Friday</v>
      </c>
      <c r="L2167">
        <f t="shared" ca="1" si="278"/>
        <v>0</v>
      </c>
    </row>
    <row r="2168" spans="1:12" x14ac:dyDescent="0.25">
      <c r="A2168">
        <v>132579012</v>
      </c>
      <c r="B2168" s="1">
        <v>45079</v>
      </c>
      <c r="C2168" s="1">
        <f t="shared" ca="1" si="283"/>
        <v>45938</v>
      </c>
      <c r="D2168" t="s">
        <v>7</v>
      </c>
      <c r="E2168">
        <v>39</v>
      </c>
      <c r="F2168" t="s">
        <v>6</v>
      </c>
      <c r="G2168" s="8">
        <f t="shared" ca="1" si="276"/>
        <v>859</v>
      </c>
      <c r="H2168">
        <f t="shared" si="277"/>
        <v>6</v>
      </c>
      <c r="I2168" t="str">
        <f t="shared" si="275"/>
        <v>Friday</v>
      </c>
      <c r="L2168">
        <f t="shared" ca="1" si="278"/>
        <v>0</v>
      </c>
    </row>
    <row r="2169" spans="1:12" x14ac:dyDescent="0.25">
      <c r="A2169">
        <v>155529346</v>
      </c>
      <c r="B2169" s="1">
        <v>45079</v>
      </c>
      <c r="C2169" s="1">
        <v>45173</v>
      </c>
      <c r="D2169" t="s">
        <v>7</v>
      </c>
      <c r="E2169">
        <v>39</v>
      </c>
      <c r="F2169" t="s">
        <v>6</v>
      </c>
      <c r="G2169" s="8">
        <f t="shared" si="276"/>
        <v>94</v>
      </c>
      <c r="H2169">
        <f t="shared" si="277"/>
        <v>6</v>
      </c>
      <c r="I2169" t="str">
        <f t="shared" si="275"/>
        <v>Friday</v>
      </c>
      <c r="L2169">
        <f t="shared" si="278"/>
        <v>0</v>
      </c>
    </row>
    <row r="2170" spans="1:12" x14ac:dyDescent="0.25">
      <c r="A2170">
        <v>153085868</v>
      </c>
      <c r="B2170" s="1">
        <v>45079</v>
      </c>
      <c r="C2170" s="1">
        <v>45106</v>
      </c>
      <c r="D2170" t="s">
        <v>7</v>
      </c>
      <c r="E2170">
        <v>39</v>
      </c>
      <c r="F2170" t="s">
        <v>6</v>
      </c>
      <c r="G2170" s="8">
        <f t="shared" si="276"/>
        <v>27</v>
      </c>
      <c r="H2170">
        <f t="shared" si="277"/>
        <v>6</v>
      </c>
      <c r="I2170" t="str">
        <f t="shared" si="275"/>
        <v>Friday</v>
      </c>
      <c r="L2170">
        <f t="shared" si="278"/>
        <v>0</v>
      </c>
    </row>
    <row r="2171" spans="1:12" x14ac:dyDescent="0.25">
      <c r="A2171">
        <v>156702204</v>
      </c>
      <c r="B2171" s="1">
        <v>45079</v>
      </c>
      <c r="C2171" s="1">
        <v>45109</v>
      </c>
      <c r="D2171" t="s">
        <v>7</v>
      </c>
      <c r="E2171">
        <v>39</v>
      </c>
      <c r="F2171" t="s">
        <v>6</v>
      </c>
      <c r="G2171" s="8">
        <f t="shared" si="276"/>
        <v>30</v>
      </c>
      <c r="H2171">
        <f t="shared" si="277"/>
        <v>6</v>
      </c>
      <c r="I2171" t="str">
        <f t="shared" si="275"/>
        <v>Friday</v>
      </c>
      <c r="L2171">
        <f t="shared" si="278"/>
        <v>0</v>
      </c>
    </row>
    <row r="2172" spans="1:12" x14ac:dyDescent="0.25">
      <c r="A2172">
        <v>158177676</v>
      </c>
      <c r="B2172" s="1">
        <v>45079</v>
      </c>
      <c r="C2172" s="1">
        <v>45104</v>
      </c>
      <c r="D2172" t="s">
        <v>7</v>
      </c>
      <c r="E2172">
        <v>39</v>
      </c>
      <c r="F2172" t="s">
        <v>6</v>
      </c>
      <c r="G2172" s="8">
        <f t="shared" si="276"/>
        <v>25</v>
      </c>
      <c r="H2172">
        <f t="shared" si="277"/>
        <v>6</v>
      </c>
      <c r="I2172" t="str">
        <f t="shared" si="275"/>
        <v>Friday</v>
      </c>
      <c r="L2172">
        <f t="shared" si="278"/>
        <v>0</v>
      </c>
    </row>
    <row r="2173" spans="1:12" x14ac:dyDescent="0.25">
      <c r="A2173">
        <v>216423972</v>
      </c>
      <c r="B2173" s="1">
        <v>45079</v>
      </c>
      <c r="C2173" s="1">
        <v>45121</v>
      </c>
      <c r="D2173" t="s">
        <v>7</v>
      </c>
      <c r="E2173">
        <v>39</v>
      </c>
      <c r="F2173" t="s">
        <v>6</v>
      </c>
      <c r="G2173" s="8">
        <f t="shared" si="276"/>
        <v>42</v>
      </c>
      <c r="H2173">
        <f t="shared" si="277"/>
        <v>6</v>
      </c>
      <c r="I2173" t="str">
        <f t="shared" si="275"/>
        <v>Friday</v>
      </c>
      <c r="L2173">
        <f t="shared" si="278"/>
        <v>0</v>
      </c>
    </row>
    <row r="2174" spans="1:12" x14ac:dyDescent="0.25">
      <c r="A2174">
        <v>216533259</v>
      </c>
      <c r="B2174" s="1">
        <v>45080</v>
      </c>
      <c r="C2174" s="1">
        <f t="shared" ref="C2174:C2176" ca="1" si="284">TODAY()</f>
        <v>45938</v>
      </c>
      <c r="D2174" t="s">
        <v>7</v>
      </c>
      <c r="E2174">
        <v>39</v>
      </c>
      <c r="F2174" t="s">
        <v>6</v>
      </c>
      <c r="G2174" s="8">
        <f t="shared" ca="1" si="276"/>
        <v>858</v>
      </c>
      <c r="H2174">
        <f t="shared" si="277"/>
        <v>7</v>
      </c>
      <c r="I2174" t="str">
        <f t="shared" si="275"/>
        <v>Saturday</v>
      </c>
      <c r="L2174">
        <f t="shared" ca="1" si="278"/>
        <v>0</v>
      </c>
    </row>
    <row r="2175" spans="1:12" x14ac:dyDescent="0.25">
      <c r="A2175">
        <v>204953211</v>
      </c>
      <c r="B2175" s="1">
        <v>45080</v>
      </c>
      <c r="C2175" s="1">
        <f t="shared" ca="1" si="284"/>
        <v>45938</v>
      </c>
      <c r="D2175" t="s">
        <v>7</v>
      </c>
      <c r="E2175">
        <v>39</v>
      </c>
      <c r="F2175" t="s">
        <v>6</v>
      </c>
      <c r="G2175" s="8">
        <f t="shared" ca="1" si="276"/>
        <v>858</v>
      </c>
      <c r="H2175">
        <f t="shared" si="277"/>
        <v>7</v>
      </c>
      <c r="I2175" t="str">
        <f t="shared" si="275"/>
        <v>Saturday</v>
      </c>
      <c r="L2175">
        <f t="shared" ca="1" si="278"/>
        <v>0</v>
      </c>
    </row>
    <row r="2176" spans="1:12" x14ac:dyDescent="0.25">
      <c r="A2176">
        <v>149112756</v>
      </c>
      <c r="B2176" s="1">
        <v>45080</v>
      </c>
      <c r="C2176" s="1">
        <f t="shared" ca="1" si="284"/>
        <v>45938</v>
      </c>
      <c r="D2176" t="s">
        <v>7</v>
      </c>
      <c r="E2176">
        <v>39</v>
      </c>
      <c r="F2176" t="s">
        <v>6</v>
      </c>
      <c r="G2176" s="8">
        <f t="shared" ca="1" si="276"/>
        <v>858</v>
      </c>
      <c r="H2176">
        <f t="shared" si="277"/>
        <v>7</v>
      </c>
      <c r="I2176" t="str">
        <f t="shared" si="275"/>
        <v>Saturday</v>
      </c>
      <c r="L2176">
        <f t="shared" ca="1" si="278"/>
        <v>0</v>
      </c>
    </row>
    <row r="2177" spans="1:12" x14ac:dyDescent="0.25">
      <c r="A2177">
        <v>216674420</v>
      </c>
      <c r="B2177" s="1">
        <v>45080</v>
      </c>
      <c r="C2177" s="1">
        <v>45081</v>
      </c>
      <c r="D2177" t="s">
        <v>8</v>
      </c>
      <c r="E2177">
        <v>39</v>
      </c>
      <c r="F2177" t="s">
        <v>6</v>
      </c>
      <c r="G2177" s="8">
        <f t="shared" si="276"/>
        <v>1</v>
      </c>
      <c r="H2177">
        <f t="shared" si="277"/>
        <v>7</v>
      </c>
      <c r="I2177" t="str">
        <f t="shared" si="275"/>
        <v>Saturday</v>
      </c>
      <c r="L2177">
        <f t="shared" si="278"/>
        <v>1</v>
      </c>
    </row>
    <row r="2178" spans="1:12" x14ac:dyDescent="0.25">
      <c r="A2178">
        <v>148225450</v>
      </c>
      <c r="B2178" s="1">
        <v>45080</v>
      </c>
      <c r="C2178" s="1">
        <v>45106</v>
      </c>
      <c r="D2178" t="s">
        <v>7</v>
      </c>
      <c r="E2178">
        <v>39</v>
      </c>
      <c r="F2178" t="s">
        <v>6</v>
      </c>
      <c r="G2178" s="8">
        <f t="shared" si="276"/>
        <v>26</v>
      </c>
      <c r="H2178">
        <f t="shared" si="277"/>
        <v>7</v>
      </c>
      <c r="I2178" t="str">
        <f t="shared" ref="I2178:I2241" si="285">TEXT(B2178,"DDDD")</f>
        <v>Saturday</v>
      </c>
      <c r="L2178">
        <f t="shared" si="278"/>
        <v>0</v>
      </c>
    </row>
    <row r="2179" spans="1:12" x14ac:dyDescent="0.25">
      <c r="A2179">
        <v>216720172</v>
      </c>
      <c r="B2179" s="1">
        <v>45080</v>
      </c>
      <c r="C2179" s="1">
        <v>45097</v>
      </c>
      <c r="D2179" t="s">
        <v>7</v>
      </c>
      <c r="E2179">
        <v>39</v>
      </c>
      <c r="F2179" t="s">
        <v>6</v>
      </c>
      <c r="G2179" s="8">
        <f t="shared" ref="G2179:G2242" si="286">IFERROR(DATEDIF(B2179,C2179,"D"),"0")</f>
        <v>17</v>
      </c>
      <c r="H2179">
        <f t="shared" ref="H2179:H2242" si="287">WEEKDAY(B2179,1)</f>
        <v>7</v>
      </c>
      <c r="I2179" t="str">
        <f t="shared" si="285"/>
        <v>Saturday</v>
      </c>
      <c r="L2179">
        <f t="shared" ref="L2179:L2242" si="288">IF( OR($G2179=0,$G2179 = 1, $G2179 = 2), 1, 0 )</f>
        <v>0</v>
      </c>
    </row>
    <row r="2180" spans="1:12" x14ac:dyDescent="0.25">
      <c r="A2180">
        <v>204750804</v>
      </c>
      <c r="B2180" s="1">
        <v>45080</v>
      </c>
      <c r="C2180" s="1">
        <v>45104</v>
      </c>
      <c r="D2180" t="s">
        <v>7</v>
      </c>
      <c r="E2180">
        <v>39</v>
      </c>
      <c r="F2180" t="s">
        <v>6</v>
      </c>
      <c r="G2180" s="8">
        <f t="shared" si="286"/>
        <v>24</v>
      </c>
      <c r="H2180">
        <f t="shared" si="287"/>
        <v>7</v>
      </c>
      <c r="I2180" t="str">
        <f t="shared" si="285"/>
        <v>Saturday</v>
      </c>
      <c r="L2180">
        <f t="shared" si="288"/>
        <v>0</v>
      </c>
    </row>
    <row r="2181" spans="1:12" x14ac:dyDescent="0.25">
      <c r="A2181">
        <v>147798395</v>
      </c>
      <c r="B2181" s="1">
        <v>45081</v>
      </c>
      <c r="C2181" s="1">
        <f t="shared" ref="C2181" ca="1" si="289">TODAY()</f>
        <v>45938</v>
      </c>
      <c r="D2181" t="s">
        <v>7</v>
      </c>
      <c r="E2181">
        <v>39</v>
      </c>
      <c r="F2181" t="s">
        <v>6</v>
      </c>
      <c r="G2181" s="8">
        <f t="shared" ca="1" si="286"/>
        <v>857</v>
      </c>
      <c r="H2181">
        <f t="shared" si="287"/>
        <v>1</v>
      </c>
      <c r="I2181" t="str">
        <f t="shared" si="285"/>
        <v>Sunday</v>
      </c>
      <c r="L2181">
        <f t="shared" ca="1" si="288"/>
        <v>0</v>
      </c>
    </row>
    <row r="2182" spans="1:12" x14ac:dyDescent="0.25">
      <c r="A2182">
        <v>216560949</v>
      </c>
      <c r="B2182" s="1">
        <v>45081</v>
      </c>
      <c r="C2182" s="1">
        <v>45112</v>
      </c>
      <c r="D2182" t="s">
        <v>7</v>
      </c>
      <c r="E2182">
        <v>39</v>
      </c>
      <c r="F2182" t="s">
        <v>6</v>
      </c>
      <c r="G2182" s="8">
        <f t="shared" si="286"/>
        <v>31</v>
      </c>
      <c r="H2182">
        <f t="shared" si="287"/>
        <v>1</v>
      </c>
      <c r="I2182" t="str">
        <f t="shared" si="285"/>
        <v>Sunday</v>
      </c>
      <c r="L2182">
        <f t="shared" si="288"/>
        <v>0</v>
      </c>
    </row>
    <row r="2183" spans="1:12" x14ac:dyDescent="0.25">
      <c r="A2183">
        <v>216743053</v>
      </c>
      <c r="B2183" s="1">
        <v>45081</v>
      </c>
      <c r="C2183" s="1">
        <v>45121</v>
      </c>
      <c r="D2183" t="s">
        <v>7</v>
      </c>
      <c r="E2183">
        <v>39</v>
      </c>
      <c r="F2183" t="s">
        <v>6</v>
      </c>
      <c r="G2183" s="8">
        <f t="shared" si="286"/>
        <v>40</v>
      </c>
      <c r="H2183">
        <f t="shared" si="287"/>
        <v>1</v>
      </c>
      <c r="I2183" t="str">
        <f t="shared" si="285"/>
        <v>Sunday</v>
      </c>
      <c r="L2183">
        <f t="shared" si="288"/>
        <v>0</v>
      </c>
    </row>
    <row r="2184" spans="1:12" x14ac:dyDescent="0.25">
      <c r="A2184">
        <v>149040748</v>
      </c>
      <c r="B2184" s="1">
        <v>45082</v>
      </c>
      <c r="C2184" s="1">
        <f t="shared" ref="C2184:C2186" ca="1" si="290">TODAY()</f>
        <v>45938</v>
      </c>
      <c r="D2184" t="s">
        <v>7</v>
      </c>
      <c r="E2184">
        <v>39</v>
      </c>
      <c r="F2184" t="s">
        <v>6</v>
      </c>
      <c r="G2184" s="8">
        <f t="shared" ca="1" si="286"/>
        <v>856</v>
      </c>
      <c r="H2184">
        <f t="shared" si="287"/>
        <v>2</v>
      </c>
      <c r="I2184" t="str">
        <f t="shared" si="285"/>
        <v>Monday</v>
      </c>
      <c r="L2184">
        <f t="shared" ca="1" si="288"/>
        <v>0</v>
      </c>
    </row>
    <row r="2185" spans="1:12" x14ac:dyDescent="0.25">
      <c r="A2185">
        <v>206939746</v>
      </c>
      <c r="B2185" s="1">
        <v>45082</v>
      </c>
      <c r="C2185" s="1">
        <f t="shared" ca="1" si="290"/>
        <v>45938</v>
      </c>
      <c r="D2185" t="s">
        <v>7</v>
      </c>
      <c r="E2185">
        <v>39</v>
      </c>
      <c r="F2185" t="s">
        <v>6</v>
      </c>
      <c r="G2185" s="8">
        <f t="shared" ca="1" si="286"/>
        <v>856</v>
      </c>
      <c r="H2185">
        <f t="shared" si="287"/>
        <v>2</v>
      </c>
      <c r="I2185" t="str">
        <f t="shared" si="285"/>
        <v>Monday</v>
      </c>
      <c r="L2185">
        <f t="shared" ca="1" si="288"/>
        <v>0</v>
      </c>
    </row>
    <row r="2186" spans="1:12" x14ac:dyDescent="0.25">
      <c r="A2186">
        <v>216845223</v>
      </c>
      <c r="B2186" s="1">
        <v>45082</v>
      </c>
      <c r="C2186" s="1">
        <f t="shared" ca="1" si="290"/>
        <v>45938</v>
      </c>
      <c r="D2186" t="s">
        <v>7</v>
      </c>
      <c r="E2186">
        <v>39</v>
      </c>
      <c r="F2186" t="s">
        <v>6</v>
      </c>
      <c r="G2186" s="8">
        <f t="shared" ca="1" si="286"/>
        <v>856</v>
      </c>
      <c r="H2186">
        <f t="shared" si="287"/>
        <v>2</v>
      </c>
      <c r="I2186" t="str">
        <f t="shared" si="285"/>
        <v>Monday</v>
      </c>
      <c r="L2186">
        <f t="shared" ca="1" si="288"/>
        <v>0</v>
      </c>
    </row>
    <row r="2187" spans="1:12" x14ac:dyDescent="0.25">
      <c r="A2187">
        <v>124876382</v>
      </c>
      <c r="B2187" s="1">
        <v>45082</v>
      </c>
      <c r="C2187" s="1">
        <v>45150</v>
      </c>
      <c r="D2187" t="s">
        <v>7</v>
      </c>
      <c r="E2187">
        <v>39</v>
      </c>
      <c r="F2187" t="s">
        <v>6</v>
      </c>
      <c r="G2187" s="8">
        <f t="shared" si="286"/>
        <v>68</v>
      </c>
      <c r="H2187">
        <f t="shared" si="287"/>
        <v>2</v>
      </c>
      <c r="I2187" t="str">
        <f t="shared" si="285"/>
        <v>Monday</v>
      </c>
      <c r="L2187">
        <f t="shared" si="288"/>
        <v>0</v>
      </c>
    </row>
    <row r="2188" spans="1:12" x14ac:dyDescent="0.25">
      <c r="A2188">
        <v>168485609</v>
      </c>
      <c r="B2188" s="1">
        <v>45082</v>
      </c>
      <c r="C2188" s="1">
        <v>45158</v>
      </c>
      <c r="D2188" t="s">
        <v>7</v>
      </c>
      <c r="E2188">
        <v>39</v>
      </c>
      <c r="F2188" t="s">
        <v>6</v>
      </c>
      <c r="G2188" s="8">
        <f t="shared" si="286"/>
        <v>76</v>
      </c>
      <c r="H2188">
        <f t="shared" si="287"/>
        <v>2</v>
      </c>
      <c r="I2188" t="str">
        <f t="shared" si="285"/>
        <v>Monday</v>
      </c>
      <c r="L2188">
        <f t="shared" si="288"/>
        <v>0</v>
      </c>
    </row>
    <row r="2189" spans="1:12" x14ac:dyDescent="0.25">
      <c r="A2189">
        <v>216888206</v>
      </c>
      <c r="B2189" s="1">
        <v>45082</v>
      </c>
      <c r="C2189" s="1">
        <v>45172</v>
      </c>
      <c r="D2189" t="s">
        <v>7</v>
      </c>
      <c r="E2189">
        <v>39</v>
      </c>
      <c r="F2189" t="s">
        <v>6</v>
      </c>
      <c r="G2189" s="8">
        <f t="shared" si="286"/>
        <v>90</v>
      </c>
      <c r="H2189">
        <f t="shared" si="287"/>
        <v>2</v>
      </c>
      <c r="I2189" t="str">
        <f t="shared" si="285"/>
        <v>Monday</v>
      </c>
      <c r="L2189">
        <f t="shared" si="288"/>
        <v>0</v>
      </c>
    </row>
    <row r="2190" spans="1:12" x14ac:dyDescent="0.25">
      <c r="A2190">
        <v>216957502</v>
      </c>
      <c r="B2190" s="1">
        <v>45083</v>
      </c>
      <c r="C2190" s="1">
        <f t="shared" ref="C2190:C2193" ca="1" si="291">TODAY()</f>
        <v>45938</v>
      </c>
      <c r="D2190" t="s">
        <v>7</v>
      </c>
      <c r="E2190">
        <v>39</v>
      </c>
      <c r="F2190" t="s">
        <v>6</v>
      </c>
      <c r="G2190" s="8">
        <f t="shared" ca="1" si="286"/>
        <v>855</v>
      </c>
      <c r="H2190">
        <f t="shared" si="287"/>
        <v>3</v>
      </c>
      <c r="I2190" t="str">
        <f t="shared" si="285"/>
        <v>Tuesday</v>
      </c>
      <c r="L2190">
        <f t="shared" ca="1" si="288"/>
        <v>0</v>
      </c>
    </row>
    <row r="2191" spans="1:12" x14ac:dyDescent="0.25">
      <c r="A2191">
        <v>215840282</v>
      </c>
      <c r="B2191" s="1">
        <v>45083</v>
      </c>
      <c r="C2191" s="1">
        <f t="shared" ca="1" si="291"/>
        <v>45938</v>
      </c>
      <c r="D2191" t="s">
        <v>7</v>
      </c>
      <c r="E2191">
        <v>39</v>
      </c>
      <c r="F2191" t="s">
        <v>6</v>
      </c>
      <c r="G2191" s="8">
        <f t="shared" ca="1" si="286"/>
        <v>855</v>
      </c>
      <c r="H2191">
        <f t="shared" si="287"/>
        <v>3</v>
      </c>
      <c r="I2191" t="str">
        <f t="shared" si="285"/>
        <v>Tuesday</v>
      </c>
      <c r="L2191">
        <f t="shared" ca="1" si="288"/>
        <v>0</v>
      </c>
    </row>
    <row r="2192" spans="1:12" x14ac:dyDescent="0.25">
      <c r="A2192">
        <v>216311456</v>
      </c>
      <c r="B2192" s="1">
        <v>45083</v>
      </c>
      <c r="C2192" s="1">
        <f t="shared" ca="1" si="291"/>
        <v>45938</v>
      </c>
      <c r="D2192" t="s">
        <v>7</v>
      </c>
      <c r="E2192">
        <v>39</v>
      </c>
      <c r="F2192" t="s">
        <v>6</v>
      </c>
      <c r="G2192" s="8">
        <f t="shared" ca="1" si="286"/>
        <v>855</v>
      </c>
      <c r="H2192">
        <f t="shared" si="287"/>
        <v>3</v>
      </c>
      <c r="I2192" t="str">
        <f t="shared" si="285"/>
        <v>Tuesday</v>
      </c>
      <c r="L2192">
        <f t="shared" ca="1" si="288"/>
        <v>0</v>
      </c>
    </row>
    <row r="2193" spans="1:12" x14ac:dyDescent="0.25">
      <c r="A2193">
        <v>155088727</v>
      </c>
      <c r="B2193" s="1">
        <v>45083</v>
      </c>
      <c r="C2193" s="1">
        <f t="shared" ca="1" si="291"/>
        <v>45938</v>
      </c>
      <c r="D2193" t="s">
        <v>7</v>
      </c>
      <c r="E2193">
        <v>39</v>
      </c>
      <c r="F2193" t="s">
        <v>6</v>
      </c>
      <c r="G2193" s="8">
        <f t="shared" ca="1" si="286"/>
        <v>855</v>
      </c>
      <c r="H2193">
        <f t="shared" si="287"/>
        <v>3</v>
      </c>
      <c r="I2193" t="str">
        <f t="shared" si="285"/>
        <v>Tuesday</v>
      </c>
      <c r="L2193">
        <f t="shared" ca="1" si="288"/>
        <v>0</v>
      </c>
    </row>
    <row r="2194" spans="1:12" x14ac:dyDescent="0.25">
      <c r="A2194">
        <v>216925191</v>
      </c>
      <c r="B2194" s="1">
        <v>45083</v>
      </c>
      <c r="C2194" s="1">
        <v>45090</v>
      </c>
      <c r="D2194" t="s">
        <v>7</v>
      </c>
      <c r="E2194">
        <v>39</v>
      </c>
      <c r="F2194" t="s">
        <v>6</v>
      </c>
      <c r="G2194" s="8">
        <f t="shared" si="286"/>
        <v>7</v>
      </c>
      <c r="H2194">
        <f t="shared" si="287"/>
        <v>3</v>
      </c>
      <c r="I2194" t="str">
        <f t="shared" si="285"/>
        <v>Tuesday</v>
      </c>
      <c r="L2194">
        <f t="shared" si="288"/>
        <v>0</v>
      </c>
    </row>
    <row r="2195" spans="1:12" x14ac:dyDescent="0.25">
      <c r="A2195">
        <v>216924741</v>
      </c>
      <c r="B2195" s="1">
        <v>45083</v>
      </c>
      <c r="C2195" s="1">
        <v>45160</v>
      </c>
      <c r="D2195" t="s">
        <v>7</v>
      </c>
      <c r="E2195">
        <v>39</v>
      </c>
      <c r="F2195" t="s">
        <v>6</v>
      </c>
      <c r="G2195" s="8">
        <f t="shared" si="286"/>
        <v>77</v>
      </c>
      <c r="H2195">
        <f t="shared" si="287"/>
        <v>3</v>
      </c>
      <c r="I2195" t="str">
        <f t="shared" si="285"/>
        <v>Tuesday</v>
      </c>
      <c r="L2195">
        <f t="shared" si="288"/>
        <v>0</v>
      </c>
    </row>
    <row r="2196" spans="1:12" x14ac:dyDescent="0.25">
      <c r="A2196">
        <v>194347007</v>
      </c>
      <c r="B2196" s="1">
        <v>45083</v>
      </c>
      <c r="C2196" s="1">
        <v>45120</v>
      </c>
      <c r="D2196" t="s">
        <v>7</v>
      </c>
      <c r="E2196">
        <v>39</v>
      </c>
      <c r="F2196" t="s">
        <v>6</v>
      </c>
      <c r="G2196" s="8">
        <f t="shared" si="286"/>
        <v>37</v>
      </c>
      <c r="H2196">
        <f t="shared" si="287"/>
        <v>3</v>
      </c>
      <c r="I2196" t="str">
        <f t="shared" si="285"/>
        <v>Tuesday</v>
      </c>
      <c r="L2196">
        <f t="shared" si="288"/>
        <v>0</v>
      </c>
    </row>
    <row r="2197" spans="1:12" x14ac:dyDescent="0.25">
      <c r="A2197">
        <v>217067696</v>
      </c>
      <c r="B2197" s="1">
        <v>45084</v>
      </c>
      <c r="C2197" s="1">
        <f t="shared" ref="C2197:C2203" ca="1" si="292">TODAY()</f>
        <v>45938</v>
      </c>
      <c r="D2197" t="s">
        <v>7</v>
      </c>
      <c r="E2197">
        <v>39</v>
      </c>
      <c r="F2197" t="s">
        <v>6</v>
      </c>
      <c r="G2197" s="8">
        <f t="shared" ca="1" si="286"/>
        <v>854</v>
      </c>
      <c r="H2197">
        <f t="shared" si="287"/>
        <v>4</v>
      </c>
      <c r="I2197" t="str">
        <f t="shared" si="285"/>
        <v>Wednesday</v>
      </c>
      <c r="L2197">
        <f t="shared" ca="1" si="288"/>
        <v>0</v>
      </c>
    </row>
    <row r="2198" spans="1:12" x14ac:dyDescent="0.25">
      <c r="A2198">
        <v>217012406</v>
      </c>
      <c r="B2198" s="1">
        <v>45084</v>
      </c>
      <c r="C2198" s="1">
        <f t="shared" ca="1" si="292"/>
        <v>45938</v>
      </c>
      <c r="D2198" t="s">
        <v>7</v>
      </c>
      <c r="E2198">
        <v>39</v>
      </c>
      <c r="F2198" t="s">
        <v>6</v>
      </c>
      <c r="G2198" s="8">
        <f t="shared" ca="1" si="286"/>
        <v>854</v>
      </c>
      <c r="H2198">
        <f t="shared" si="287"/>
        <v>4</v>
      </c>
      <c r="I2198" t="str">
        <f t="shared" si="285"/>
        <v>Wednesday</v>
      </c>
      <c r="L2198">
        <f t="shared" ca="1" si="288"/>
        <v>0</v>
      </c>
    </row>
    <row r="2199" spans="1:12" x14ac:dyDescent="0.25">
      <c r="A2199">
        <v>216345770</v>
      </c>
      <c r="B2199" s="1">
        <v>45084</v>
      </c>
      <c r="C2199" s="1">
        <f t="shared" ca="1" si="292"/>
        <v>45938</v>
      </c>
      <c r="D2199" t="s">
        <v>7</v>
      </c>
      <c r="E2199">
        <v>39</v>
      </c>
      <c r="F2199" t="s">
        <v>6</v>
      </c>
      <c r="G2199" s="8">
        <f t="shared" ca="1" si="286"/>
        <v>854</v>
      </c>
      <c r="H2199">
        <f t="shared" si="287"/>
        <v>4</v>
      </c>
      <c r="I2199" t="str">
        <f t="shared" si="285"/>
        <v>Wednesday</v>
      </c>
      <c r="L2199">
        <f t="shared" ca="1" si="288"/>
        <v>0</v>
      </c>
    </row>
    <row r="2200" spans="1:12" x14ac:dyDescent="0.25">
      <c r="A2200">
        <v>215654770</v>
      </c>
      <c r="B2200" s="1">
        <v>45084</v>
      </c>
      <c r="C2200" s="1">
        <f t="shared" ca="1" si="292"/>
        <v>45938</v>
      </c>
      <c r="D2200" t="s">
        <v>7</v>
      </c>
      <c r="E2200">
        <v>39</v>
      </c>
      <c r="F2200" t="s">
        <v>6</v>
      </c>
      <c r="G2200" s="8">
        <f t="shared" ca="1" si="286"/>
        <v>854</v>
      </c>
      <c r="H2200">
        <f t="shared" si="287"/>
        <v>4</v>
      </c>
      <c r="I2200" t="str">
        <f t="shared" si="285"/>
        <v>Wednesday</v>
      </c>
      <c r="L2200">
        <f t="shared" ca="1" si="288"/>
        <v>0</v>
      </c>
    </row>
    <row r="2201" spans="1:12" x14ac:dyDescent="0.25">
      <c r="A2201">
        <v>217044528</v>
      </c>
      <c r="B2201" s="1">
        <v>45084</v>
      </c>
      <c r="C2201" s="1">
        <f t="shared" ca="1" si="292"/>
        <v>45938</v>
      </c>
      <c r="D2201" t="s">
        <v>7</v>
      </c>
      <c r="E2201">
        <v>39</v>
      </c>
      <c r="F2201" t="s">
        <v>6</v>
      </c>
      <c r="G2201" s="8">
        <f t="shared" ca="1" si="286"/>
        <v>854</v>
      </c>
      <c r="H2201">
        <f t="shared" si="287"/>
        <v>4</v>
      </c>
      <c r="I2201" t="str">
        <f t="shared" si="285"/>
        <v>Wednesday</v>
      </c>
      <c r="L2201">
        <f t="shared" ca="1" si="288"/>
        <v>0</v>
      </c>
    </row>
    <row r="2202" spans="1:12" x14ac:dyDescent="0.25">
      <c r="A2202">
        <v>217031352</v>
      </c>
      <c r="B2202" s="1">
        <v>45084</v>
      </c>
      <c r="C2202" s="1">
        <f t="shared" ca="1" si="292"/>
        <v>45938</v>
      </c>
      <c r="D2202" t="s">
        <v>7</v>
      </c>
      <c r="E2202">
        <v>39</v>
      </c>
      <c r="F2202" t="s">
        <v>6</v>
      </c>
      <c r="G2202" s="8">
        <f t="shared" ca="1" si="286"/>
        <v>854</v>
      </c>
      <c r="H2202">
        <f t="shared" si="287"/>
        <v>4</v>
      </c>
      <c r="I2202" t="str">
        <f t="shared" si="285"/>
        <v>Wednesday</v>
      </c>
      <c r="L2202">
        <f t="shared" ca="1" si="288"/>
        <v>0</v>
      </c>
    </row>
    <row r="2203" spans="1:12" x14ac:dyDescent="0.25">
      <c r="A2203">
        <v>146450388</v>
      </c>
      <c r="B2203" s="1">
        <v>45084</v>
      </c>
      <c r="C2203" s="1">
        <f t="shared" ca="1" si="292"/>
        <v>45938</v>
      </c>
      <c r="D2203" t="s">
        <v>7</v>
      </c>
      <c r="E2203">
        <v>39</v>
      </c>
      <c r="F2203" t="s">
        <v>6</v>
      </c>
      <c r="G2203" s="8">
        <f t="shared" ca="1" si="286"/>
        <v>854</v>
      </c>
      <c r="H2203">
        <f t="shared" si="287"/>
        <v>4</v>
      </c>
      <c r="I2203" t="str">
        <f t="shared" si="285"/>
        <v>Wednesday</v>
      </c>
      <c r="L2203">
        <f t="shared" ca="1" si="288"/>
        <v>0</v>
      </c>
    </row>
    <row r="2204" spans="1:12" x14ac:dyDescent="0.25">
      <c r="A2204">
        <v>153374748</v>
      </c>
      <c r="B2204" s="1">
        <v>45084</v>
      </c>
      <c r="C2204" s="1">
        <v>45169</v>
      </c>
      <c r="D2204" t="s">
        <v>7</v>
      </c>
      <c r="E2204">
        <v>39</v>
      </c>
      <c r="F2204" t="s">
        <v>6</v>
      </c>
      <c r="G2204" s="8">
        <f t="shared" si="286"/>
        <v>85</v>
      </c>
      <c r="H2204">
        <f t="shared" si="287"/>
        <v>4</v>
      </c>
      <c r="I2204" t="str">
        <f t="shared" si="285"/>
        <v>Wednesday</v>
      </c>
      <c r="L2204">
        <f t="shared" si="288"/>
        <v>0</v>
      </c>
    </row>
    <row r="2205" spans="1:12" x14ac:dyDescent="0.25">
      <c r="A2205">
        <v>217065874</v>
      </c>
      <c r="B2205" s="1">
        <v>45084</v>
      </c>
      <c r="C2205" s="1">
        <v>45106</v>
      </c>
      <c r="D2205" t="s">
        <v>7</v>
      </c>
      <c r="E2205">
        <v>39</v>
      </c>
      <c r="F2205" t="s">
        <v>6</v>
      </c>
      <c r="G2205" s="8">
        <f t="shared" si="286"/>
        <v>22</v>
      </c>
      <c r="H2205">
        <f t="shared" si="287"/>
        <v>4</v>
      </c>
      <c r="I2205" t="str">
        <f t="shared" si="285"/>
        <v>Wednesday</v>
      </c>
      <c r="L2205">
        <f t="shared" si="288"/>
        <v>0</v>
      </c>
    </row>
    <row r="2206" spans="1:12" x14ac:dyDescent="0.25">
      <c r="A2206">
        <v>216622895</v>
      </c>
      <c r="B2206" s="1">
        <v>45084</v>
      </c>
      <c r="C2206" s="1">
        <v>45152</v>
      </c>
      <c r="D2206" t="s">
        <v>7</v>
      </c>
      <c r="E2206">
        <v>39</v>
      </c>
      <c r="F2206" t="s">
        <v>6</v>
      </c>
      <c r="G2206" s="8">
        <f t="shared" si="286"/>
        <v>68</v>
      </c>
      <c r="H2206">
        <f t="shared" si="287"/>
        <v>4</v>
      </c>
      <c r="I2206" t="str">
        <f t="shared" si="285"/>
        <v>Wednesday</v>
      </c>
      <c r="L2206">
        <f t="shared" si="288"/>
        <v>0</v>
      </c>
    </row>
    <row r="2207" spans="1:12" x14ac:dyDescent="0.25">
      <c r="A2207">
        <v>216907852</v>
      </c>
      <c r="B2207" s="1">
        <v>45084</v>
      </c>
      <c r="C2207" s="1">
        <v>45116</v>
      </c>
      <c r="D2207" t="s">
        <v>7</v>
      </c>
      <c r="E2207">
        <v>39</v>
      </c>
      <c r="F2207" t="s">
        <v>6</v>
      </c>
      <c r="G2207" s="8">
        <f t="shared" si="286"/>
        <v>32</v>
      </c>
      <c r="H2207">
        <f t="shared" si="287"/>
        <v>4</v>
      </c>
      <c r="I2207" t="str">
        <f t="shared" si="285"/>
        <v>Wednesday</v>
      </c>
      <c r="L2207">
        <f t="shared" si="288"/>
        <v>0</v>
      </c>
    </row>
    <row r="2208" spans="1:12" x14ac:dyDescent="0.25">
      <c r="A2208">
        <v>217054126</v>
      </c>
      <c r="B2208" s="1">
        <v>45085</v>
      </c>
      <c r="C2208" s="1">
        <f t="shared" ref="C2208:C2210" ca="1" si="293">TODAY()</f>
        <v>45938</v>
      </c>
      <c r="D2208" t="s">
        <v>7</v>
      </c>
      <c r="E2208">
        <v>39</v>
      </c>
      <c r="F2208" t="s">
        <v>6</v>
      </c>
      <c r="G2208" s="8">
        <f t="shared" ca="1" si="286"/>
        <v>853</v>
      </c>
      <c r="H2208">
        <f t="shared" si="287"/>
        <v>5</v>
      </c>
      <c r="I2208" t="str">
        <f t="shared" si="285"/>
        <v>Thursday</v>
      </c>
      <c r="L2208">
        <f t="shared" ca="1" si="288"/>
        <v>0</v>
      </c>
    </row>
    <row r="2209" spans="1:12" x14ac:dyDescent="0.25">
      <c r="A2209">
        <v>206001231</v>
      </c>
      <c r="B2209" s="1">
        <v>45085</v>
      </c>
      <c r="C2209" s="1">
        <f t="shared" ca="1" si="293"/>
        <v>45938</v>
      </c>
      <c r="D2209" t="s">
        <v>7</v>
      </c>
      <c r="E2209">
        <v>39</v>
      </c>
      <c r="F2209" t="s">
        <v>6</v>
      </c>
      <c r="G2209" s="8">
        <f t="shared" ca="1" si="286"/>
        <v>853</v>
      </c>
      <c r="H2209">
        <f t="shared" si="287"/>
        <v>5</v>
      </c>
      <c r="I2209" t="str">
        <f t="shared" si="285"/>
        <v>Thursday</v>
      </c>
      <c r="L2209">
        <f t="shared" ca="1" si="288"/>
        <v>0</v>
      </c>
    </row>
    <row r="2210" spans="1:12" x14ac:dyDescent="0.25">
      <c r="A2210">
        <v>216925136</v>
      </c>
      <c r="B2210" s="1">
        <v>45085</v>
      </c>
      <c r="C2210" s="1">
        <f t="shared" ca="1" si="293"/>
        <v>45938</v>
      </c>
      <c r="D2210" t="s">
        <v>7</v>
      </c>
      <c r="E2210">
        <v>39</v>
      </c>
      <c r="F2210" t="s">
        <v>6</v>
      </c>
      <c r="G2210" s="8">
        <f t="shared" ca="1" si="286"/>
        <v>853</v>
      </c>
      <c r="H2210">
        <f t="shared" si="287"/>
        <v>5</v>
      </c>
      <c r="I2210" t="str">
        <f t="shared" si="285"/>
        <v>Thursday</v>
      </c>
      <c r="L2210">
        <f t="shared" ca="1" si="288"/>
        <v>0</v>
      </c>
    </row>
    <row r="2211" spans="1:12" x14ac:dyDescent="0.25">
      <c r="A2211">
        <v>217094352</v>
      </c>
      <c r="B2211" s="1">
        <v>45085</v>
      </c>
      <c r="C2211" s="1">
        <v>45109</v>
      </c>
      <c r="D2211" t="s">
        <v>7</v>
      </c>
      <c r="E2211">
        <v>39</v>
      </c>
      <c r="F2211" t="s">
        <v>6</v>
      </c>
      <c r="G2211" s="8">
        <f t="shared" si="286"/>
        <v>24</v>
      </c>
      <c r="H2211">
        <f t="shared" si="287"/>
        <v>5</v>
      </c>
      <c r="I2211" t="str">
        <f t="shared" si="285"/>
        <v>Thursday</v>
      </c>
      <c r="L2211">
        <f t="shared" si="288"/>
        <v>0</v>
      </c>
    </row>
    <row r="2212" spans="1:12" x14ac:dyDescent="0.25">
      <c r="A2212">
        <v>206891818</v>
      </c>
      <c r="B2212" s="1">
        <v>45085</v>
      </c>
      <c r="C2212" s="1">
        <v>45105</v>
      </c>
      <c r="D2212" t="s">
        <v>7</v>
      </c>
      <c r="E2212">
        <v>39</v>
      </c>
      <c r="F2212" t="s">
        <v>6</v>
      </c>
      <c r="G2212" s="8">
        <f t="shared" si="286"/>
        <v>20</v>
      </c>
      <c r="H2212">
        <f t="shared" si="287"/>
        <v>5</v>
      </c>
      <c r="I2212" t="str">
        <f t="shared" si="285"/>
        <v>Thursday</v>
      </c>
      <c r="L2212">
        <f t="shared" si="288"/>
        <v>0</v>
      </c>
    </row>
    <row r="2213" spans="1:12" x14ac:dyDescent="0.25">
      <c r="A2213">
        <v>217084888</v>
      </c>
      <c r="B2213" s="1">
        <v>45085</v>
      </c>
      <c r="C2213" s="1">
        <v>45085</v>
      </c>
      <c r="D2213" t="s">
        <v>7</v>
      </c>
      <c r="E2213">
        <v>39</v>
      </c>
      <c r="F2213" t="s">
        <v>6</v>
      </c>
      <c r="G2213" s="8">
        <f t="shared" si="286"/>
        <v>0</v>
      </c>
      <c r="H2213">
        <f t="shared" si="287"/>
        <v>5</v>
      </c>
      <c r="I2213" t="str">
        <f t="shared" si="285"/>
        <v>Thursday</v>
      </c>
      <c r="L2213">
        <f t="shared" si="288"/>
        <v>1</v>
      </c>
    </row>
    <row r="2214" spans="1:12" x14ac:dyDescent="0.25">
      <c r="A2214">
        <v>216624401</v>
      </c>
      <c r="B2214" s="1">
        <v>45085</v>
      </c>
      <c r="C2214" s="1">
        <v>45105</v>
      </c>
      <c r="D2214" t="s">
        <v>7</v>
      </c>
      <c r="E2214">
        <v>39</v>
      </c>
      <c r="F2214" t="s">
        <v>6</v>
      </c>
      <c r="G2214" s="8">
        <f t="shared" si="286"/>
        <v>20</v>
      </c>
      <c r="H2214">
        <f t="shared" si="287"/>
        <v>5</v>
      </c>
      <c r="I2214" t="str">
        <f t="shared" si="285"/>
        <v>Thursday</v>
      </c>
      <c r="L2214">
        <f t="shared" si="288"/>
        <v>0</v>
      </c>
    </row>
    <row r="2215" spans="1:12" x14ac:dyDescent="0.25">
      <c r="A2215">
        <v>216795282</v>
      </c>
      <c r="B2215" s="1">
        <v>45085</v>
      </c>
      <c r="C2215" s="1">
        <v>45130</v>
      </c>
      <c r="D2215" t="s">
        <v>7</v>
      </c>
      <c r="E2215">
        <v>39</v>
      </c>
      <c r="F2215" t="s">
        <v>6</v>
      </c>
      <c r="G2215" s="8">
        <f t="shared" si="286"/>
        <v>45</v>
      </c>
      <c r="H2215">
        <f t="shared" si="287"/>
        <v>5</v>
      </c>
      <c r="I2215" t="str">
        <f t="shared" si="285"/>
        <v>Thursday</v>
      </c>
      <c r="L2215">
        <f t="shared" si="288"/>
        <v>0</v>
      </c>
    </row>
    <row r="2216" spans="1:12" x14ac:dyDescent="0.25">
      <c r="A2216">
        <v>174646924</v>
      </c>
      <c r="B2216" s="1">
        <v>45086</v>
      </c>
      <c r="C2216" s="1">
        <f t="shared" ref="C2216:C2219" ca="1" si="294">TODAY()</f>
        <v>45938</v>
      </c>
      <c r="D2216" t="s">
        <v>7</v>
      </c>
      <c r="E2216">
        <v>39</v>
      </c>
      <c r="F2216" t="s">
        <v>6</v>
      </c>
      <c r="G2216" s="8">
        <f t="shared" ca="1" si="286"/>
        <v>852</v>
      </c>
      <c r="H2216">
        <f t="shared" si="287"/>
        <v>6</v>
      </c>
      <c r="I2216" t="str">
        <f t="shared" si="285"/>
        <v>Friday</v>
      </c>
      <c r="L2216">
        <f t="shared" ca="1" si="288"/>
        <v>0</v>
      </c>
    </row>
    <row r="2217" spans="1:12" x14ac:dyDescent="0.25">
      <c r="A2217">
        <v>217123644</v>
      </c>
      <c r="B2217" s="1">
        <v>45086</v>
      </c>
      <c r="C2217" s="1">
        <f t="shared" ca="1" si="294"/>
        <v>45938</v>
      </c>
      <c r="D2217" t="s">
        <v>7</v>
      </c>
      <c r="E2217">
        <v>39</v>
      </c>
      <c r="F2217" t="s">
        <v>6</v>
      </c>
      <c r="G2217" s="8">
        <f t="shared" ca="1" si="286"/>
        <v>852</v>
      </c>
      <c r="H2217">
        <f t="shared" si="287"/>
        <v>6</v>
      </c>
      <c r="I2217" t="str">
        <f t="shared" si="285"/>
        <v>Friday</v>
      </c>
      <c r="L2217">
        <f t="shared" ca="1" si="288"/>
        <v>0</v>
      </c>
    </row>
    <row r="2218" spans="1:12" x14ac:dyDescent="0.25">
      <c r="A2218">
        <v>217104490</v>
      </c>
      <c r="B2218" s="1">
        <v>45086</v>
      </c>
      <c r="C2218" s="1">
        <f t="shared" ca="1" si="294"/>
        <v>45938</v>
      </c>
      <c r="D2218" t="s">
        <v>7</v>
      </c>
      <c r="E2218">
        <v>39</v>
      </c>
      <c r="F2218" t="s">
        <v>6</v>
      </c>
      <c r="G2218" s="8">
        <f t="shared" ca="1" si="286"/>
        <v>852</v>
      </c>
      <c r="H2218">
        <f t="shared" si="287"/>
        <v>6</v>
      </c>
      <c r="I2218" t="str">
        <f t="shared" si="285"/>
        <v>Friday</v>
      </c>
      <c r="L2218">
        <f t="shared" ca="1" si="288"/>
        <v>0</v>
      </c>
    </row>
    <row r="2219" spans="1:12" x14ac:dyDescent="0.25">
      <c r="A2219">
        <v>153349708</v>
      </c>
      <c r="B2219" s="1">
        <v>45086</v>
      </c>
      <c r="C2219" s="1">
        <f t="shared" ca="1" si="294"/>
        <v>45938</v>
      </c>
      <c r="D2219" t="s">
        <v>7</v>
      </c>
      <c r="E2219">
        <v>39</v>
      </c>
      <c r="F2219" t="s">
        <v>6</v>
      </c>
      <c r="G2219" s="8">
        <f t="shared" ca="1" si="286"/>
        <v>852</v>
      </c>
      <c r="H2219">
        <f t="shared" si="287"/>
        <v>6</v>
      </c>
      <c r="I2219" t="str">
        <f t="shared" si="285"/>
        <v>Friday</v>
      </c>
      <c r="L2219">
        <f t="shared" ca="1" si="288"/>
        <v>0</v>
      </c>
    </row>
    <row r="2220" spans="1:12" x14ac:dyDescent="0.25">
      <c r="A2220">
        <v>153876204</v>
      </c>
      <c r="B2220" s="1">
        <v>45086</v>
      </c>
      <c r="C2220" s="1">
        <v>45087</v>
      </c>
      <c r="D2220" t="s">
        <v>7</v>
      </c>
      <c r="E2220">
        <v>39</v>
      </c>
      <c r="F2220" t="s">
        <v>6</v>
      </c>
      <c r="G2220" s="8">
        <f t="shared" si="286"/>
        <v>1</v>
      </c>
      <c r="H2220">
        <f t="shared" si="287"/>
        <v>6</v>
      </c>
      <c r="I2220" t="str">
        <f t="shared" si="285"/>
        <v>Friday</v>
      </c>
      <c r="L2220">
        <f t="shared" si="288"/>
        <v>1</v>
      </c>
    </row>
    <row r="2221" spans="1:12" x14ac:dyDescent="0.25">
      <c r="A2221">
        <v>132442956</v>
      </c>
      <c r="B2221" s="1">
        <v>45086</v>
      </c>
      <c r="C2221" s="1">
        <v>45135</v>
      </c>
      <c r="D2221" t="s">
        <v>7</v>
      </c>
      <c r="E2221">
        <v>39</v>
      </c>
      <c r="F2221" t="s">
        <v>6</v>
      </c>
      <c r="G2221" s="8">
        <f t="shared" si="286"/>
        <v>49</v>
      </c>
      <c r="H2221">
        <f t="shared" si="287"/>
        <v>6</v>
      </c>
      <c r="I2221" t="str">
        <f t="shared" si="285"/>
        <v>Friday</v>
      </c>
      <c r="L2221">
        <f t="shared" si="288"/>
        <v>0</v>
      </c>
    </row>
    <row r="2222" spans="1:12" x14ac:dyDescent="0.25">
      <c r="A2222">
        <v>130331160</v>
      </c>
      <c r="B2222" s="1">
        <v>45086</v>
      </c>
      <c r="C2222" s="1">
        <v>45109</v>
      </c>
      <c r="D2222" t="s">
        <v>7</v>
      </c>
      <c r="E2222">
        <v>39</v>
      </c>
      <c r="F2222" t="s">
        <v>6</v>
      </c>
      <c r="G2222" s="8">
        <f t="shared" si="286"/>
        <v>23</v>
      </c>
      <c r="H2222">
        <f t="shared" si="287"/>
        <v>6</v>
      </c>
      <c r="I2222" t="str">
        <f t="shared" si="285"/>
        <v>Friday</v>
      </c>
      <c r="L2222">
        <f t="shared" si="288"/>
        <v>0</v>
      </c>
    </row>
    <row r="2223" spans="1:12" x14ac:dyDescent="0.25">
      <c r="A2223">
        <v>216225148</v>
      </c>
      <c r="B2223" s="1">
        <v>45086</v>
      </c>
      <c r="C2223" s="1">
        <v>45086</v>
      </c>
      <c r="D2223" t="s">
        <v>7</v>
      </c>
      <c r="E2223">
        <v>39</v>
      </c>
      <c r="F2223" t="s">
        <v>6</v>
      </c>
      <c r="G2223" s="8">
        <f t="shared" si="286"/>
        <v>0</v>
      </c>
      <c r="H2223">
        <f t="shared" si="287"/>
        <v>6</v>
      </c>
      <c r="I2223" t="str">
        <f t="shared" si="285"/>
        <v>Friday</v>
      </c>
      <c r="L2223">
        <f t="shared" si="288"/>
        <v>1</v>
      </c>
    </row>
    <row r="2224" spans="1:12" x14ac:dyDescent="0.25">
      <c r="A2224">
        <v>161187748</v>
      </c>
      <c r="B2224" s="1">
        <v>45086</v>
      </c>
      <c r="C2224" s="1">
        <v>45131</v>
      </c>
      <c r="D2224" t="s">
        <v>7</v>
      </c>
      <c r="E2224">
        <v>39</v>
      </c>
      <c r="F2224" t="s">
        <v>6</v>
      </c>
      <c r="G2224" s="8">
        <f t="shared" si="286"/>
        <v>45</v>
      </c>
      <c r="H2224">
        <f t="shared" si="287"/>
        <v>6</v>
      </c>
      <c r="I2224" t="str">
        <f t="shared" si="285"/>
        <v>Friday</v>
      </c>
      <c r="L2224">
        <f t="shared" si="288"/>
        <v>0</v>
      </c>
    </row>
    <row r="2225" spans="1:12" x14ac:dyDescent="0.25">
      <c r="A2225">
        <v>217137211</v>
      </c>
      <c r="B2225" s="1">
        <v>45086</v>
      </c>
      <c r="C2225" s="1">
        <v>45123</v>
      </c>
      <c r="D2225" t="s">
        <v>7</v>
      </c>
      <c r="E2225">
        <v>39</v>
      </c>
      <c r="F2225" t="s">
        <v>6</v>
      </c>
      <c r="G2225" s="8">
        <f t="shared" si="286"/>
        <v>37</v>
      </c>
      <c r="H2225">
        <f t="shared" si="287"/>
        <v>6</v>
      </c>
      <c r="I2225" t="str">
        <f t="shared" si="285"/>
        <v>Friday</v>
      </c>
      <c r="L2225">
        <f t="shared" si="288"/>
        <v>0</v>
      </c>
    </row>
    <row r="2226" spans="1:12" x14ac:dyDescent="0.25">
      <c r="A2226">
        <v>180796559</v>
      </c>
      <c r="B2226" s="1">
        <v>45086</v>
      </c>
      <c r="C2226" s="1">
        <v>45123</v>
      </c>
      <c r="D2226" t="s">
        <v>7</v>
      </c>
      <c r="E2226">
        <v>39</v>
      </c>
      <c r="F2226" t="s">
        <v>6</v>
      </c>
      <c r="G2226" s="8">
        <f t="shared" si="286"/>
        <v>37</v>
      </c>
      <c r="H2226">
        <f t="shared" si="287"/>
        <v>6</v>
      </c>
      <c r="I2226" t="str">
        <f t="shared" si="285"/>
        <v>Friday</v>
      </c>
      <c r="L2226">
        <f t="shared" si="288"/>
        <v>0</v>
      </c>
    </row>
    <row r="2227" spans="1:12" x14ac:dyDescent="0.25">
      <c r="A2227">
        <v>168200039</v>
      </c>
      <c r="B2227" s="1">
        <v>45087</v>
      </c>
      <c r="C2227" s="1">
        <v>45088</v>
      </c>
      <c r="D2227" t="s">
        <v>7</v>
      </c>
      <c r="E2227">
        <v>39</v>
      </c>
      <c r="F2227" t="s">
        <v>6</v>
      </c>
      <c r="G2227" s="8">
        <f t="shared" si="286"/>
        <v>1</v>
      </c>
      <c r="H2227">
        <f t="shared" si="287"/>
        <v>7</v>
      </c>
      <c r="I2227" t="str">
        <f t="shared" si="285"/>
        <v>Saturday</v>
      </c>
      <c r="L2227">
        <f t="shared" si="288"/>
        <v>1</v>
      </c>
    </row>
    <row r="2228" spans="1:12" x14ac:dyDescent="0.25">
      <c r="A2228">
        <v>217110396</v>
      </c>
      <c r="B2228" s="1">
        <v>45087</v>
      </c>
      <c r="C2228" s="1">
        <v>45101</v>
      </c>
      <c r="D2228" t="s">
        <v>7</v>
      </c>
      <c r="E2228">
        <v>39</v>
      </c>
      <c r="F2228" t="s">
        <v>6</v>
      </c>
      <c r="G2228" s="8">
        <f t="shared" si="286"/>
        <v>14</v>
      </c>
      <c r="H2228">
        <f t="shared" si="287"/>
        <v>7</v>
      </c>
      <c r="I2228" t="str">
        <f t="shared" si="285"/>
        <v>Saturday</v>
      </c>
      <c r="L2228">
        <f t="shared" si="288"/>
        <v>0</v>
      </c>
    </row>
    <row r="2229" spans="1:12" x14ac:dyDescent="0.25">
      <c r="A2229">
        <v>217159016</v>
      </c>
      <c r="B2229" s="1">
        <v>45087</v>
      </c>
      <c r="C2229" s="1">
        <v>45149</v>
      </c>
      <c r="D2229" t="s">
        <v>7</v>
      </c>
      <c r="E2229">
        <v>39</v>
      </c>
      <c r="F2229" t="s">
        <v>6</v>
      </c>
      <c r="G2229" s="8">
        <f t="shared" si="286"/>
        <v>62</v>
      </c>
      <c r="H2229">
        <f t="shared" si="287"/>
        <v>7</v>
      </c>
      <c r="I2229" t="str">
        <f t="shared" si="285"/>
        <v>Saturday</v>
      </c>
      <c r="L2229">
        <f t="shared" si="288"/>
        <v>0</v>
      </c>
    </row>
    <row r="2230" spans="1:12" x14ac:dyDescent="0.25">
      <c r="A2230">
        <v>217215106</v>
      </c>
      <c r="B2230" s="1">
        <v>45088</v>
      </c>
      <c r="C2230" s="1">
        <f t="shared" ref="C2230" ca="1" si="295">TODAY()</f>
        <v>45938</v>
      </c>
      <c r="D2230" t="s">
        <v>7</v>
      </c>
      <c r="E2230">
        <v>39</v>
      </c>
      <c r="F2230" t="s">
        <v>6</v>
      </c>
      <c r="G2230" s="8">
        <f t="shared" ca="1" si="286"/>
        <v>850</v>
      </c>
      <c r="H2230">
        <f t="shared" si="287"/>
        <v>1</v>
      </c>
      <c r="I2230" t="str">
        <f t="shared" si="285"/>
        <v>Sunday</v>
      </c>
      <c r="L2230">
        <f t="shared" ca="1" si="288"/>
        <v>0</v>
      </c>
    </row>
    <row r="2231" spans="1:12" x14ac:dyDescent="0.25">
      <c r="A2231">
        <v>129819604</v>
      </c>
      <c r="B2231" s="1">
        <v>45088</v>
      </c>
      <c r="C2231" s="1">
        <v>45125</v>
      </c>
      <c r="D2231" t="s">
        <v>7</v>
      </c>
      <c r="E2231">
        <v>39</v>
      </c>
      <c r="F2231" t="s">
        <v>6</v>
      </c>
      <c r="G2231" s="8">
        <f t="shared" si="286"/>
        <v>37</v>
      </c>
      <c r="H2231">
        <f t="shared" si="287"/>
        <v>1</v>
      </c>
      <c r="I2231" t="str">
        <f t="shared" si="285"/>
        <v>Sunday</v>
      </c>
      <c r="L2231">
        <f t="shared" si="288"/>
        <v>0</v>
      </c>
    </row>
    <row r="2232" spans="1:12" x14ac:dyDescent="0.25">
      <c r="A2232">
        <v>217208086</v>
      </c>
      <c r="B2232" s="1">
        <v>45088</v>
      </c>
      <c r="C2232" s="1">
        <v>45133</v>
      </c>
      <c r="D2232" t="s">
        <v>7</v>
      </c>
      <c r="E2232">
        <v>39</v>
      </c>
      <c r="F2232" t="s">
        <v>6</v>
      </c>
      <c r="G2232" s="8">
        <f t="shared" si="286"/>
        <v>45</v>
      </c>
      <c r="H2232">
        <f t="shared" si="287"/>
        <v>1</v>
      </c>
      <c r="I2232" t="str">
        <f t="shared" si="285"/>
        <v>Sunday</v>
      </c>
      <c r="L2232">
        <f t="shared" si="288"/>
        <v>0</v>
      </c>
    </row>
    <row r="2233" spans="1:12" x14ac:dyDescent="0.25">
      <c r="A2233">
        <v>215534470</v>
      </c>
      <c r="B2233" s="1">
        <v>45088</v>
      </c>
      <c r="C2233" s="1">
        <v>45125</v>
      </c>
      <c r="D2233" t="s">
        <v>7</v>
      </c>
      <c r="E2233">
        <v>39</v>
      </c>
      <c r="F2233" t="s">
        <v>6</v>
      </c>
      <c r="G2233" s="8">
        <f t="shared" si="286"/>
        <v>37</v>
      </c>
      <c r="H2233">
        <f t="shared" si="287"/>
        <v>1</v>
      </c>
      <c r="I2233" t="str">
        <f t="shared" si="285"/>
        <v>Sunday</v>
      </c>
      <c r="L2233">
        <f t="shared" si="288"/>
        <v>0</v>
      </c>
    </row>
    <row r="2234" spans="1:12" x14ac:dyDescent="0.25">
      <c r="A2234">
        <v>217277033</v>
      </c>
      <c r="B2234" s="1">
        <v>45089</v>
      </c>
      <c r="C2234" s="1">
        <f t="shared" ref="C2234:C2238" ca="1" si="296">TODAY()</f>
        <v>45938</v>
      </c>
      <c r="D2234" t="s">
        <v>7</v>
      </c>
      <c r="E2234">
        <v>39</v>
      </c>
      <c r="F2234" t="s">
        <v>6</v>
      </c>
      <c r="G2234" s="8">
        <f t="shared" ca="1" si="286"/>
        <v>849</v>
      </c>
      <c r="H2234">
        <f t="shared" si="287"/>
        <v>2</v>
      </c>
      <c r="I2234" t="str">
        <f t="shared" si="285"/>
        <v>Monday</v>
      </c>
      <c r="L2234">
        <f t="shared" ca="1" si="288"/>
        <v>0</v>
      </c>
    </row>
    <row r="2235" spans="1:12" x14ac:dyDescent="0.25">
      <c r="A2235">
        <v>136199071</v>
      </c>
      <c r="B2235" s="1">
        <v>45089</v>
      </c>
      <c r="C2235" s="1">
        <f t="shared" ca="1" si="296"/>
        <v>45938</v>
      </c>
      <c r="D2235" t="s">
        <v>7</v>
      </c>
      <c r="E2235">
        <v>39</v>
      </c>
      <c r="F2235" t="s">
        <v>6</v>
      </c>
      <c r="G2235" s="8">
        <f t="shared" ca="1" si="286"/>
        <v>849</v>
      </c>
      <c r="H2235">
        <f t="shared" si="287"/>
        <v>2</v>
      </c>
      <c r="I2235" t="str">
        <f t="shared" si="285"/>
        <v>Monday</v>
      </c>
      <c r="L2235">
        <f t="shared" ca="1" si="288"/>
        <v>0</v>
      </c>
    </row>
    <row r="2236" spans="1:12" x14ac:dyDescent="0.25">
      <c r="A2236">
        <v>217102618</v>
      </c>
      <c r="B2236" s="1">
        <v>45089</v>
      </c>
      <c r="C2236" s="1">
        <f t="shared" ca="1" si="296"/>
        <v>45938</v>
      </c>
      <c r="D2236" t="s">
        <v>7</v>
      </c>
      <c r="E2236">
        <v>39</v>
      </c>
      <c r="F2236" t="s">
        <v>6</v>
      </c>
      <c r="G2236" s="8">
        <f t="shared" ca="1" si="286"/>
        <v>849</v>
      </c>
      <c r="H2236">
        <f t="shared" si="287"/>
        <v>2</v>
      </c>
      <c r="I2236" t="str">
        <f t="shared" si="285"/>
        <v>Monday</v>
      </c>
      <c r="L2236">
        <f t="shared" ca="1" si="288"/>
        <v>0</v>
      </c>
    </row>
    <row r="2237" spans="1:12" x14ac:dyDescent="0.25">
      <c r="A2237">
        <v>217252136</v>
      </c>
      <c r="B2237" s="1">
        <v>45089</v>
      </c>
      <c r="C2237" s="1">
        <f t="shared" ca="1" si="296"/>
        <v>45938</v>
      </c>
      <c r="D2237" t="s">
        <v>7</v>
      </c>
      <c r="E2237">
        <v>39</v>
      </c>
      <c r="F2237" t="s">
        <v>6</v>
      </c>
      <c r="G2237" s="8">
        <f t="shared" ca="1" si="286"/>
        <v>849</v>
      </c>
      <c r="H2237">
        <f t="shared" si="287"/>
        <v>2</v>
      </c>
      <c r="I2237" t="str">
        <f t="shared" si="285"/>
        <v>Monday</v>
      </c>
      <c r="L2237">
        <f t="shared" ca="1" si="288"/>
        <v>0</v>
      </c>
    </row>
    <row r="2238" spans="1:12" x14ac:dyDescent="0.25">
      <c r="A2238">
        <v>215856743</v>
      </c>
      <c r="B2238" s="1">
        <v>45089</v>
      </c>
      <c r="C2238" s="1">
        <f t="shared" ca="1" si="296"/>
        <v>45938</v>
      </c>
      <c r="D2238" t="s">
        <v>7</v>
      </c>
      <c r="E2238">
        <v>39</v>
      </c>
      <c r="F2238" t="s">
        <v>6</v>
      </c>
      <c r="G2238" s="8">
        <f t="shared" ca="1" si="286"/>
        <v>849</v>
      </c>
      <c r="H2238">
        <f t="shared" si="287"/>
        <v>2</v>
      </c>
      <c r="I2238" t="str">
        <f t="shared" si="285"/>
        <v>Monday</v>
      </c>
      <c r="L2238">
        <f t="shared" ca="1" si="288"/>
        <v>0</v>
      </c>
    </row>
    <row r="2239" spans="1:12" x14ac:dyDescent="0.25">
      <c r="A2239">
        <v>217260184</v>
      </c>
      <c r="B2239" s="1">
        <v>45089</v>
      </c>
      <c r="C2239" s="1">
        <v>45090</v>
      </c>
      <c r="D2239" t="s">
        <v>8</v>
      </c>
      <c r="E2239">
        <v>39</v>
      </c>
      <c r="F2239" t="s">
        <v>6</v>
      </c>
      <c r="G2239" s="8">
        <f t="shared" si="286"/>
        <v>1</v>
      </c>
      <c r="H2239">
        <f t="shared" si="287"/>
        <v>2</v>
      </c>
      <c r="I2239" t="str">
        <f t="shared" si="285"/>
        <v>Monday</v>
      </c>
      <c r="L2239">
        <f t="shared" si="288"/>
        <v>1</v>
      </c>
    </row>
    <row r="2240" spans="1:12" x14ac:dyDescent="0.25">
      <c r="A2240">
        <v>140371292</v>
      </c>
      <c r="B2240" s="1">
        <v>45089</v>
      </c>
      <c r="C2240" s="1">
        <v>45117</v>
      </c>
      <c r="D2240" t="s">
        <v>7</v>
      </c>
      <c r="E2240">
        <v>39</v>
      </c>
      <c r="F2240" t="s">
        <v>6</v>
      </c>
      <c r="G2240" s="8">
        <f t="shared" si="286"/>
        <v>28</v>
      </c>
      <c r="H2240">
        <f t="shared" si="287"/>
        <v>2</v>
      </c>
      <c r="I2240" t="str">
        <f t="shared" si="285"/>
        <v>Monday</v>
      </c>
      <c r="L2240">
        <f t="shared" si="288"/>
        <v>0</v>
      </c>
    </row>
    <row r="2241" spans="1:12" x14ac:dyDescent="0.25">
      <c r="A2241">
        <v>164903790</v>
      </c>
      <c r="B2241" s="1">
        <v>45089</v>
      </c>
      <c r="C2241" s="1">
        <v>45127</v>
      </c>
      <c r="D2241" t="s">
        <v>7</v>
      </c>
      <c r="E2241">
        <v>39</v>
      </c>
      <c r="F2241" t="s">
        <v>6</v>
      </c>
      <c r="G2241" s="8">
        <f t="shared" si="286"/>
        <v>38</v>
      </c>
      <c r="H2241">
        <f t="shared" si="287"/>
        <v>2</v>
      </c>
      <c r="I2241" t="str">
        <f t="shared" si="285"/>
        <v>Monday</v>
      </c>
      <c r="L2241">
        <f t="shared" si="288"/>
        <v>0</v>
      </c>
    </row>
    <row r="2242" spans="1:12" x14ac:dyDescent="0.25">
      <c r="A2242">
        <v>217206158</v>
      </c>
      <c r="B2242" s="1">
        <v>45089</v>
      </c>
      <c r="C2242" s="1">
        <v>45149</v>
      </c>
      <c r="D2242" t="s">
        <v>7</v>
      </c>
      <c r="E2242">
        <v>39</v>
      </c>
      <c r="F2242" t="s">
        <v>6</v>
      </c>
      <c r="G2242" s="8">
        <f t="shared" si="286"/>
        <v>60</v>
      </c>
      <c r="H2242">
        <f t="shared" si="287"/>
        <v>2</v>
      </c>
      <c r="I2242" t="str">
        <f t="shared" ref="I2242:I2305" si="297">TEXT(B2242,"DDDD")</f>
        <v>Monday</v>
      </c>
      <c r="L2242">
        <f t="shared" si="288"/>
        <v>0</v>
      </c>
    </row>
    <row r="2243" spans="1:12" x14ac:dyDescent="0.25">
      <c r="A2243">
        <v>215180470</v>
      </c>
      <c r="B2243" s="1">
        <v>45089</v>
      </c>
      <c r="C2243" s="1">
        <v>45144</v>
      </c>
      <c r="D2243" t="s">
        <v>7</v>
      </c>
      <c r="E2243">
        <v>39</v>
      </c>
      <c r="F2243" t="s">
        <v>6</v>
      </c>
      <c r="G2243" s="8">
        <f t="shared" ref="G2243:G2306" si="298">IFERROR(DATEDIF(B2243,C2243,"D"),"0")</f>
        <v>55</v>
      </c>
      <c r="H2243">
        <f t="shared" ref="H2243:H2306" si="299">WEEKDAY(B2243,1)</f>
        <v>2</v>
      </c>
      <c r="I2243" t="str">
        <f t="shared" si="297"/>
        <v>Monday</v>
      </c>
      <c r="L2243">
        <f t="shared" ref="L2243:L2306" si="300">IF( OR($G2243=0,$G2243 = 1, $G2243 = 2), 1, 0 )</f>
        <v>0</v>
      </c>
    </row>
    <row r="2244" spans="1:12" x14ac:dyDescent="0.25">
      <c r="A2244">
        <v>217246611</v>
      </c>
      <c r="B2244" s="1">
        <v>45089</v>
      </c>
      <c r="C2244" s="1">
        <v>45113</v>
      </c>
      <c r="D2244" t="s">
        <v>7</v>
      </c>
      <c r="E2244">
        <v>39</v>
      </c>
      <c r="F2244" t="s">
        <v>6</v>
      </c>
      <c r="G2244" s="8">
        <f t="shared" si="298"/>
        <v>24</v>
      </c>
      <c r="H2244">
        <f t="shared" si="299"/>
        <v>2</v>
      </c>
      <c r="I2244" t="str">
        <f t="shared" si="297"/>
        <v>Monday</v>
      </c>
      <c r="L2244">
        <f t="shared" si="300"/>
        <v>0</v>
      </c>
    </row>
    <row r="2245" spans="1:12" x14ac:dyDescent="0.25">
      <c r="A2245">
        <v>217080066</v>
      </c>
      <c r="B2245" s="1">
        <v>45089</v>
      </c>
      <c r="C2245" s="1">
        <v>45119</v>
      </c>
      <c r="D2245" t="s">
        <v>7</v>
      </c>
      <c r="E2245">
        <v>39</v>
      </c>
      <c r="F2245" t="s">
        <v>6</v>
      </c>
      <c r="G2245" s="8">
        <f t="shared" si="298"/>
        <v>30</v>
      </c>
      <c r="H2245">
        <f t="shared" si="299"/>
        <v>2</v>
      </c>
      <c r="I2245" t="str">
        <f t="shared" si="297"/>
        <v>Monday</v>
      </c>
      <c r="L2245">
        <f t="shared" si="300"/>
        <v>0</v>
      </c>
    </row>
    <row r="2246" spans="1:12" x14ac:dyDescent="0.25">
      <c r="A2246">
        <v>214510838</v>
      </c>
      <c r="B2246" s="1">
        <v>45090</v>
      </c>
      <c r="C2246" s="1">
        <f t="shared" ref="C2246:C2250" ca="1" si="301">TODAY()</f>
        <v>45938</v>
      </c>
      <c r="D2246" t="s">
        <v>7</v>
      </c>
      <c r="E2246">
        <v>39</v>
      </c>
      <c r="F2246" t="s">
        <v>6</v>
      </c>
      <c r="G2246" s="8">
        <f t="shared" ca="1" si="298"/>
        <v>848</v>
      </c>
      <c r="H2246">
        <f t="shared" si="299"/>
        <v>3</v>
      </c>
      <c r="I2246" t="str">
        <f t="shared" si="297"/>
        <v>Tuesday</v>
      </c>
      <c r="L2246">
        <f t="shared" ca="1" si="300"/>
        <v>0</v>
      </c>
    </row>
    <row r="2247" spans="1:12" x14ac:dyDescent="0.25">
      <c r="A2247">
        <v>217241338</v>
      </c>
      <c r="B2247" s="1">
        <v>45090</v>
      </c>
      <c r="C2247" s="1">
        <f t="shared" ca="1" si="301"/>
        <v>45938</v>
      </c>
      <c r="D2247" t="s">
        <v>7</v>
      </c>
      <c r="E2247">
        <v>39</v>
      </c>
      <c r="F2247" t="s">
        <v>6</v>
      </c>
      <c r="G2247" s="8">
        <f t="shared" ca="1" si="298"/>
        <v>848</v>
      </c>
      <c r="H2247">
        <f t="shared" si="299"/>
        <v>3</v>
      </c>
      <c r="I2247" t="str">
        <f t="shared" si="297"/>
        <v>Tuesday</v>
      </c>
      <c r="L2247">
        <f t="shared" ca="1" si="300"/>
        <v>0</v>
      </c>
    </row>
    <row r="2248" spans="1:12" x14ac:dyDescent="0.25">
      <c r="A2248">
        <v>215447681</v>
      </c>
      <c r="B2248" s="1">
        <v>45090</v>
      </c>
      <c r="C2248" s="1">
        <f t="shared" ca="1" si="301"/>
        <v>45938</v>
      </c>
      <c r="D2248" t="s">
        <v>7</v>
      </c>
      <c r="E2248">
        <v>39</v>
      </c>
      <c r="F2248" t="s">
        <v>6</v>
      </c>
      <c r="G2248" s="8">
        <f t="shared" ca="1" si="298"/>
        <v>848</v>
      </c>
      <c r="H2248">
        <f t="shared" si="299"/>
        <v>3</v>
      </c>
      <c r="I2248" t="str">
        <f t="shared" si="297"/>
        <v>Tuesday</v>
      </c>
      <c r="L2248">
        <f t="shared" ca="1" si="300"/>
        <v>0</v>
      </c>
    </row>
    <row r="2249" spans="1:12" x14ac:dyDescent="0.25">
      <c r="A2249">
        <v>214746385</v>
      </c>
      <c r="B2249" s="1">
        <v>45090</v>
      </c>
      <c r="C2249" s="1">
        <f t="shared" ca="1" si="301"/>
        <v>45938</v>
      </c>
      <c r="D2249" t="s">
        <v>7</v>
      </c>
      <c r="E2249">
        <v>39</v>
      </c>
      <c r="F2249" t="s">
        <v>6</v>
      </c>
      <c r="G2249" s="8">
        <f t="shared" ca="1" si="298"/>
        <v>848</v>
      </c>
      <c r="H2249">
        <f t="shared" si="299"/>
        <v>3</v>
      </c>
      <c r="I2249" t="str">
        <f t="shared" si="297"/>
        <v>Tuesday</v>
      </c>
      <c r="L2249">
        <f t="shared" ca="1" si="300"/>
        <v>0</v>
      </c>
    </row>
    <row r="2250" spans="1:12" x14ac:dyDescent="0.25">
      <c r="A2250">
        <v>217279595</v>
      </c>
      <c r="B2250" s="1">
        <v>45090</v>
      </c>
      <c r="C2250" s="1">
        <f t="shared" ca="1" si="301"/>
        <v>45938</v>
      </c>
      <c r="D2250" t="s">
        <v>7</v>
      </c>
      <c r="E2250">
        <v>39</v>
      </c>
      <c r="F2250" t="s">
        <v>6</v>
      </c>
      <c r="G2250" s="8">
        <f t="shared" ca="1" si="298"/>
        <v>848</v>
      </c>
      <c r="H2250">
        <f t="shared" si="299"/>
        <v>3</v>
      </c>
      <c r="I2250" t="str">
        <f t="shared" si="297"/>
        <v>Tuesday</v>
      </c>
      <c r="L2250">
        <f t="shared" ca="1" si="300"/>
        <v>0</v>
      </c>
    </row>
    <row r="2251" spans="1:12" x14ac:dyDescent="0.25">
      <c r="A2251">
        <v>138725699</v>
      </c>
      <c r="B2251" s="1">
        <v>45090</v>
      </c>
      <c r="C2251" s="1">
        <v>45091</v>
      </c>
      <c r="D2251" t="s">
        <v>7</v>
      </c>
      <c r="E2251">
        <v>39</v>
      </c>
      <c r="F2251" t="s">
        <v>6</v>
      </c>
      <c r="G2251" s="8">
        <f t="shared" si="298"/>
        <v>1</v>
      </c>
      <c r="H2251">
        <f t="shared" si="299"/>
        <v>3</v>
      </c>
      <c r="I2251" t="str">
        <f t="shared" si="297"/>
        <v>Tuesday</v>
      </c>
      <c r="L2251">
        <f t="shared" si="300"/>
        <v>1</v>
      </c>
    </row>
    <row r="2252" spans="1:12" x14ac:dyDescent="0.25">
      <c r="A2252">
        <v>199464176</v>
      </c>
      <c r="B2252" s="1">
        <v>45090</v>
      </c>
      <c r="C2252" s="1">
        <v>45138</v>
      </c>
      <c r="D2252" t="s">
        <v>7</v>
      </c>
      <c r="E2252">
        <v>39</v>
      </c>
      <c r="F2252" t="s">
        <v>6</v>
      </c>
      <c r="G2252" s="8">
        <f t="shared" si="298"/>
        <v>48</v>
      </c>
      <c r="H2252">
        <f t="shared" si="299"/>
        <v>3</v>
      </c>
      <c r="I2252" t="str">
        <f t="shared" si="297"/>
        <v>Tuesday</v>
      </c>
      <c r="L2252">
        <f t="shared" si="300"/>
        <v>0</v>
      </c>
    </row>
    <row r="2253" spans="1:12" x14ac:dyDescent="0.25">
      <c r="A2253">
        <v>217269788</v>
      </c>
      <c r="B2253" s="1">
        <v>45090</v>
      </c>
      <c r="C2253" s="1">
        <v>45128</v>
      </c>
      <c r="D2253" t="s">
        <v>7</v>
      </c>
      <c r="E2253">
        <v>39</v>
      </c>
      <c r="F2253" t="s">
        <v>6</v>
      </c>
      <c r="G2253" s="8">
        <f t="shared" si="298"/>
        <v>38</v>
      </c>
      <c r="H2253">
        <f t="shared" si="299"/>
        <v>3</v>
      </c>
      <c r="I2253" t="str">
        <f t="shared" si="297"/>
        <v>Tuesday</v>
      </c>
      <c r="L2253">
        <f t="shared" si="300"/>
        <v>0</v>
      </c>
    </row>
    <row r="2254" spans="1:12" x14ac:dyDescent="0.25">
      <c r="A2254">
        <v>217210206</v>
      </c>
      <c r="B2254" s="1">
        <v>45090</v>
      </c>
      <c r="C2254" s="1">
        <v>45112</v>
      </c>
      <c r="D2254" t="s">
        <v>7</v>
      </c>
      <c r="E2254">
        <v>39</v>
      </c>
      <c r="F2254" t="s">
        <v>6</v>
      </c>
      <c r="G2254" s="8">
        <f t="shared" si="298"/>
        <v>22</v>
      </c>
      <c r="H2254">
        <f t="shared" si="299"/>
        <v>3</v>
      </c>
      <c r="I2254" t="str">
        <f t="shared" si="297"/>
        <v>Tuesday</v>
      </c>
      <c r="L2254">
        <f t="shared" si="300"/>
        <v>0</v>
      </c>
    </row>
    <row r="2255" spans="1:12" x14ac:dyDescent="0.25">
      <c r="A2255">
        <v>217276264</v>
      </c>
      <c r="B2255" s="1">
        <v>45091</v>
      </c>
      <c r="C2255" s="1">
        <f t="shared" ref="C2255:C2256" ca="1" si="302">TODAY()</f>
        <v>45938</v>
      </c>
      <c r="D2255" t="s">
        <v>7</v>
      </c>
      <c r="E2255">
        <v>39</v>
      </c>
      <c r="F2255" t="s">
        <v>6</v>
      </c>
      <c r="G2255" s="8">
        <f t="shared" ca="1" si="298"/>
        <v>847</v>
      </c>
      <c r="H2255">
        <f t="shared" si="299"/>
        <v>4</v>
      </c>
      <c r="I2255" t="str">
        <f t="shared" si="297"/>
        <v>Wednesday</v>
      </c>
      <c r="L2255">
        <f t="shared" ca="1" si="300"/>
        <v>0</v>
      </c>
    </row>
    <row r="2256" spans="1:12" x14ac:dyDescent="0.25">
      <c r="A2256">
        <v>217242854</v>
      </c>
      <c r="B2256" s="1">
        <v>45091</v>
      </c>
      <c r="C2256" s="1">
        <f t="shared" ca="1" si="302"/>
        <v>45938</v>
      </c>
      <c r="D2256" t="s">
        <v>7</v>
      </c>
      <c r="E2256">
        <v>39</v>
      </c>
      <c r="F2256" t="s">
        <v>6</v>
      </c>
      <c r="G2256" s="8">
        <f t="shared" ca="1" si="298"/>
        <v>847</v>
      </c>
      <c r="H2256">
        <f t="shared" si="299"/>
        <v>4</v>
      </c>
      <c r="I2256" t="str">
        <f t="shared" si="297"/>
        <v>Wednesday</v>
      </c>
      <c r="L2256">
        <f t="shared" ca="1" si="300"/>
        <v>0</v>
      </c>
    </row>
    <row r="2257" spans="1:12" x14ac:dyDescent="0.25">
      <c r="A2257">
        <v>140062581</v>
      </c>
      <c r="B2257" s="1">
        <v>45091</v>
      </c>
      <c r="C2257" s="1">
        <v>45092</v>
      </c>
      <c r="D2257" t="s">
        <v>7</v>
      </c>
      <c r="E2257">
        <v>39</v>
      </c>
      <c r="F2257" t="s">
        <v>6</v>
      </c>
      <c r="G2257" s="8">
        <f t="shared" si="298"/>
        <v>1</v>
      </c>
      <c r="H2257">
        <f t="shared" si="299"/>
        <v>4</v>
      </c>
      <c r="I2257" t="str">
        <f t="shared" si="297"/>
        <v>Wednesday</v>
      </c>
      <c r="L2257">
        <f t="shared" si="300"/>
        <v>1</v>
      </c>
    </row>
    <row r="2258" spans="1:12" x14ac:dyDescent="0.25">
      <c r="A2258">
        <v>217340338</v>
      </c>
      <c r="B2258" s="1">
        <v>45091</v>
      </c>
      <c r="C2258" s="1">
        <v>45091</v>
      </c>
      <c r="D2258" t="s">
        <v>8</v>
      </c>
      <c r="E2258">
        <v>39</v>
      </c>
      <c r="F2258" t="s">
        <v>6</v>
      </c>
      <c r="G2258" s="8">
        <f t="shared" si="298"/>
        <v>0</v>
      </c>
      <c r="H2258">
        <f t="shared" si="299"/>
        <v>4</v>
      </c>
      <c r="I2258" t="str">
        <f t="shared" si="297"/>
        <v>Wednesday</v>
      </c>
      <c r="L2258">
        <f t="shared" si="300"/>
        <v>1</v>
      </c>
    </row>
    <row r="2259" spans="1:12" x14ac:dyDescent="0.25">
      <c r="A2259">
        <v>157435806</v>
      </c>
      <c r="B2259" s="1">
        <v>45091</v>
      </c>
      <c r="C2259" s="1">
        <v>45121</v>
      </c>
      <c r="D2259" t="s">
        <v>7</v>
      </c>
      <c r="E2259">
        <v>39</v>
      </c>
      <c r="F2259" t="s">
        <v>6</v>
      </c>
      <c r="G2259" s="8">
        <f t="shared" si="298"/>
        <v>30</v>
      </c>
      <c r="H2259">
        <f t="shared" si="299"/>
        <v>4</v>
      </c>
      <c r="I2259" t="str">
        <f t="shared" si="297"/>
        <v>Wednesday</v>
      </c>
      <c r="L2259">
        <f t="shared" si="300"/>
        <v>0</v>
      </c>
    </row>
    <row r="2260" spans="1:12" x14ac:dyDescent="0.25">
      <c r="A2260">
        <v>217358299</v>
      </c>
      <c r="B2260" s="1">
        <v>45091</v>
      </c>
      <c r="C2260" s="1">
        <v>45149</v>
      </c>
      <c r="D2260" t="s">
        <v>7</v>
      </c>
      <c r="E2260">
        <v>39</v>
      </c>
      <c r="F2260" t="s">
        <v>6</v>
      </c>
      <c r="G2260" s="8">
        <f t="shared" si="298"/>
        <v>58</v>
      </c>
      <c r="H2260">
        <f t="shared" si="299"/>
        <v>4</v>
      </c>
      <c r="I2260" t="str">
        <f t="shared" si="297"/>
        <v>Wednesday</v>
      </c>
      <c r="L2260">
        <f t="shared" si="300"/>
        <v>0</v>
      </c>
    </row>
    <row r="2261" spans="1:12" x14ac:dyDescent="0.25">
      <c r="A2261">
        <v>217330046</v>
      </c>
      <c r="B2261" s="1">
        <v>45091</v>
      </c>
      <c r="C2261" s="1">
        <v>45108</v>
      </c>
      <c r="D2261" t="s">
        <v>7</v>
      </c>
      <c r="E2261">
        <v>39</v>
      </c>
      <c r="F2261" t="s">
        <v>6</v>
      </c>
      <c r="G2261" s="8">
        <f t="shared" si="298"/>
        <v>17</v>
      </c>
      <c r="H2261">
        <f t="shared" si="299"/>
        <v>4</v>
      </c>
      <c r="I2261" t="str">
        <f t="shared" si="297"/>
        <v>Wednesday</v>
      </c>
      <c r="L2261">
        <f t="shared" si="300"/>
        <v>0</v>
      </c>
    </row>
    <row r="2262" spans="1:12" x14ac:dyDescent="0.25">
      <c r="A2262">
        <v>216945894</v>
      </c>
      <c r="B2262" s="1">
        <v>45092</v>
      </c>
      <c r="C2262" s="1">
        <f t="shared" ref="C2262:C2268" ca="1" si="303">TODAY()</f>
        <v>45938</v>
      </c>
      <c r="D2262" t="s">
        <v>7</v>
      </c>
      <c r="E2262">
        <v>39</v>
      </c>
      <c r="F2262" t="s">
        <v>6</v>
      </c>
      <c r="G2262" s="8">
        <f t="shared" ca="1" si="298"/>
        <v>846</v>
      </c>
      <c r="H2262">
        <f t="shared" si="299"/>
        <v>5</v>
      </c>
      <c r="I2262" t="str">
        <f t="shared" si="297"/>
        <v>Thursday</v>
      </c>
      <c r="L2262">
        <f t="shared" ca="1" si="300"/>
        <v>0</v>
      </c>
    </row>
    <row r="2263" spans="1:12" x14ac:dyDescent="0.25">
      <c r="A2263">
        <v>150178354</v>
      </c>
      <c r="B2263" s="1">
        <v>45092</v>
      </c>
      <c r="C2263" s="1">
        <f t="shared" ca="1" si="303"/>
        <v>45938</v>
      </c>
      <c r="D2263" t="s">
        <v>7</v>
      </c>
      <c r="E2263">
        <v>39</v>
      </c>
      <c r="F2263" t="s">
        <v>6</v>
      </c>
      <c r="G2263" s="8">
        <f t="shared" ca="1" si="298"/>
        <v>846</v>
      </c>
      <c r="H2263">
        <f t="shared" si="299"/>
        <v>5</v>
      </c>
      <c r="I2263" t="str">
        <f t="shared" si="297"/>
        <v>Thursday</v>
      </c>
      <c r="L2263">
        <f t="shared" ca="1" si="300"/>
        <v>0</v>
      </c>
    </row>
    <row r="2264" spans="1:12" x14ac:dyDescent="0.25">
      <c r="A2264">
        <v>153942818</v>
      </c>
      <c r="B2264" s="1">
        <v>45092</v>
      </c>
      <c r="C2264" s="1">
        <f t="shared" ca="1" si="303"/>
        <v>45938</v>
      </c>
      <c r="D2264" t="s">
        <v>7</v>
      </c>
      <c r="E2264">
        <v>39</v>
      </c>
      <c r="F2264" t="s">
        <v>6</v>
      </c>
      <c r="G2264" s="8">
        <f t="shared" ca="1" si="298"/>
        <v>846</v>
      </c>
      <c r="H2264">
        <f t="shared" si="299"/>
        <v>5</v>
      </c>
      <c r="I2264" t="str">
        <f t="shared" si="297"/>
        <v>Thursday</v>
      </c>
      <c r="L2264">
        <f t="shared" ca="1" si="300"/>
        <v>0</v>
      </c>
    </row>
    <row r="2265" spans="1:12" x14ac:dyDescent="0.25">
      <c r="A2265">
        <v>150728848</v>
      </c>
      <c r="B2265" s="1">
        <v>45092</v>
      </c>
      <c r="C2265" s="1">
        <f t="shared" ca="1" si="303"/>
        <v>45938</v>
      </c>
      <c r="D2265" t="s">
        <v>7</v>
      </c>
      <c r="E2265">
        <v>39</v>
      </c>
      <c r="F2265" t="s">
        <v>6</v>
      </c>
      <c r="G2265" s="8">
        <f t="shared" ca="1" si="298"/>
        <v>846</v>
      </c>
      <c r="H2265">
        <f t="shared" si="299"/>
        <v>5</v>
      </c>
      <c r="I2265" t="str">
        <f t="shared" si="297"/>
        <v>Thursday</v>
      </c>
      <c r="L2265">
        <f t="shared" ca="1" si="300"/>
        <v>0</v>
      </c>
    </row>
    <row r="2266" spans="1:12" x14ac:dyDescent="0.25">
      <c r="A2266">
        <v>138725699</v>
      </c>
      <c r="B2266" s="1">
        <v>45092</v>
      </c>
      <c r="C2266" s="1">
        <f t="shared" ca="1" si="303"/>
        <v>45938</v>
      </c>
      <c r="D2266" t="s">
        <v>7</v>
      </c>
      <c r="E2266">
        <v>39</v>
      </c>
      <c r="F2266" t="s">
        <v>6</v>
      </c>
      <c r="G2266" s="8">
        <f t="shared" ca="1" si="298"/>
        <v>846</v>
      </c>
      <c r="H2266">
        <f t="shared" si="299"/>
        <v>5</v>
      </c>
      <c r="I2266" t="str">
        <f t="shared" si="297"/>
        <v>Thursday</v>
      </c>
      <c r="L2266">
        <f t="shared" ca="1" si="300"/>
        <v>0</v>
      </c>
    </row>
    <row r="2267" spans="1:12" x14ac:dyDescent="0.25">
      <c r="A2267">
        <v>217207926</v>
      </c>
      <c r="B2267" s="1">
        <v>45092</v>
      </c>
      <c r="C2267" s="1">
        <f t="shared" ca="1" si="303"/>
        <v>45938</v>
      </c>
      <c r="D2267" t="s">
        <v>7</v>
      </c>
      <c r="E2267">
        <v>39</v>
      </c>
      <c r="F2267" t="s">
        <v>6</v>
      </c>
      <c r="G2267" s="8">
        <f t="shared" ca="1" si="298"/>
        <v>846</v>
      </c>
      <c r="H2267">
        <f t="shared" si="299"/>
        <v>5</v>
      </c>
      <c r="I2267" t="str">
        <f t="shared" si="297"/>
        <v>Thursday</v>
      </c>
      <c r="L2267">
        <f t="shared" ca="1" si="300"/>
        <v>0</v>
      </c>
    </row>
    <row r="2268" spans="1:12" x14ac:dyDescent="0.25">
      <c r="A2268">
        <v>217370233</v>
      </c>
      <c r="B2268" s="1">
        <v>45092</v>
      </c>
      <c r="C2268" s="1">
        <f t="shared" ca="1" si="303"/>
        <v>45938</v>
      </c>
      <c r="D2268" t="s">
        <v>7</v>
      </c>
      <c r="E2268">
        <v>39</v>
      </c>
      <c r="F2268" t="s">
        <v>6</v>
      </c>
      <c r="G2268" s="8">
        <f t="shared" ca="1" si="298"/>
        <v>846</v>
      </c>
      <c r="H2268">
        <f t="shared" si="299"/>
        <v>5</v>
      </c>
      <c r="I2268" t="str">
        <f t="shared" si="297"/>
        <v>Thursday</v>
      </c>
      <c r="L2268">
        <f t="shared" ca="1" si="300"/>
        <v>0</v>
      </c>
    </row>
    <row r="2269" spans="1:12" x14ac:dyDescent="0.25">
      <c r="A2269">
        <v>205464540</v>
      </c>
      <c r="B2269" s="1">
        <v>45092</v>
      </c>
      <c r="C2269" s="1">
        <v>45129</v>
      </c>
      <c r="D2269" t="s">
        <v>7</v>
      </c>
      <c r="E2269">
        <v>39</v>
      </c>
      <c r="F2269" t="s">
        <v>6</v>
      </c>
      <c r="G2269" s="8">
        <f t="shared" si="298"/>
        <v>37</v>
      </c>
      <c r="H2269">
        <f t="shared" si="299"/>
        <v>5</v>
      </c>
      <c r="I2269" t="str">
        <f t="shared" si="297"/>
        <v>Thursday</v>
      </c>
      <c r="L2269">
        <f t="shared" si="300"/>
        <v>0</v>
      </c>
    </row>
    <row r="2270" spans="1:12" x14ac:dyDescent="0.25">
      <c r="A2270">
        <v>167403892</v>
      </c>
      <c r="B2270" s="1">
        <v>45092</v>
      </c>
      <c r="C2270" s="1">
        <v>45160</v>
      </c>
      <c r="D2270" t="s">
        <v>7</v>
      </c>
      <c r="E2270">
        <v>39</v>
      </c>
      <c r="F2270" t="s">
        <v>6</v>
      </c>
      <c r="G2270" s="8">
        <f t="shared" si="298"/>
        <v>68</v>
      </c>
      <c r="H2270">
        <f t="shared" si="299"/>
        <v>5</v>
      </c>
      <c r="I2270" t="str">
        <f t="shared" si="297"/>
        <v>Thursday</v>
      </c>
      <c r="L2270">
        <f t="shared" si="300"/>
        <v>0</v>
      </c>
    </row>
    <row r="2271" spans="1:12" x14ac:dyDescent="0.25">
      <c r="A2271">
        <v>217326821</v>
      </c>
      <c r="B2271" s="1">
        <v>45092</v>
      </c>
      <c r="C2271" s="1">
        <v>45160</v>
      </c>
      <c r="D2271" t="s">
        <v>7</v>
      </c>
      <c r="E2271">
        <v>39</v>
      </c>
      <c r="F2271" t="s">
        <v>6</v>
      </c>
      <c r="G2271" s="8">
        <f t="shared" si="298"/>
        <v>68</v>
      </c>
      <c r="H2271">
        <f t="shared" si="299"/>
        <v>5</v>
      </c>
      <c r="I2271" t="str">
        <f t="shared" si="297"/>
        <v>Thursday</v>
      </c>
      <c r="L2271">
        <f t="shared" si="300"/>
        <v>0</v>
      </c>
    </row>
    <row r="2272" spans="1:12" x14ac:dyDescent="0.25">
      <c r="A2272">
        <v>214918906</v>
      </c>
      <c r="B2272" s="1">
        <v>45092</v>
      </c>
      <c r="C2272" s="1">
        <v>45129</v>
      </c>
      <c r="D2272" t="s">
        <v>7</v>
      </c>
      <c r="E2272">
        <v>39</v>
      </c>
      <c r="F2272" t="s">
        <v>6</v>
      </c>
      <c r="G2272" s="8">
        <f t="shared" si="298"/>
        <v>37</v>
      </c>
      <c r="H2272">
        <f t="shared" si="299"/>
        <v>5</v>
      </c>
      <c r="I2272" t="str">
        <f t="shared" si="297"/>
        <v>Thursday</v>
      </c>
      <c r="L2272">
        <f t="shared" si="300"/>
        <v>0</v>
      </c>
    </row>
    <row r="2273" spans="1:12" x14ac:dyDescent="0.25">
      <c r="A2273">
        <v>216983668</v>
      </c>
      <c r="B2273" s="1">
        <v>45092</v>
      </c>
      <c r="C2273" s="1">
        <v>45122</v>
      </c>
      <c r="D2273" t="s">
        <v>7</v>
      </c>
      <c r="E2273">
        <v>39</v>
      </c>
      <c r="F2273" t="s">
        <v>6</v>
      </c>
      <c r="G2273" s="8">
        <f t="shared" si="298"/>
        <v>30</v>
      </c>
      <c r="H2273">
        <f t="shared" si="299"/>
        <v>5</v>
      </c>
      <c r="I2273" t="str">
        <f t="shared" si="297"/>
        <v>Thursday</v>
      </c>
      <c r="L2273">
        <f t="shared" si="300"/>
        <v>0</v>
      </c>
    </row>
    <row r="2274" spans="1:12" x14ac:dyDescent="0.25">
      <c r="A2274">
        <v>217454204</v>
      </c>
      <c r="B2274" s="1">
        <v>45093</v>
      </c>
      <c r="C2274" s="1">
        <f t="shared" ref="C2274:C2277" ca="1" si="304">TODAY()</f>
        <v>45938</v>
      </c>
      <c r="D2274" t="s">
        <v>7</v>
      </c>
      <c r="E2274">
        <v>39</v>
      </c>
      <c r="F2274" t="s">
        <v>6</v>
      </c>
      <c r="G2274" s="8">
        <f t="shared" ca="1" si="298"/>
        <v>845</v>
      </c>
      <c r="H2274">
        <f t="shared" si="299"/>
        <v>6</v>
      </c>
      <c r="I2274" t="str">
        <f t="shared" si="297"/>
        <v>Friday</v>
      </c>
      <c r="L2274">
        <f t="shared" ca="1" si="300"/>
        <v>0</v>
      </c>
    </row>
    <row r="2275" spans="1:12" x14ac:dyDescent="0.25">
      <c r="A2275">
        <v>206049284</v>
      </c>
      <c r="B2275" s="1">
        <v>45093</v>
      </c>
      <c r="C2275" s="1">
        <f t="shared" ca="1" si="304"/>
        <v>45938</v>
      </c>
      <c r="D2275" t="s">
        <v>7</v>
      </c>
      <c r="E2275">
        <v>39</v>
      </c>
      <c r="F2275" t="s">
        <v>6</v>
      </c>
      <c r="G2275" s="8">
        <f t="shared" ca="1" si="298"/>
        <v>845</v>
      </c>
      <c r="H2275">
        <f t="shared" si="299"/>
        <v>6</v>
      </c>
      <c r="I2275" t="str">
        <f t="shared" si="297"/>
        <v>Friday</v>
      </c>
      <c r="L2275">
        <f t="shared" ca="1" si="300"/>
        <v>0</v>
      </c>
    </row>
    <row r="2276" spans="1:12" x14ac:dyDescent="0.25">
      <c r="A2276">
        <v>132852439</v>
      </c>
      <c r="B2276" s="1">
        <v>45093</v>
      </c>
      <c r="C2276" s="1">
        <f t="shared" ca="1" si="304"/>
        <v>45938</v>
      </c>
      <c r="D2276" t="s">
        <v>7</v>
      </c>
      <c r="E2276">
        <v>39</v>
      </c>
      <c r="F2276" t="s">
        <v>6</v>
      </c>
      <c r="G2276" s="8">
        <f t="shared" ca="1" si="298"/>
        <v>845</v>
      </c>
      <c r="H2276">
        <f t="shared" si="299"/>
        <v>6</v>
      </c>
      <c r="I2276" t="str">
        <f t="shared" si="297"/>
        <v>Friday</v>
      </c>
      <c r="L2276">
        <f t="shared" ca="1" si="300"/>
        <v>0</v>
      </c>
    </row>
    <row r="2277" spans="1:12" x14ac:dyDescent="0.25">
      <c r="A2277">
        <v>217233198</v>
      </c>
      <c r="B2277" s="1">
        <v>45093</v>
      </c>
      <c r="C2277" s="1">
        <f t="shared" ca="1" si="304"/>
        <v>45938</v>
      </c>
      <c r="D2277" t="s">
        <v>7</v>
      </c>
      <c r="E2277">
        <v>39</v>
      </c>
      <c r="F2277" t="s">
        <v>6</v>
      </c>
      <c r="G2277" s="8">
        <f t="shared" ca="1" si="298"/>
        <v>845</v>
      </c>
      <c r="H2277">
        <f t="shared" si="299"/>
        <v>6</v>
      </c>
      <c r="I2277" t="str">
        <f t="shared" si="297"/>
        <v>Friday</v>
      </c>
      <c r="L2277">
        <f t="shared" ca="1" si="300"/>
        <v>0</v>
      </c>
    </row>
    <row r="2278" spans="1:12" x14ac:dyDescent="0.25">
      <c r="A2278">
        <v>188197564</v>
      </c>
      <c r="B2278" s="1">
        <v>45093</v>
      </c>
      <c r="C2278" s="1">
        <v>45094</v>
      </c>
      <c r="D2278" t="s">
        <v>7</v>
      </c>
      <c r="E2278">
        <v>39</v>
      </c>
      <c r="F2278" t="s">
        <v>6</v>
      </c>
      <c r="G2278" s="8">
        <f t="shared" si="298"/>
        <v>1</v>
      </c>
      <c r="H2278">
        <f t="shared" si="299"/>
        <v>6</v>
      </c>
      <c r="I2278" t="str">
        <f t="shared" si="297"/>
        <v>Friday</v>
      </c>
      <c r="L2278">
        <f t="shared" si="300"/>
        <v>1</v>
      </c>
    </row>
    <row r="2279" spans="1:12" x14ac:dyDescent="0.25">
      <c r="A2279">
        <v>146952862</v>
      </c>
      <c r="B2279" s="1">
        <v>45093</v>
      </c>
      <c r="C2279" s="1">
        <v>45119</v>
      </c>
      <c r="D2279" t="s">
        <v>7</v>
      </c>
      <c r="E2279">
        <v>39</v>
      </c>
      <c r="F2279" t="s">
        <v>6</v>
      </c>
      <c r="G2279" s="8">
        <f t="shared" si="298"/>
        <v>26</v>
      </c>
      <c r="H2279">
        <f t="shared" si="299"/>
        <v>6</v>
      </c>
      <c r="I2279" t="str">
        <f t="shared" si="297"/>
        <v>Friday</v>
      </c>
      <c r="L2279">
        <f t="shared" si="300"/>
        <v>0</v>
      </c>
    </row>
    <row r="2280" spans="1:12" x14ac:dyDescent="0.25">
      <c r="A2280">
        <v>152846561</v>
      </c>
      <c r="B2280" s="1">
        <v>45093</v>
      </c>
      <c r="C2280" s="1">
        <v>45130</v>
      </c>
      <c r="D2280" t="s">
        <v>7</v>
      </c>
      <c r="E2280">
        <v>39</v>
      </c>
      <c r="F2280" t="s">
        <v>6</v>
      </c>
      <c r="G2280" s="8">
        <f t="shared" si="298"/>
        <v>37</v>
      </c>
      <c r="H2280">
        <f t="shared" si="299"/>
        <v>6</v>
      </c>
      <c r="I2280" t="str">
        <f t="shared" si="297"/>
        <v>Friday</v>
      </c>
      <c r="L2280">
        <f t="shared" si="300"/>
        <v>0</v>
      </c>
    </row>
    <row r="2281" spans="1:12" x14ac:dyDescent="0.25">
      <c r="A2281">
        <v>132867770</v>
      </c>
      <c r="B2281" s="1">
        <v>45093</v>
      </c>
      <c r="C2281" s="1">
        <v>45131</v>
      </c>
      <c r="D2281" t="s">
        <v>7</v>
      </c>
      <c r="E2281">
        <v>39</v>
      </c>
      <c r="F2281" t="s">
        <v>6</v>
      </c>
      <c r="G2281" s="8">
        <f t="shared" si="298"/>
        <v>38</v>
      </c>
      <c r="H2281">
        <f t="shared" si="299"/>
        <v>6</v>
      </c>
      <c r="I2281" t="str">
        <f t="shared" si="297"/>
        <v>Friday</v>
      </c>
      <c r="L2281">
        <f t="shared" si="300"/>
        <v>0</v>
      </c>
    </row>
    <row r="2282" spans="1:12" x14ac:dyDescent="0.25">
      <c r="A2282">
        <v>206370330</v>
      </c>
      <c r="B2282" s="1">
        <v>45093</v>
      </c>
      <c r="C2282" s="1">
        <v>45153</v>
      </c>
      <c r="D2282" t="s">
        <v>7</v>
      </c>
      <c r="E2282">
        <v>39</v>
      </c>
      <c r="F2282" t="s">
        <v>6</v>
      </c>
      <c r="G2282" s="8">
        <f t="shared" si="298"/>
        <v>60</v>
      </c>
      <c r="H2282">
        <f t="shared" si="299"/>
        <v>6</v>
      </c>
      <c r="I2282" t="str">
        <f t="shared" si="297"/>
        <v>Friday</v>
      </c>
      <c r="L2282">
        <f t="shared" si="300"/>
        <v>0</v>
      </c>
    </row>
    <row r="2283" spans="1:12" x14ac:dyDescent="0.25">
      <c r="A2283">
        <v>217438230</v>
      </c>
      <c r="B2283" s="1">
        <v>45093</v>
      </c>
      <c r="C2283" s="1">
        <v>45120</v>
      </c>
      <c r="D2283" t="s">
        <v>7</v>
      </c>
      <c r="E2283">
        <v>39</v>
      </c>
      <c r="F2283" t="s">
        <v>6</v>
      </c>
      <c r="G2283" s="8">
        <f t="shared" si="298"/>
        <v>27</v>
      </c>
      <c r="H2283">
        <f t="shared" si="299"/>
        <v>6</v>
      </c>
      <c r="I2283" t="str">
        <f t="shared" si="297"/>
        <v>Friday</v>
      </c>
      <c r="L2283">
        <f t="shared" si="300"/>
        <v>0</v>
      </c>
    </row>
    <row r="2284" spans="1:12" x14ac:dyDescent="0.25">
      <c r="A2284">
        <v>217426939</v>
      </c>
      <c r="B2284" s="1">
        <v>45093</v>
      </c>
      <c r="C2284" s="1">
        <v>45123</v>
      </c>
      <c r="D2284" t="s">
        <v>7</v>
      </c>
      <c r="E2284">
        <v>39</v>
      </c>
      <c r="F2284" t="s">
        <v>6</v>
      </c>
      <c r="G2284" s="8">
        <f t="shared" si="298"/>
        <v>30</v>
      </c>
      <c r="H2284">
        <f t="shared" si="299"/>
        <v>6</v>
      </c>
      <c r="I2284" t="str">
        <f t="shared" si="297"/>
        <v>Friday</v>
      </c>
      <c r="L2284">
        <f t="shared" si="300"/>
        <v>0</v>
      </c>
    </row>
    <row r="2285" spans="1:12" x14ac:dyDescent="0.25">
      <c r="A2285">
        <v>205785520</v>
      </c>
      <c r="B2285" s="1">
        <v>45094</v>
      </c>
      <c r="C2285" s="1">
        <f t="shared" ref="C2285" ca="1" si="305">TODAY()</f>
        <v>45938</v>
      </c>
      <c r="D2285" t="s">
        <v>7</v>
      </c>
      <c r="E2285">
        <v>39</v>
      </c>
      <c r="F2285" t="s">
        <v>6</v>
      </c>
      <c r="G2285" s="8">
        <f t="shared" ca="1" si="298"/>
        <v>844</v>
      </c>
      <c r="H2285">
        <f t="shared" si="299"/>
        <v>7</v>
      </c>
      <c r="I2285" t="str">
        <f t="shared" si="297"/>
        <v>Saturday</v>
      </c>
      <c r="L2285">
        <f t="shared" ca="1" si="300"/>
        <v>0</v>
      </c>
    </row>
    <row r="2286" spans="1:12" x14ac:dyDescent="0.25">
      <c r="A2286">
        <v>154284527</v>
      </c>
      <c r="B2286" s="1">
        <v>45094</v>
      </c>
      <c r="C2286" s="1">
        <v>45131</v>
      </c>
      <c r="D2286" t="s">
        <v>7</v>
      </c>
      <c r="E2286">
        <v>39</v>
      </c>
      <c r="F2286" t="s">
        <v>6</v>
      </c>
      <c r="G2286" s="8">
        <f t="shared" si="298"/>
        <v>37</v>
      </c>
      <c r="H2286">
        <f t="shared" si="299"/>
        <v>7</v>
      </c>
      <c r="I2286" t="str">
        <f t="shared" si="297"/>
        <v>Saturday</v>
      </c>
      <c r="L2286">
        <f t="shared" si="300"/>
        <v>0</v>
      </c>
    </row>
    <row r="2287" spans="1:12" x14ac:dyDescent="0.25">
      <c r="A2287">
        <v>214105912</v>
      </c>
      <c r="B2287" s="1">
        <v>45094</v>
      </c>
      <c r="C2287" s="1">
        <v>45131</v>
      </c>
      <c r="D2287" t="s">
        <v>7</v>
      </c>
      <c r="E2287">
        <v>39</v>
      </c>
      <c r="F2287" t="s">
        <v>6</v>
      </c>
      <c r="G2287" s="8">
        <f t="shared" si="298"/>
        <v>37</v>
      </c>
      <c r="H2287">
        <f t="shared" si="299"/>
        <v>7</v>
      </c>
      <c r="I2287" t="str">
        <f t="shared" si="297"/>
        <v>Saturday</v>
      </c>
      <c r="L2287">
        <f t="shared" si="300"/>
        <v>0</v>
      </c>
    </row>
    <row r="2288" spans="1:12" x14ac:dyDescent="0.25">
      <c r="A2288">
        <v>200909190</v>
      </c>
      <c r="B2288" s="1">
        <v>45094</v>
      </c>
      <c r="C2288" s="1">
        <v>45162</v>
      </c>
      <c r="D2288" t="s">
        <v>7</v>
      </c>
      <c r="E2288">
        <v>39</v>
      </c>
      <c r="F2288" t="s">
        <v>6</v>
      </c>
      <c r="G2288" s="8">
        <f t="shared" si="298"/>
        <v>68</v>
      </c>
      <c r="H2288">
        <f t="shared" si="299"/>
        <v>7</v>
      </c>
      <c r="I2288" t="str">
        <f t="shared" si="297"/>
        <v>Saturday</v>
      </c>
      <c r="L2288">
        <f t="shared" si="300"/>
        <v>0</v>
      </c>
    </row>
    <row r="2289" spans="1:12" x14ac:dyDescent="0.25">
      <c r="A2289">
        <v>151633468</v>
      </c>
      <c r="B2289" s="1">
        <v>45094</v>
      </c>
      <c r="C2289" s="1">
        <v>45139</v>
      </c>
      <c r="D2289" t="s">
        <v>7</v>
      </c>
      <c r="E2289">
        <v>39</v>
      </c>
      <c r="F2289" t="s">
        <v>6</v>
      </c>
      <c r="G2289" s="8">
        <f t="shared" si="298"/>
        <v>45</v>
      </c>
      <c r="H2289">
        <f t="shared" si="299"/>
        <v>7</v>
      </c>
      <c r="I2289" t="str">
        <f t="shared" si="297"/>
        <v>Saturday</v>
      </c>
      <c r="L2289">
        <f t="shared" si="300"/>
        <v>0</v>
      </c>
    </row>
    <row r="2290" spans="1:12" x14ac:dyDescent="0.25">
      <c r="A2290">
        <v>207010976</v>
      </c>
      <c r="B2290" s="1">
        <v>45094</v>
      </c>
      <c r="C2290" s="1">
        <v>45162</v>
      </c>
      <c r="D2290" t="s">
        <v>7</v>
      </c>
      <c r="E2290">
        <v>39</v>
      </c>
      <c r="F2290" t="s">
        <v>6</v>
      </c>
      <c r="G2290" s="8">
        <f t="shared" si="298"/>
        <v>68</v>
      </c>
      <c r="H2290">
        <f t="shared" si="299"/>
        <v>7</v>
      </c>
      <c r="I2290" t="str">
        <f t="shared" si="297"/>
        <v>Saturday</v>
      </c>
      <c r="L2290">
        <f t="shared" si="300"/>
        <v>0</v>
      </c>
    </row>
    <row r="2291" spans="1:12" x14ac:dyDescent="0.25">
      <c r="A2291">
        <v>217487776</v>
      </c>
      <c r="B2291" s="1">
        <v>45094</v>
      </c>
      <c r="C2291" s="1">
        <v>45127</v>
      </c>
      <c r="D2291" t="s">
        <v>7</v>
      </c>
      <c r="E2291">
        <v>39</v>
      </c>
      <c r="F2291" t="s">
        <v>6</v>
      </c>
      <c r="G2291" s="8">
        <f t="shared" si="298"/>
        <v>33</v>
      </c>
      <c r="H2291">
        <f t="shared" si="299"/>
        <v>7</v>
      </c>
      <c r="I2291" t="str">
        <f t="shared" si="297"/>
        <v>Saturday</v>
      </c>
      <c r="L2291">
        <f t="shared" si="300"/>
        <v>0</v>
      </c>
    </row>
    <row r="2292" spans="1:12" x14ac:dyDescent="0.25">
      <c r="A2292">
        <v>217484551</v>
      </c>
      <c r="B2292" s="1">
        <v>45094</v>
      </c>
      <c r="C2292" s="1">
        <v>45131</v>
      </c>
      <c r="D2292" t="s">
        <v>7</v>
      </c>
      <c r="E2292">
        <v>39</v>
      </c>
      <c r="F2292" t="s">
        <v>6</v>
      </c>
      <c r="G2292" s="8">
        <f t="shared" si="298"/>
        <v>37</v>
      </c>
      <c r="H2292">
        <f t="shared" si="299"/>
        <v>7</v>
      </c>
      <c r="I2292" t="str">
        <f t="shared" si="297"/>
        <v>Saturday</v>
      </c>
      <c r="L2292">
        <f t="shared" si="300"/>
        <v>0</v>
      </c>
    </row>
    <row r="2293" spans="1:12" x14ac:dyDescent="0.25">
      <c r="A2293">
        <v>217498202</v>
      </c>
      <c r="B2293" s="1">
        <v>45095</v>
      </c>
      <c r="C2293" s="1">
        <f t="shared" ref="C2293:C2298" ca="1" si="306">TODAY()</f>
        <v>45938</v>
      </c>
      <c r="D2293" t="s">
        <v>7</v>
      </c>
      <c r="E2293">
        <v>39</v>
      </c>
      <c r="F2293" t="s">
        <v>6</v>
      </c>
      <c r="G2293" s="8">
        <f t="shared" ca="1" si="298"/>
        <v>843</v>
      </c>
      <c r="H2293">
        <f t="shared" si="299"/>
        <v>1</v>
      </c>
      <c r="I2293" t="str">
        <f t="shared" si="297"/>
        <v>Sunday</v>
      </c>
      <c r="L2293">
        <f t="shared" ca="1" si="300"/>
        <v>0</v>
      </c>
    </row>
    <row r="2294" spans="1:12" x14ac:dyDescent="0.25">
      <c r="A2294">
        <v>217234603</v>
      </c>
      <c r="B2294" s="1">
        <v>45095</v>
      </c>
      <c r="C2294" s="1">
        <f t="shared" ca="1" si="306"/>
        <v>45938</v>
      </c>
      <c r="D2294" t="s">
        <v>7</v>
      </c>
      <c r="E2294">
        <v>39</v>
      </c>
      <c r="F2294" t="s">
        <v>6</v>
      </c>
      <c r="G2294" s="8">
        <f t="shared" ca="1" si="298"/>
        <v>843</v>
      </c>
      <c r="H2294">
        <f t="shared" si="299"/>
        <v>1</v>
      </c>
      <c r="I2294" t="str">
        <f t="shared" si="297"/>
        <v>Sunday</v>
      </c>
      <c r="L2294">
        <f t="shared" ca="1" si="300"/>
        <v>0</v>
      </c>
    </row>
    <row r="2295" spans="1:12" x14ac:dyDescent="0.25">
      <c r="A2295">
        <v>217264148</v>
      </c>
      <c r="B2295" s="1">
        <v>45095</v>
      </c>
      <c r="C2295" s="1">
        <f t="shared" ca="1" si="306"/>
        <v>45938</v>
      </c>
      <c r="D2295" t="s">
        <v>7</v>
      </c>
      <c r="E2295">
        <v>39</v>
      </c>
      <c r="F2295" t="s">
        <v>6</v>
      </c>
      <c r="G2295" s="8">
        <f t="shared" ca="1" si="298"/>
        <v>843</v>
      </c>
      <c r="H2295">
        <f t="shared" si="299"/>
        <v>1</v>
      </c>
      <c r="I2295" t="str">
        <f t="shared" si="297"/>
        <v>Sunday</v>
      </c>
      <c r="L2295">
        <f t="shared" ca="1" si="300"/>
        <v>0</v>
      </c>
    </row>
    <row r="2296" spans="1:12" x14ac:dyDescent="0.25">
      <c r="A2296">
        <v>217513366</v>
      </c>
      <c r="B2296" s="1">
        <v>45095</v>
      </c>
      <c r="C2296" s="1">
        <f t="shared" ca="1" si="306"/>
        <v>45938</v>
      </c>
      <c r="D2296" t="s">
        <v>7</v>
      </c>
      <c r="E2296">
        <v>39</v>
      </c>
      <c r="F2296" t="s">
        <v>6</v>
      </c>
      <c r="G2296" s="8">
        <f t="shared" ca="1" si="298"/>
        <v>843</v>
      </c>
      <c r="H2296">
        <f t="shared" si="299"/>
        <v>1</v>
      </c>
      <c r="I2296" t="str">
        <f t="shared" si="297"/>
        <v>Sunday</v>
      </c>
      <c r="L2296">
        <f t="shared" ca="1" si="300"/>
        <v>0</v>
      </c>
    </row>
    <row r="2297" spans="1:12" x14ac:dyDescent="0.25">
      <c r="A2297">
        <v>217503737</v>
      </c>
      <c r="B2297" s="1">
        <v>45095</v>
      </c>
      <c r="C2297" s="1">
        <f t="shared" ca="1" si="306"/>
        <v>45938</v>
      </c>
      <c r="D2297" t="s">
        <v>7</v>
      </c>
      <c r="E2297">
        <v>39</v>
      </c>
      <c r="F2297" t="s">
        <v>6</v>
      </c>
      <c r="G2297" s="8">
        <f t="shared" ca="1" si="298"/>
        <v>843</v>
      </c>
      <c r="H2297">
        <f t="shared" si="299"/>
        <v>1</v>
      </c>
      <c r="I2297" t="str">
        <f t="shared" si="297"/>
        <v>Sunday</v>
      </c>
      <c r="L2297">
        <f t="shared" ca="1" si="300"/>
        <v>0</v>
      </c>
    </row>
    <row r="2298" spans="1:12" x14ac:dyDescent="0.25">
      <c r="A2298">
        <v>151540809</v>
      </c>
      <c r="B2298" s="1">
        <v>45095</v>
      </c>
      <c r="C2298" s="1">
        <f t="shared" ca="1" si="306"/>
        <v>45938</v>
      </c>
      <c r="D2298" t="s">
        <v>7</v>
      </c>
      <c r="E2298">
        <v>39</v>
      </c>
      <c r="F2298" t="s">
        <v>6</v>
      </c>
      <c r="G2298" s="8">
        <f t="shared" ca="1" si="298"/>
        <v>843</v>
      </c>
      <c r="H2298">
        <f t="shared" si="299"/>
        <v>1</v>
      </c>
      <c r="I2298" t="str">
        <f t="shared" si="297"/>
        <v>Sunday</v>
      </c>
      <c r="L2298">
        <f t="shared" ca="1" si="300"/>
        <v>0</v>
      </c>
    </row>
    <row r="2299" spans="1:12" x14ac:dyDescent="0.25">
      <c r="A2299">
        <v>217526421</v>
      </c>
      <c r="B2299" s="1">
        <v>45095</v>
      </c>
      <c r="C2299" s="1">
        <v>45164</v>
      </c>
      <c r="D2299" t="s">
        <v>7</v>
      </c>
      <c r="E2299">
        <v>39</v>
      </c>
      <c r="F2299" t="s">
        <v>6</v>
      </c>
      <c r="G2299" s="8">
        <f t="shared" si="298"/>
        <v>69</v>
      </c>
      <c r="H2299">
        <f t="shared" si="299"/>
        <v>1</v>
      </c>
      <c r="I2299" t="str">
        <f t="shared" si="297"/>
        <v>Sunday</v>
      </c>
      <c r="L2299">
        <f t="shared" si="300"/>
        <v>0</v>
      </c>
    </row>
    <row r="2300" spans="1:12" x14ac:dyDescent="0.25">
      <c r="A2300">
        <v>217418580</v>
      </c>
      <c r="B2300" s="1">
        <v>45095</v>
      </c>
      <c r="C2300" s="1">
        <v>45121</v>
      </c>
      <c r="D2300" t="s">
        <v>7</v>
      </c>
      <c r="E2300">
        <v>39</v>
      </c>
      <c r="F2300" t="s">
        <v>6</v>
      </c>
      <c r="G2300" s="8">
        <f t="shared" si="298"/>
        <v>26</v>
      </c>
      <c r="H2300">
        <f t="shared" si="299"/>
        <v>1</v>
      </c>
      <c r="I2300" t="str">
        <f t="shared" si="297"/>
        <v>Sunday</v>
      </c>
      <c r="L2300">
        <f t="shared" si="300"/>
        <v>0</v>
      </c>
    </row>
    <row r="2301" spans="1:12" x14ac:dyDescent="0.25">
      <c r="A2301">
        <v>217426015</v>
      </c>
      <c r="B2301" s="1">
        <v>45096</v>
      </c>
      <c r="C2301" s="1">
        <f t="shared" ref="C2301:C2305" ca="1" si="307">TODAY()</f>
        <v>45938</v>
      </c>
      <c r="D2301" t="s">
        <v>7</v>
      </c>
      <c r="E2301">
        <v>39</v>
      </c>
      <c r="F2301" t="s">
        <v>6</v>
      </c>
      <c r="G2301" s="8">
        <f t="shared" ca="1" si="298"/>
        <v>842</v>
      </c>
      <c r="H2301">
        <f t="shared" si="299"/>
        <v>2</v>
      </c>
      <c r="I2301" t="str">
        <f t="shared" si="297"/>
        <v>Monday</v>
      </c>
      <c r="L2301">
        <f t="shared" ca="1" si="300"/>
        <v>0</v>
      </c>
    </row>
    <row r="2302" spans="1:12" x14ac:dyDescent="0.25">
      <c r="A2302">
        <v>217557584</v>
      </c>
      <c r="B2302" s="1">
        <v>45096</v>
      </c>
      <c r="C2302" s="1">
        <f t="shared" ca="1" si="307"/>
        <v>45938</v>
      </c>
      <c r="D2302" t="s">
        <v>7</v>
      </c>
      <c r="E2302">
        <v>39</v>
      </c>
      <c r="F2302" t="s">
        <v>6</v>
      </c>
      <c r="G2302" s="8">
        <f t="shared" ca="1" si="298"/>
        <v>842</v>
      </c>
      <c r="H2302">
        <f t="shared" si="299"/>
        <v>2</v>
      </c>
      <c r="I2302" t="str">
        <f t="shared" si="297"/>
        <v>Monday</v>
      </c>
      <c r="L2302">
        <f t="shared" ca="1" si="300"/>
        <v>0</v>
      </c>
    </row>
    <row r="2303" spans="1:12" x14ac:dyDescent="0.25">
      <c r="A2303">
        <v>217406489</v>
      </c>
      <c r="B2303" s="1">
        <v>45096</v>
      </c>
      <c r="C2303" s="1">
        <f t="shared" ca="1" si="307"/>
        <v>45938</v>
      </c>
      <c r="D2303" t="s">
        <v>7</v>
      </c>
      <c r="E2303">
        <v>39</v>
      </c>
      <c r="F2303" t="s">
        <v>6</v>
      </c>
      <c r="G2303" s="8">
        <f t="shared" ca="1" si="298"/>
        <v>842</v>
      </c>
      <c r="H2303">
        <f t="shared" si="299"/>
        <v>2</v>
      </c>
      <c r="I2303" t="str">
        <f t="shared" si="297"/>
        <v>Monday</v>
      </c>
      <c r="L2303">
        <f t="shared" ca="1" si="300"/>
        <v>0</v>
      </c>
    </row>
    <row r="2304" spans="1:12" x14ac:dyDescent="0.25">
      <c r="A2304">
        <v>217536534</v>
      </c>
      <c r="B2304" s="1">
        <v>45096</v>
      </c>
      <c r="C2304" s="1">
        <f t="shared" ca="1" si="307"/>
        <v>45938</v>
      </c>
      <c r="D2304" t="s">
        <v>7</v>
      </c>
      <c r="E2304">
        <v>39</v>
      </c>
      <c r="F2304" t="s">
        <v>6</v>
      </c>
      <c r="G2304" s="8">
        <f t="shared" ca="1" si="298"/>
        <v>842</v>
      </c>
      <c r="H2304">
        <f t="shared" si="299"/>
        <v>2</v>
      </c>
      <c r="I2304" t="str">
        <f t="shared" si="297"/>
        <v>Monday</v>
      </c>
      <c r="L2304">
        <f t="shared" ca="1" si="300"/>
        <v>0</v>
      </c>
    </row>
    <row r="2305" spans="1:12" x14ac:dyDescent="0.25">
      <c r="A2305">
        <v>217557082</v>
      </c>
      <c r="B2305" s="1">
        <v>45096</v>
      </c>
      <c r="C2305" s="1">
        <f t="shared" ca="1" si="307"/>
        <v>45938</v>
      </c>
      <c r="D2305" t="s">
        <v>7</v>
      </c>
      <c r="E2305">
        <v>39</v>
      </c>
      <c r="F2305" t="s">
        <v>6</v>
      </c>
      <c r="G2305" s="8">
        <f t="shared" ca="1" si="298"/>
        <v>842</v>
      </c>
      <c r="H2305">
        <f t="shared" si="299"/>
        <v>2</v>
      </c>
      <c r="I2305" t="str">
        <f t="shared" si="297"/>
        <v>Monday</v>
      </c>
      <c r="L2305">
        <f t="shared" ca="1" si="300"/>
        <v>0</v>
      </c>
    </row>
    <row r="2306" spans="1:12" x14ac:dyDescent="0.25">
      <c r="A2306">
        <v>176024207</v>
      </c>
      <c r="B2306" s="1">
        <v>45096</v>
      </c>
      <c r="C2306" s="1">
        <v>45145</v>
      </c>
      <c r="D2306" t="s">
        <v>7</v>
      </c>
      <c r="E2306">
        <v>39</v>
      </c>
      <c r="F2306" t="s">
        <v>6</v>
      </c>
      <c r="G2306" s="8">
        <f t="shared" si="298"/>
        <v>49</v>
      </c>
      <c r="H2306">
        <f t="shared" si="299"/>
        <v>2</v>
      </c>
      <c r="I2306" t="str">
        <f t="shared" ref="I2306:I2369" si="308">TEXT(B2306,"DDDD")</f>
        <v>Monday</v>
      </c>
      <c r="L2306">
        <f t="shared" si="300"/>
        <v>0</v>
      </c>
    </row>
    <row r="2307" spans="1:12" x14ac:dyDescent="0.25">
      <c r="A2307">
        <v>160598122</v>
      </c>
      <c r="B2307" s="1">
        <v>45096</v>
      </c>
      <c r="C2307" s="1">
        <v>45133</v>
      </c>
      <c r="D2307" t="s">
        <v>7</v>
      </c>
      <c r="E2307">
        <v>39</v>
      </c>
      <c r="F2307" t="s">
        <v>6</v>
      </c>
      <c r="G2307" s="8">
        <f t="shared" ref="G2307:G2370" si="309">IFERROR(DATEDIF(B2307,C2307,"D"),"0")</f>
        <v>37</v>
      </c>
      <c r="H2307">
        <f t="shared" ref="H2307:H2370" si="310">WEEKDAY(B2307,1)</f>
        <v>2</v>
      </c>
      <c r="I2307" t="str">
        <f t="shared" si="308"/>
        <v>Monday</v>
      </c>
      <c r="L2307">
        <f t="shared" ref="L2307:L2370" si="311">IF( OR($G2307=0,$G2307 = 1, $G2307 = 2), 1, 0 )</f>
        <v>0</v>
      </c>
    </row>
    <row r="2308" spans="1:12" x14ac:dyDescent="0.25">
      <c r="A2308">
        <v>217378430</v>
      </c>
      <c r="B2308" s="1">
        <v>45096</v>
      </c>
      <c r="C2308" s="1">
        <v>45144</v>
      </c>
      <c r="D2308" t="s">
        <v>7</v>
      </c>
      <c r="E2308">
        <v>39</v>
      </c>
      <c r="F2308" t="s">
        <v>6</v>
      </c>
      <c r="G2308" s="8">
        <f t="shared" si="309"/>
        <v>48</v>
      </c>
      <c r="H2308">
        <f t="shared" si="310"/>
        <v>2</v>
      </c>
      <c r="I2308" t="str">
        <f t="shared" si="308"/>
        <v>Monday</v>
      </c>
      <c r="L2308">
        <f t="shared" si="311"/>
        <v>0</v>
      </c>
    </row>
    <row r="2309" spans="1:12" x14ac:dyDescent="0.25">
      <c r="A2309">
        <v>193680187</v>
      </c>
      <c r="B2309" s="1">
        <v>45096</v>
      </c>
      <c r="C2309" s="1">
        <v>45097</v>
      </c>
      <c r="D2309" t="s">
        <v>7</v>
      </c>
      <c r="E2309">
        <v>39</v>
      </c>
      <c r="F2309" t="s">
        <v>6</v>
      </c>
      <c r="G2309" s="8">
        <f t="shared" si="309"/>
        <v>1</v>
      </c>
      <c r="H2309">
        <f t="shared" si="310"/>
        <v>2</v>
      </c>
      <c r="I2309" t="str">
        <f t="shared" si="308"/>
        <v>Monday</v>
      </c>
      <c r="L2309">
        <f t="shared" si="311"/>
        <v>1</v>
      </c>
    </row>
    <row r="2310" spans="1:12" x14ac:dyDescent="0.25">
      <c r="A2310">
        <v>180424442</v>
      </c>
      <c r="B2310" s="1">
        <v>45096</v>
      </c>
      <c r="C2310" s="1">
        <v>45133</v>
      </c>
      <c r="D2310" t="s">
        <v>7</v>
      </c>
      <c r="E2310">
        <v>39</v>
      </c>
      <c r="F2310" t="s">
        <v>6</v>
      </c>
      <c r="G2310" s="8">
        <f t="shared" si="309"/>
        <v>37</v>
      </c>
      <c r="H2310">
        <f t="shared" si="310"/>
        <v>2</v>
      </c>
      <c r="I2310" t="str">
        <f t="shared" si="308"/>
        <v>Monday</v>
      </c>
      <c r="L2310">
        <f t="shared" si="311"/>
        <v>0</v>
      </c>
    </row>
    <row r="2311" spans="1:12" x14ac:dyDescent="0.25">
      <c r="A2311">
        <v>217612796</v>
      </c>
      <c r="B2311" s="1">
        <v>45097</v>
      </c>
      <c r="C2311" s="1">
        <f t="shared" ref="C2311:C2319" ca="1" si="312">TODAY()</f>
        <v>45938</v>
      </c>
      <c r="D2311" t="s">
        <v>7</v>
      </c>
      <c r="E2311">
        <v>39</v>
      </c>
      <c r="F2311" t="s">
        <v>6</v>
      </c>
      <c r="G2311" s="8">
        <f t="shared" ca="1" si="309"/>
        <v>841</v>
      </c>
      <c r="H2311">
        <f t="shared" si="310"/>
        <v>3</v>
      </c>
      <c r="I2311" t="str">
        <f t="shared" si="308"/>
        <v>Tuesday</v>
      </c>
      <c r="L2311">
        <f t="shared" ca="1" si="311"/>
        <v>0</v>
      </c>
    </row>
    <row r="2312" spans="1:12" x14ac:dyDescent="0.25">
      <c r="A2312">
        <v>217601263</v>
      </c>
      <c r="B2312" s="1">
        <v>45097</v>
      </c>
      <c r="C2312" s="1">
        <f t="shared" ca="1" si="312"/>
        <v>45938</v>
      </c>
      <c r="D2312" t="s">
        <v>7</v>
      </c>
      <c r="E2312">
        <v>39</v>
      </c>
      <c r="F2312" t="s">
        <v>6</v>
      </c>
      <c r="G2312" s="8">
        <f t="shared" ca="1" si="309"/>
        <v>841</v>
      </c>
      <c r="H2312">
        <f t="shared" si="310"/>
        <v>3</v>
      </c>
      <c r="I2312" t="str">
        <f t="shared" si="308"/>
        <v>Tuesday</v>
      </c>
      <c r="L2312">
        <f t="shared" ca="1" si="311"/>
        <v>0</v>
      </c>
    </row>
    <row r="2313" spans="1:12" x14ac:dyDescent="0.25">
      <c r="A2313">
        <v>217594148</v>
      </c>
      <c r="B2313" s="1">
        <v>45097</v>
      </c>
      <c r="C2313" s="1">
        <f t="shared" ca="1" si="312"/>
        <v>45938</v>
      </c>
      <c r="D2313" t="s">
        <v>7</v>
      </c>
      <c r="E2313">
        <v>39</v>
      </c>
      <c r="F2313" t="s">
        <v>6</v>
      </c>
      <c r="G2313" s="8">
        <f t="shared" ca="1" si="309"/>
        <v>841</v>
      </c>
      <c r="H2313">
        <f t="shared" si="310"/>
        <v>3</v>
      </c>
      <c r="I2313" t="str">
        <f t="shared" si="308"/>
        <v>Tuesday</v>
      </c>
      <c r="L2313">
        <f t="shared" ca="1" si="311"/>
        <v>0</v>
      </c>
    </row>
    <row r="2314" spans="1:12" x14ac:dyDescent="0.25">
      <c r="A2314">
        <v>217598396</v>
      </c>
      <c r="B2314" s="1">
        <v>45097</v>
      </c>
      <c r="C2314" s="1">
        <f t="shared" ca="1" si="312"/>
        <v>45938</v>
      </c>
      <c r="D2314" t="s">
        <v>7</v>
      </c>
      <c r="E2314">
        <v>39</v>
      </c>
      <c r="F2314" t="s">
        <v>6</v>
      </c>
      <c r="G2314" s="8">
        <f t="shared" ca="1" si="309"/>
        <v>841</v>
      </c>
      <c r="H2314">
        <f t="shared" si="310"/>
        <v>3</v>
      </c>
      <c r="I2314" t="str">
        <f t="shared" si="308"/>
        <v>Tuesday</v>
      </c>
      <c r="L2314">
        <f t="shared" ca="1" si="311"/>
        <v>0</v>
      </c>
    </row>
    <row r="2315" spans="1:12" x14ac:dyDescent="0.25">
      <c r="A2315">
        <v>206647130</v>
      </c>
      <c r="B2315" s="1">
        <v>45097</v>
      </c>
      <c r="C2315" s="1">
        <f t="shared" ca="1" si="312"/>
        <v>45938</v>
      </c>
      <c r="D2315" t="s">
        <v>7</v>
      </c>
      <c r="E2315">
        <v>39</v>
      </c>
      <c r="F2315" t="s">
        <v>6</v>
      </c>
      <c r="G2315" s="8">
        <f t="shared" ca="1" si="309"/>
        <v>841</v>
      </c>
      <c r="H2315">
        <f t="shared" si="310"/>
        <v>3</v>
      </c>
      <c r="I2315" t="str">
        <f t="shared" si="308"/>
        <v>Tuesday</v>
      </c>
      <c r="L2315">
        <f t="shared" ca="1" si="311"/>
        <v>0</v>
      </c>
    </row>
    <row r="2316" spans="1:12" x14ac:dyDescent="0.25">
      <c r="A2316">
        <v>207099222</v>
      </c>
      <c r="B2316" s="1">
        <v>45097</v>
      </c>
      <c r="C2316" s="1">
        <f t="shared" ca="1" si="312"/>
        <v>45938</v>
      </c>
      <c r="D2316" t="s">
        <v>7</v>
      </c>
      <c r="E2316">
        <v>39</v>
      </c>
      <c r="F2316" t="s">
        <v>6</v>
      </c>
      <c r="G2316" s="8">
        <f t="shared" ca="1" si="309"/>
        <v>841</v>
      </c>
      <c r="H2316">
        <f t="shared" si="310"/>
        <v>3</v>
      </c>
      <c r="I2316" t="str">
        <f t="shared" si="308"/>
        <v>Tuesday</v>
      </c>
      <c r="L2316">
        <f t="shared" ca="1" si="311"/>
        <v>0</v>
      </c>
    </row>
    <row r="2317" spans="1:12" x14ac:dyDescent="0.25">
      <c r="A2317">
        <v>207079318</v>
      </c>
      <c r="B2317" s="1">
        <v>45097</v>
      </c>
      <c r="C2317" s="1">
        <f t="shared" ca="1" si="312"/>
        <v>45938</v>
      </c>
      <c r="D2317" t="s">
        <v>7</v>
      </c>
      <c r="E2317">
        <v>39</v>
      </c>
      <c r="F2317" t="s">
        <v>6</v>
      </c>
      <c r="G2317" s="8">
        <f t="shared" ca="1" si="309"/>
        <v>841</v>
      </c>
      <c r="H2317">
        <f t="shared" si="310"/>
        <v>3</v>
      </c>
      <c r="I2317" t="str">
        <f t="shared" si="308"/>
        <v>Tuesday</v>
      </c>
      <c r="L2317">
        <f t="shared" ca="1" si="311"/>
        <v>0</v>
      </c>
    </row>
    <row r="2318" spans="1:12" x14ac:dyDescent="0.25">
      <c r="A2318">
        <v>217580362</v>
      </c>
      <c r="B2318" s="1">
        <v>45097</v>
      </c>
      <c r="C2318" s="1">
        <f t="shared" ca="1" si="312"/>
        <v>45938</v>
      </c>
      <c r="D2318" t="s">
        <v>7</v>
      </c>
      <c r="E2318">
        <v>39</v>
      </c>
      <c r="F2318" t="s">
        <v>6</v>
      </c>
      <c r="G2318" s="8">
        <f t="shared" ca="1" si="309"/>
        <v>841</v>
      </c>
      <c r="H2318">
        <f t="shared" si="310"/>
        <v>3</v>
      </c>
      <c r="I2318" t="str">
        <f t="shared" si="308"/>
        <v>Tuesday</v>
      </c>
      <c r="L2318">
        <f t="shared" ca="1" si="311"/>
        <v>0</v>
      </c>
    </row>
    <row r="2319" spans="1:12" x14ac:dyDescent="0.25">
      <c r="A2319">
        <v>217438678</v>
      </c>
      <c r="B2319" s="1">
        <v>45097</v>
      </c>
      <c r="C2319" s="1">
        <f t="shared" ca="1" si="312"/>
        <v>45938</v>
      </c>
      <c r="D2319" t="s">
        <v>7</v>
      </c>
      <c r="E2319">
        <v>39</v>
      </c>
      <c r="F2319" t="s">
        <v>6</v>
      </c>
      <c r="G2319" s="8">
        <f t="shared" ca="1" si="309"/>
        <v>841</v>
      </c>
      <c r="H2319">
        <f t="shared" si="310"/>
        <v>3</v>
      </c>
      <c r="I2319" t="str">
        <f t="shared" si="308"/>
        <v>Tuesday</v>
      </c>
      <c r="L2319">
        <f t="shared" ca="1" si="311"/>
        <v>0</v>
      </c>
    </row>
    <row r="2320" spans="1:12" x14ac:dyDescent="0.25">
      <c r="A2320">
        <v>215963364</v>
      </c>
      <c r="B2320" s="1">
        <v>45097</v>
      </c>
      <c r="C2320" s="1">
        <v>45098</v>
      </c>
      <c r="D2320" t="s">
        <v>7</v>
      </c>
      <c r="E2320">
        <v>39</v>
      </c>
      <c r="F2320" t="s">
        <v>6</v>
      </c>
      <c r="G2320" s="8">
        <f t="shared" si="309"/>
        <v>1</v>
      </c>
      <c r="H2320">
        <f t="shared" si="310"/>
        <v>3</v>
      </c>
      <c r="I2320" t="str">
        <f t="shared" si="308"/>
        <v>Tuesday</v>
      </c>
      <c r="L2320">
        <f t="shared" si="311"/>
        <v>1</v>
      </c>
    </row>
    <row r="2321" spans="1:12" x14ac:dyDescent="0.25">
      <c r="A2321">
        <v>153876204</v>
      </c>
      <c r="B2321" s="1">
        <v>45097</v>
      </c>
      <c r="C2321" s="1">
        <v>45130</v>
      </c>
      <c r="D2321" t="s">
        <v>7</v>
      </c>
      <c r="E2321">
        <v>39</v>
      </c>
      <c r="F2321" t="s">
        <v>6</v>
      </c>
      <c r="G2321" s="8">
        <f t="shared" si="309"/>
        <v>33</v>
      </c>
      <c r="H2321">
        <f t="shared" si="310"/>
        <v>3</v>
      </c>
      <c r="I2321" t="str">
        <f t="shared" si="308"/>
        <v>Tuesday</v>
      </c>
      <c r="L2321">
        <f t="shared" si="311"/>
        <v>0</v>
      </c>
    </row>
    <row r="2322" spans="1:12" x14ac:dyDescent="0.25">
      <c r="A2322">
        <v>153828803</v>
      </c>
      <c r="B2322" s="1">
        <v>45097</v>
      </c>
      <c r="C2322" s="1">
        <v>45099</v>
      </c>
      <c r="D2322" t="s">
        <v>7</v>
      </c>
      <c r="E2322">
        <v>39</v>
      </c>
      <c r="F2322" t="s">
        <v>6</v>
      </c>
      <c r="G2322" s="8">
        <f t="shared" si="309"/>
        <v>2</v>
      </c>
      <c r="H2322">
        <f t="shared" si="310"/>
        <v>3</v>
      </c>
      <c r="I2322" t="str">
        <f t="shared" si="308"/>
        <v>Tuesday</v>
      </c>
      <c r="L2322">
        <f t="shared" si="311"/>
        <v>1</v>
      </c>
    </row>
    <row r="2323" spans="1:12" x14ac:dyDescent="0.25">
      <c r="A2323">
        <v>217595865</v>
      </c>
      <c r="B2323" s="1">
        <v>45097</v>
      </c>
      <c r="C2323" s="1">
        <v>45134</v>
      </c>
      <c r="D2323" t="s">
        <v>7</v>
      </c>
      <c r="E2323">
        <v>39</v>
      </c>
      <c r="F2323" t="s">
        <v>6</v>
      </c>
      <c r="G2323" s="8">
        <f t="shared" si="309"/>
        <v>37</v>
      </c>
      <c r="H2323">
        <f t="shared" si="310"/>
        <v>3</v>
      </c>
      <c r="I2323" t="str">
        <f t="shared" si="308"/>
        <v>Tuesday</v>
      </c>
      <c r="L2323">
        <f t="shared" si="311"/>
        <v>0</v>
      </c>
    </row>
    <row r="2324" spans="1:12" x14ac:dyDescent="0.25">
      <c r="A2324">
        <v>216158153</v>
      </c>
      <c r="B2324" s="1">
        <v>45097</v>
      </c>
      <c r="C2324" s="1">
        <v>45131</v>
      </c>
      <c r="D2324" t="s">
        <v>7</v>
      </c>
      <c r="E2324">
        <v>39</v>
      </c>
      <c r="F2324" t="s">
        <v>6</v>
      </c>
      <c r="G2324" s="8">
        <f t="shared" si="309"/>
        <v>34</v>
      </c>
      <c r="H2324">
        <f t="shared" si="310"/>
        <v>3</v>
      </c>
      <c r="I2324" t="str">
        <f t="shared" si="308"/>
        <v>Tuesday</v>
      </c>
      <c r="L2324">
        <f t="shared" si="311"/>
        <v>0</v>
      </c>
    </row>
    <row r="2325" spans="1:12" x14ac:dyDescent="0.25">
      <c r="A2325">
        <v>217548173</v>
      </c>
      <c r="B2325" s="1">
        <v>45097</v>
      </c>
      <c r="C2325" s="1">
        <v>45126</v>
      </c>
      <c r="D2325" t="s">
        <v>7</v>
      </c>
      <c r="E2325">
        <v>39</v>
      </c>
      <c r="F2325" t="s">
        <v>6</v>
      </c>
      <c r="G2325" s="8">
        <f t="shared" si="309"/>
        <v>29</v>
      </c>
      <c r="H2325">
        <f t="shared" si="310"/>
        <v>3</v>
      </c>
      <c r="I2325" t="str">
        <f t="shared" si="308"/>
        <v>Tuesday</v>
      </c>
      <c r="L2325">
        <f t="shared" si="311"/>
        <v>0</v>
      </c>
    </row>
    <row r="2326" spans="1:12" x14ac:dyDescent="0.25">
      <c r="A2326">
        <v>217533118</v>
      </c>
      <c r="B2326" s="1">
        <v>45098</v>
      </c>
      <c r="C2326" s="1">
        <f t="shared" ref="C2326:C2333" ca="1" si="313">TODAY()</f>
        <v>45938</v>
      </c>
      <c r="D2326" t="s">
        <v>7</v>
      </c>
      <c r="E2326">
        <v>39</v>
      </c>
      <c r="F2326" t="s">
        <v>6</v>
      </c>
      <c r="G2326" s="8">
        <f t="shared" ca="1" si="309"/>
        <v>840</v>
      </c>
      <c r="H2326">
        <f t="shared" si="310"/>
        <v>4</v>
      </c>
      <c r="I2326" t="str">
        <f t="shared" si="308"/>
        <v>Wednesday</v>
      </c>
      <c r="L2326">
        <f t="shared" ca="1" si="311"/>
        <v>0</v>
      </c>
    </row>
    <row r="2327" spans="1:12" x14ac:dyDescent="0.25">
      <c r="A2327">
        <v>205128906</v>
      </c>
      <c r="B2327" s="1">
        <v>45098</v>
      </c>
      <c r="C2327" s="1">
        <f t="shared" ca="1" si="313"/>
        <v>45938</v>
      </c>
      <c r="D2327" t="s">
        <v>7</v>
      </c>
      <c r="E2327">
        <v>39</v>
      </c>
      <c r="F2327" t="s">
        <v>6</v>
      </c>
      <c r="G2327" s="8">
        <f t="shared" ca="1" si="309"/>
        <v>840</v>
      </c>
      <c r="H2327">
        <f t="shared" si="310"/>
        <v>4</v>
      </c>
      <c r="I2327" t="str">
        <f t="shared" si="308"/>
        <v>Wednesday</v>
      </c>
      <c r="L2327">
        <f t="shared" ca="1" si="311"/>
        <v>0</v>
      </c>
    </row>
    <row r="2328" spans="1:12" x14ac:dyDescent="0.25">
      <c r="A2328">
        <v>205812132</v>
      </c>
      <c r="B2328" s="1">
        <v>45098</v>
      </c>
      <c r="C2328" s="1">
        <f t="shared" ca="1" si="313"/>
        <v>45938</v>
      </c>
      <c r="D2328" t="s">
        <v>7</v>
      </c>
      <c r="E2328">
        <v>39</v>
      </c>
      <c r="F2328" t="s">
        <v>6</v>
      </c>
      <c r="G2328" s="8">
        <f t="shared" ca="1" si="309"/>
        <v>840</v>
      </c>
      <c r="H2328">
        <f t="shared" si="310"/>
        <v>4</v>
      </c>
      <c r="I2328" t="str">
        <f t="shared" si="308"/>
        <v>Wednesday</v>
      </c>
      <c r="L2328">
        <f t="shared" ca="1" si="311"/>
        <v>0</v>
      </c>
    </row>
    <row r="2329" spans="1:12" x14ac:dyDescent="0.25">
      <c r="A2329">
        <v>216907554</v>
      </c>
      <c r="B2329" s="1">
        <v>45098</v>
      </c>
      <c r="C2329" s="1">
        <f t="shared" ca="1" si="313"/>
        <v>45938</v>
      </c>
      <c r="D2329" t="s">
        <v>7</v>
      </c>
      <c r="E2329">
        <v>39</v>
      </c>
      <c r="F2329" t="s">
        <v>6</v>
      </c>
      <c r="G2329" s="8">
        <f t="shared" ca="1" si="309"/>
        <v>840</v>
      </c>
      <c r="H2329">
        <f t="shared" si="310"/>
        <v>4</v>
      </c>
      <c r="I2329" t="str">
        <f t="shared" si="308"/>
        <v>Wednesday</v>
      </c>
      <c r="L2329">
        <f t="shared" ca="1" si="311"/>
        <v>0</v>
      </c>
    </row>
    <row r="2330" spans="1:12" x14ac:dyDescent="0.25">
      <c r="A2330">
        <v>215113542</v>
      </c>
      <c r="B2330" s="1">
        <v>45098</v>
      </c>
      <c r="C2330" s="1">
        <f t="shared" ca="1" si="313"/>
        <v>45938</v>
      </c>
      <c r="D2330" t="s">
        <v>7</v>
      </c>
      <c r="E2330">
        <v>39</v>
      </c>
      <c r="F2330" t="s">
        <v>6</v>
      </c>
      <c r="G2330" s="8">
        <f t="shared" ca="1" si="309"/>
        <v>840</v>
      </c>
      <c r="H2330">
        <f t="shared" si="310"/>
        <v>4</v>
      </c>
      <c r="I2330" t="str">
        <f t="shared" si="308"/>
        <v>Wednesday</v>
      </c>
      <c r="L2330">
        <f t="shared" ca="1" si="311"/>
        <v>0</v>
      </c>
    </row>
    <row r="2331" spans="1:12" x14ac:dyDescent="0.25">
      <c r="A2331">
        <v>204772797</v>
      </c>
      <c r="B2331" s="1">
        <v>45098</v>
      </c>
      <c r="C2331" s="1">
        <f t="shared" ca="1" si="313"/>
        <v>45938</v>
      </c>
      <c r="D2331" t="s">
        <v>7</v>
      </c>
      <c r="E2331">
        <v>39</v>
      </c>
      <c r="F2331" t="s">
        <v>6</v>
      </c>
      <c r="G2331" s="8">
        <f t="shared" ca="1" si="309"/>
        <v>840</v>
      </c>
      <c r="H2331">
        <f t="shared" si="310"/>
        <v>4</v>
      </c>
      <c r="I2331" t="str">
        <f t="shared" si="308"/>
        <v>Wednesday</v>
      </c>
      <c r="L2331">
        <f t="shared" ca="1" si="311"/>
        <v>0</v>
      </c>
    </row>
    <row r="2332" spans="1:12" x14ac:dyDescent="0.25">
      <c r="A2332">
        <v>217627630</v>
      </c>
      <c r="B2332" s="1">
        <v>45098</v>
      </c>
      <c r="C2332" s="1">
        <f t="shared" ca="1" si="313"/>
        <v>45938</v>
      </c>
      <c r="D2332" t="s">
        <v>7</v>
      </c>
      <c r="E2332">
        <v>39</v>
      </c>
      <c r="F2332" t="s">
        <v>6</v>
      </c>
      <c r="G2332" s="8">
        <f t="shared" ca="1" si="309"/>
        <v>840</v>
      </c>
      <c r="H2332">
        <f t="shared" si="310"/>
        <v>4</v>
      </c>
      <c r="I2332" t="str">
        <f t="shared" si="308"/>
        <v>Wednesday</v>
      </c>
      <c r="L2332">
        <f t="shared" ca="1" si="311"/>
        <v>0</v>
      </c>
    </row>
    <row r="2333" spans="1:12" x14ac:dyDescent="0.25">
      <c r="A2333">
        <v>217635272</v>
      </c>
      <c r="B2333" s="1">
        <v>45098</v>
      </c>
      <c r="C2333" s="1">
        <f t="shared" ca="1" si="313"/>
        <v>45938</v>
      </c>
      <c r="D2333" t="s">
        <v>7</v>
      </c>
      <c r="E2333">
        <v>39</v>
      </c>
      <c r="F2333" t="s">
        <v>6</v>
      </c>
      <c r="G2333" s="8">
        <f t="shared" ca="1" si="309"/>
        <v>840</v>
      </c>
      <c r="H2333">
        <f t="shared" si="310"/>
        <v>4</v>
      </c>
      <c r="I2333" t="str">
        <f t="shared" si="308"/>
        <v>Wednesday</v>
      </c>
      <c r="L2333">
        <f t="shared" ca="1" si="311"/>
        <v>0</v>
      </c>
    </row>
    <row r="2334" spans="1:12" x14ac:dyDescent="0.25">
      <c r="A2334">
        <v>217543308</v>
      </c>
      <c r="B2334" s="1">
        <v>45098</v>
      </c>
      <c r="C2334" s="1">
        <v>45099</v>
      </c>
      <c r="D2334" t="s">
        <v>7</v>
      </c>
      <c r="E2334">
        <v>39</v>
      </c>
      <c r="F2334" t="s">
        <v>6</v>
      </c>
      <c r="G2334" s="8">
        <f t="shared" si="309"/>
        <v>1</v>
      </c>
      <c r="H2334">
        <f t="shared" si="310"/>
        <v>4</v>
      </c>
      <c r="I2334" t="str">
        <f t="shared" si="308"/>
        <v>Wednesday</v>
      </c>
      <c r="L2334">
        <f t="shared" si="311"/>
        <v>1</v>
      </c>
    </row>
    <row r="2335" spans="1:12" x14ac:dyDescent="0.25">
      <c r="A2335">
        <v>217626870</v>
      </c>
      <c r="B2335" s="1">
        <v>45098</v>
      </c>
      <c r="C2335" s="1">
        <v>45099</v>
      </c>
      <c r="D2335" t="s">
        <v>8</v>
      </c>
      <c r="E2335">
        <v>39</v>
      </c>
      <c r="F2335" t="s">
        <v>6</v>
      </c>
      <c r="G2335" s="8">
        <f t="shared" si="309"/>
        <v>1</v>
      </c>
      <c r="H2335">
        <f t="shared" si="310"/>
        <v>4</v>
      </c>
      <c r="I2335" t="str">
        <f t="shared" si="308"/>
        <v>Wednesday</v>
      </c>
      <c r="L2335">
        <f t="shared" si="311"/>
        <v>1</v>
      </c>
    </row>
    <row r="2336" spans="1:12" x14ac:dyDescent="0.25">
      <c r="A2336">
        <v>217246912</v>
      </c>
      <c r="B2336" s="1">
        <v>45098</v>
      </c>
      <c r="C2336" s="1">
        <v>45099</v>
      </c>
      <c r="D2336" t="s">
        <v>8</v>
      </c>
      <c r="E2336">
        <v>39</v>
      </c>
      <c r="F2336" t="s">
        <v>6</v>
      </c>
      <c r="G2336" s="8">
        <f t="shared" si="309"/>
        <v>1</v>
      </c>
      <c r="H2336">
        <f t="shared" si="310"/>
        <v>4</v>
      </c>
      <c r="I2336" t="str">
        <f t="shared" si="308"/>
        <v>Wednesday</v>
      </c>
      <c r="L2336">
        <f t="shared" si="311"/>
        <v>1</v>
      </c>
    </row>
    <row r="2337" spans="1:12" x14ac:dyDescent="0.25">
      <c r="A2337">
        <v>217223132</v>
      </c>
      <c r="B2337" s="1">
        <v>45098</v>
      </c>
      <c r="C2337" s="1">
        <v>45156</v>
      </c>
      <c r="D2337" t="s">
        <v>7</v>
      </c>
      <c r="E2337">
        <v>39</v>
      </c>
      <c r="F2337" t="s">
        <v>6</v>
      </c>
      <c r="G2337" s="8">
        <f t="shared" si="309"/>
        <v>58</v>
      </c>
      <c r="H2337">
        <f t="shared" si="310"/>
        <v>4</v>
      </c>
      <c r="I2337" t="str">
        <f t="shared" si="308"/>
        <v>Wednesday</v>
      </c>
      <c r="L2337">
        <f t="shared" si="311"/>
        <v>0</v>
      </c>
    </row>
    <row r="2338" spans="1:12" x14ac:dyDescent="0.25">
      <c r="A2338">
        <v>217650160</v>
      </c>
      <c r="B2338" s="1">
        <v>45098</v>
      </c>
      <c r="C2338" s="1">
        <v>45148</v>
      </c>
      <c r="D2338" t="s">
        <v>7</v>
      </c>
      <c r="E2338">
        <v>39</v>
      </c>
      <c r="F2338" t="s">
        <v>6</v>
      </c>
      <c r="G2338" s="8">
        <f t="shared" si="309"/>
        <v>50</v>
      </c>
      <c r="H2338">
        <f t="shared" si="310"/>
        <v>4</v>
      </c>
      <c r="I2338" t="str">
        <f t="shared" si="308"/>
        <v>Wednesday</v>
      </c>
      <c r="L2338">
        <f t="shared" si="311"/>
        <v>0</v>
      </c>
    </row>
    <row r="2339" spans="1:12" x14ac:dyDescent="0.25">
      <c r="A2339">
        <v>149856123</v>
      </c>
      <c r="B2339" s="1">
        <v>45098</v>
      </c>
      <c r="C2339" s="1">
        <v>45124</v>
      </c>
      <c r="D2339" t="s">
        <v>7</v>
      </c>
      <c r="E2339">
        <v>39</v>
      </c>
      <c r="F2339" t="s">
        <v>6</v>
      </c>
      <c r="G2339" s="8">
        <f t="shared" si="309"/>
        <v>26</v>
      </c>
      <c r="H2339">
        <f t="shared" si="310"/>
        <v>4</v>
      </c>
      <c r="I2339" t="str">
        <f t="shared" si="308"/>
        <v>Wednesday</v>
      </c>
      <c r="L2339">
        <f t="shared" si="311"/>
        <v>0</v>
      </c>
    </row>
    <row r="2340" spans="1:12" x14ac:dyDescent="0.25">
      <c r="A2340">
        <v>217657148</v>
      </c>
      <c r="B2340" s="1">
        <v>45098</v>
      </c>
      <c r="C2340" s="1">
        <v>45107</v>
      </c>
      <c r="D2340" t="s">
        <v>7</v>
      </c>
      <c r="E2340">
        <v>39</v>
      </c>
      <c r="F2340" t="s">
        <v>6</v>
      </c>
      <c r="G2340" s="8">
        <f t="shared" si="309"/>
        <v>9</v>
      </c>
      <c r="H2340">
        <f t="shared" si="310"/>
        <v>4</v>
      </c>
      <c r="I2340" t="str">
        <f t="shared" si="308"/>
        <v>Wednesday</v>
      </c>
      <c r="L2340">
        <f t="shared" si="311"/>
        <v>0</v>
      </c>
    </row>
    <row r="2341" spans="1:12" x14ac:dyDescent="0.25">
      <c r="A2341">
        <v>217386658</v>
      </c>
      <c r="B2341" s="1">
        <v>45098</v>
      </c>
      <c r="C2341" s="1">
        <v>45132</v>
      </c>
      <c r="D2341" t="s">
        <v>7</v>
      </c>
      <c r="E2341">
        <v>39</v>
      </c>
      <c r="F2341" t="s">
        <v>6</v>
      </c>
      <c r="G2341" s="8">
        <f t="shared" si="309"/>
        <v>34</v>
      </c>
      <c r="H2341">
        <f t="shared" si="310"/>
        <v>4</v>
      </c>
      <c r="I2341" t="str">
        <f t="shared" si="308"/>
        <v>Wednesday</v>
      </c>
      <c r="L2341">
        <f t="shared" si="311"/>
        <v>0</v>
      </c>
    </row>
    <row r="2342" spans="1:12" x14ac:dyDescent="0.25">
      <c r="A2342">
        <v>202563999</v>
      </c>
      <c r="B2342" s="1">
        <v>45099</v>
      </c>
      <c r="C2342" s="1">
        <f t="shared" ref="C2342:C2348" ca="1" si="314">TODAY()</f>
        <v>45938</v>
      </c>
      <c r="D2342" t="s">
        <v>7</v>
      </c>
      <c r="E2342">
        <v>39</v>
      </c>
      <c r="F2342" t="s">
        <v>6</v>
      </c>
      <c r="G2342" s="8">
        <f t="shared" ca="1" si="309"/>
        <v>839</v>
      </c>
      <c r="H2342">
        <f t="shared" si="310"/>
        <v>5</v>
      </c>
      <c r="I2342" t="str">
        <f t="shared" si="308"/>
        <v>Thursday</v>
      </c>
      <c r="L2342">
        <f t="shared" ca="1" si="311"/>
        <v>0</v>
      </c>
    </row>
    <row r="2343" spans="1:12" x14ac:dyDescent="0.25">
      <c r="A2343">
        <v>137195650</v>
      </c>
      <c r="B2343" s="1">
        <v>45099</v>
      </c>
      <c r="C2343" s="1">
        <f t="shared" ca="1" si="314"/>
        <v>45938</v>
      </c>
      <c r="D2343" t="s">
        <v>7</v>
      </c>
      <c r="E2343">
        <v>39</v>
      </c>
      <c r="F2343" t="s">
        <v>6</v>
      </c>
      <c r="G2343" s="8">
        <f t="shared" ca="1" si="309"/>
        <v>839</v>
      </c>
      <c r="H2343">
        <f t="shared" si="310"/>
        <v>5</v>
      </c>
      <c r="I2343" t="str">
        <f t="shared" si="308"/>
        <v>Thursday</v>
      </c>
      <c r="L2343">
        <f t="shared" ca="1" si="311"/>
        <v>0</v>
      </c>
    </row>
    <row r="2344" spans="1:12" x14ac:dyDescent="0.25">
      <c r="A2344">
        <v>138372112</v>
      </c>
      <c r="B2344" s="1">
        <v>45099</v>
      </c>
      <c r="C2344" s="1">
        <f t="shared" ca="1" si="314"/>
        <v>45938</v>
      </c>
      <c r="D2344" t="s">
        <v>7</v>
      </c>
      <c r="E2344">
        <v>39</v>
      </c>
      <c r="F2344" t="s">
        <v>6</v>
      </c>
      <c r="G2344" s="8">
        <f t="shared" ca="1" si="309"/>
        <v>839</v>
      </c>
      <c r="H2344">
        <f t="shared" si="310"/>
        <v>5</v>
      </c>
      <c r="I2344" t="str">
        <f t="shared" si="308"/>
        <v>Thursday</v>
      </c>
      <c r="L2344">
        <f t="shared" ca="1" si="311"/>
        <v>0</v>
      </c>
    </row>
    <row r="2345" spans="1:12" x14ac:dyDescent="0.25">
      <c r="A2345">
        <v>217692419</v>
      </c>
      <c r="B2345" s="1">
        <v>45099</v>
      </c>
      <c r="C2345" s="1">
        <f t="shared" ca="1" si="314"/>
        <v>45938</v>
      </c>
      <c r="D2345" t="s">
        <v>7</v>
      </c>
      <c r="E2345">
        <v>39</v>
      </c>
      <c r="F2345" t="s">
        <v>6</v>
      </c>
      <c r="G2345" s="8">
        <f t="shared" ca="1" si="309"/>
        <v>839</v>
      </c>
      <c r="H2345">
        <f t="shared" si="310"/>
        <v>5</v>
      </c>
      <c r="I2345" t="str">
        <f t="shared" si="308"/>
        <v>Thursday</v>
      </c>
      <c r="L2345">
        <f t="shared" ca="1" si="311"/>
        <v>0</v>
      </c>
    </row>
    <row r="2346" spans="1:12" x14ac:dyDescent="0.25">
      <c r="A2346">
        <v>217610905</v>
      </c>
      <c r="B2346" s="1">
        <v>45099</v>
      </c>
      <c r="C2346" s="1">
        <f t="shared" ca="1" si="314"/>
        <v>45938</v>
      </c>
      <c r="D2346" t="s">
        <v>7</v>
      </c>
      <c r="E2346">
        <v>39</v>
      </c>
      <c r="F2346" t="s">
        <v>6</v>
      </c>
      <c r="G2346" s="8">
        <f t="shared" ca="1" si="309"/>
        <v>839</v>
      </c>
      <c r="H2346">
        <f t="shared" si="310"/>
        <v>5</v>
      </c>
      <c r="I2346" t="str">
        <f t="shared" si="308"/>
        <v>Thursday</v>
      </c>
      <c r="L2346">
        <f t="shared" ca="1" si="311"/>
        <v>0</v>
      </c>
    </row>
    <row r="2347" spans="1:12" x14ac:dyDescent="0.25">
      <c r="A2347">
        <v>217618558</v>
      </c>
      <c r="B2347" s="1">
        <v>45099</v>
      </c>
      <c r="C2347" s="1">
        <f t="shared" ca="1" si="314"/>
        <v>45938</v>
      </c>
      <c r="D2347" t="s">
        <v>7</v>
      </c>
      <c r="E2347">
        <v>39</v>
      </c>
      <c r="F2347" t="s">
        <v>6</v>
      </c>
      <c r="G2347" s="8">
        <f t="shared" ca="1" si="309"/>
        <v>839</v>
      </c>
      <c r="H2347">
        <f t="shared" si="310"/>
        <v>5</v>
      </c>
      <c r="I2347" t="str">
        <f t="shared" si="308"/>
        <v>Thursday</v>
      </c>
      <c r="L2347">
        <f t="shared" ca="1" si="311"/>
        <v>0</v>
      </c>
    </row>
    <row r="2348" spans="1:12" x14ac:dyDescent="0.25">
      <c r="A2348">
        <v>190490555</v>
      </c>
      <c r="B2348" s="1">
        <v>45099</v>
      </c>
      <c r="C2348" s="1">
        <f t="shared" ca="1" si="314"/>
        <v>45938</v>
      </c>
      <c r="D2348" t="s">
        <v>7</v>
      </c>
      <c r="E2348">
        <v>39</v>
      </c>
      <c r="F2348" t="s">
        <v>6</v>
      </c>
      <c r="G2348" s="8">
        <f t="shared" ca="1" si="309"/>
        <v>839</v>
      </c>
      <c r="H2348">
        <f t="shared" si="310"/>
        <v>5</v>
      </c>
      <c r="I2348" t="str">
        <f t="shared" si="308"/>
        <v>Thursday</v>
      </c>
      <c r="L2348">
        <f t="shared" ca="1" si="311"/>
        <v>0</v>
      </c>
    </row>
    <row r="2349" spans="1:12" x14ac:dyDescent="0.25">
      <c r="A2349">
        <v>122169020</v>
      </c>
      <c r="B2349" s="1">
        <v>45099</v>
      </c>
      <c r="C2349" s="1">
        <v>45100</v>
      </c>
      <c r="D2349" t="s">
        <v>7</v>
      </c>
      <c r="E2349">
        <v>39</v>
      </c>
      <c r="F2349" t="s">
        <v>6</v>
      </c>
      <c r="G2349" s="8">
        <f t="shared" si="309"/>
        <v>1</v>
      </c>
      <c r="H2349">
        <f t="shared" si="310"/>
        <v>5</v>
      </c>
      <c r="I2349" t="str">
        <f t="shared" si="308"/>
        <v>Thursday</v>
      </c>
      <c r="L2349">
        <f t="shared" si="311"/>
        <v>1</v>
      </c>
    </row>
    <row r="2350" spans="1:12" x14ac:dyDescent="0.25">
      <c r="A2350">
        <v>217628239</v>
      </c>
      <c r="B2350" s="1">
        <v>45099</v>
      </c>
      <c r="C2350" s="1">
        <v>45100</v>
      </c>
      <c r="D2350" t="s">
        <v>8</v>
      </c>
      <c r="E2350">
        <v>39</v>
      </c>
      <c r="F2350" t="s">
        <v>6</v>
      </c>
      <c r="G2350" s="8">
        <f t="shared" si="309"/>
        <v>1</v>
      </c>
      <c r="H2350">
        <f t="shared" si="310"/>
        <v>5</v>
      </c>
      <c r="I2350" t="str">
        <f t="shared" si="308"/>
        <v>Thursday</v>
      </c>
      <c r="L2350">
        <f t="shared" si="311"/>
        <v>1</v>
      </c>
    </row>
    <row r="2351" spans="1:12" x14ac:dyDescent="0.25">
      <c r="A2351">
        <v>148062219</v>
      </c>
      <c r="B2351" s="1">
        <v>45099</v>
      </c>
      <c r="C2351" s="1">
        <v>45126</v>
      </c>
      <c r="D2351" t="s">
        <v>7</v>
      </c>
      <c r="E2351">
        <v>39</v>
      </c>
      <c r="F2351" t="s">
        <v>6</v>
      </c>
      <c r="G2351" s="8">
        <f t="shared" si="309"/>
        <v>27</v>
      </c>
      <c r="H2351">
        <f t="shared" si="310"/>
        <v>5</v>
      </c>
      <c r="I2351" t="str">
        <f t="shared" si="308"/>
        <v>Thursday</v>
      </c>
      <c r="L2351">
        <f t="shared" si="311"/>
        <v>0</v>
      </c>
    </row>
    <row r="2352" spans="1:12" x14ac:dyDescent="0.25">
      <c r="A2352">
        <v>131505988</v>
      </c>
      <c r="B2352" s="1">
        <v>45099</v>
      </c>
      <c r="C2352" s="1">
        <v>45113</v>
      </c>
      <c r="D2352" t="s">
        <v>7</v>
      </c>
      <c r="E2352">
        <v>39</v>
      </c>
      <c r="F2352" t="s">
        <v>6</v>
      </c>
      <c r="G2352" s="8">
        <f t="shared" si="309"/>
        <v>14</v>
      </c>
      <c r="H2352">
        <f t="shared" si="310"/>
        <v>5</v>
      </c>
      <c r="I2352" t="str">
        <f t="shared" si="308"/>
        <v>Thursday</v>
      </c>
      <c r="L2352">
        <f t="shared" si="311"/>
        <v>0</v>
      </c>
    </row>
    <row r="2353" spans="1:12" x14ac:dyDescent="0.25">
      <c r="A2353">
        <v>215489398</v>
      </c>
      <c r="B2353" s="1">
        <v>45099</v>
      </c>
      <c r="C2353" s="1">
        <v>45099</v>
      </c>
      <c r="D2353" t="s">
        <v>7</v>
      </c>
      <c r="E2353">
        <v>39</v>
      </c>
      <c r="F2353" t="s">
        <v>6</v>
      </c>
      <c r="G2353" s="8">
        <f t="shared" si="309"/>
        <v>0</v>
      </c>
      <c r="H2353">
        <f t="shared" si="310"/>
        <v>5</v>
      </c>
      <c r="I2353" t="str">
        <f t="shared" si="308"/>
        <v>Thursday</v>
      </c>
      <c r="L2353">
        <f t="shared" si="311"/>
        <v>1</v>
      </c>
    </row>
    <row r="2354" spans="1:12" x14ac:dyDescent="0.25">
      <c r="A2354">
        <v>195285936</v>
      </c>
      <c r="B2354" s="1">
        <v>45099</v>
      </c>
      <c r="C2354" s="1">
        <v>45156</v>
      </c>
      <c r="D2354" t="s">
        <v>7</v>
      </c>
      <c r="E2354">
        <v>39</v>
      </c>
      <c r="F2354" t="s">
        <v>6</v>
      </c>
      <c r="G2354" s="8">
        <f t="shared" si="309"/>
        <v>57</v>
      </c>
      <c r="H2354">
        <f t="shared" si="310"/>
        <v>5</v>
      </c>
      <c r="I2354" t="str">
        <f t="shared" si="308"/>
        <v>Thursday</v>
      </c>
      <c r="L2354">
        <f t="shared" si="311"/>
        <v>0</v>
      </c>
    </row>
    <row r="2355" spans="1:12" x14ac:dyDescent="0.25">
      <c r="A2355">
        <v>217725764</v>
      </c>
      <c r="B2355" s="1">
        <v>45099</v>
      </c>
      <c r="C2355" s="1">
        <v>45104</v>
      </c>
      <c r="D2355" t="s">
        <v>7</v>
      </c>
      <c r="E2355">
        <v>39</v>
      </c>
      <c r="F2355" t="s">
        <v>6</v>
      </c>
      <c r="G2355" s="8">
        <f t="shared" si="309"/>
        <v>5</v>
      </c>
      <c r="H2355">
        <f t="shared" si="310"/>
        <v>5</v>
      </c>
      <c r="I2355" t="str">
        <f t="shared" si="308"/>
        <v>Thursday</v>
      </c>
      <c r="L2355">
        <f t="shared" si="311"/>
        <v>0</v>
      </c>
    </row>
    <row r="2356" spans="1:12" x14ac:dyDescent="0.25">
      <c r="A2356">
        <v>217730944</v>
      </c>
      <c r="B2356" s="1">
        <v>45099</v>
      </c>
      <c r="C2356" s="1">
        <v>45113</v>
      </c>
      <c r="D2356" t="s">
        <v>7</v>
      </c>
      <c r="E2356">
        <v>39</v>
      </c>
      <c r="F2356" t="s">
        <v>6</v>
      </c>
      <c r="G2356" s="8">
        <f t="shared" si="309"/>
        <v>14</v>
      </c>
      <c r="H2356">
        <f t="shared" si="310"/>
        <v>5</v>
      </c>
      <c r="I2356" t="str">
        <f t="shared" si="308"/>
        <v>Thursday</v>
      </c>
      <c r="L2356">
        <f t="shared" si="311"/>
        <v>0</v>
      </c>
    </row>
    <row r="2357" spans="1:12" x14ac:dyDescent="0.25">
      <c r="A2357">
        <v>205548571</v>
      </c>
      <c r="B2357" s="1">
        <v>45100</v>
      </c>
      <c r="C2357" s="1">
        <f t="shared" ref="C2357:C2362" ca="1" si="315">TODAY()</f>
        <v>45938</v>
      </c>
      <c r="D2357" t="s">
        <v>7</v>
      </c>
      <c r="E2357">
        <v>39</v>
      </c>
      <c r="F2357" t="s">
        <v>6</v>
      </c>
      <c r="G2357" s="8">
        <f t="shared" ca="1" si="309"/>
        <v>838</v>
      </c>
      <c r="H2357">
        <f t="shared" si="310"/>
        <v>6</v>
      </c>
      <c r="I2357" t="str">
        <f t="shared" si="308"/>
        <v>Friday</v>
      </c>
      <c r="L2357">
        <f t="shared" ca="1" si="311"/>
        <v>0</v>
      </c>
    </row>
    <row r="2358" spans="1:12" x14ac:dyDescent="0.25">
      <c r="A2358">
        <v>188085249</v>
      </c>
      <c r="B2358" s="1">
        <v>45100</v>
      </c>
      <c r="C2358" s="1">
        <f t="shared" ca="1" si="315"/>
        <v>45938</v>
      </c>
      <c r="D2358" t="s">
        <v>7</v>
      </c>
      <c r="E2358">
        <v>39</v>
      </c>
      <c r="F2358" t="s">
        <v>6</v>
      </c>
      <c r="G2358" s="8">
        <f t="shared" ca="1" si="309"/>
        <v>838</v>
      </c>
      <c r="H2358">
        <f t="shared" si="310"/>
        <v>6</v>
      </c>
      <c r="I2358" t="str">
        <f t="shared" si="308"/>
        <v>Friday</v>
      </c>
      <c r="L2358">
        <f t="shared" ca="1" si="311"/>
        <v>0</v>
      </c>
    </row>
    <row r="2359" spans="1:12" x14ac:dyDescent="0.25">
      <c r="A2359">
        <v>206697535</v>
      </c>
      <c r="B2359" s="1">
        <v>45100</v>
      </c>
      <c r="C2359" s="1">
        <f t="shared" ca="1" si="315"/>
        <v>45938</v>
      </c>
      <c r="D2359" t="s">
        <v>7</v>
      </c>
      <c r="E2359">
        <v>39</v>
      </c>
      <c r="F2359" t="s">
        <v>6</v>
      </c>
      <c r="G2359" s="8">
        <f t="shared" ca="1" si="309"/>
        <v>838</v>
      </c>
      <c r="H2359">
        <f t="shared" si="310"/>
        <v>6</v>
      </c>
      <c r="I2359" t="str">
        <f t="shared" si="308"/>
        <v>Friday</v>
      </c>
      <c r="L2359">
        <f t="shared" ca="1" si="311"/>
        <v>0</v>
      </c>
    </row>
    <row r="2360" spans="1:12" x14ac:dyDescent="0.25">
      <c r="A2360">
        <v>152705871</v>
      </c>
      <c r="B2360" s="1">
        <v>45100</v>
      </c>
      <c r="C2360" s="1">
        <f t="shared" ca="1" si="315"/>
        <v>45938</v>
      </c>
      <c r="D2360" t="s">
        <v>7</v>
      </c>
      <c r="E2360">
        <v>39</v>
      </c>
      <c r="F2360" t="s">
        <v>6</v>
      </c>
      <c r="G2360" s="8">
        <f t="shared" ca="1" si="309"/>
        <v>838</v>
      </c>
      <c r="H2360">
        <f t="shared" si="310"/>
        <v>6</v>
      </c>
      <c r="I2360" t="str">
        <f t="shared" si="308"/>
        <v>Friday</v>
      </c>
      <c r="L2360">
        <f t="shared" ca="1" si="311"/>
        <v>0</v>
      </c>
    </row>
    <row r="2361" spans="1:12" x14ac:dyDescent="0.25">
      <c r="A2361">
        <v>216139584</v>
      </c>
      <c r="B2361" s="1">
        <v>45100</v>
      </c>
      <c r="C2361" s="1">
        <f t="shared" ca="1" si="315"/>
        <v>45938</v>
      </c>
      <c r="D2361" t="s">
        <v>7</v>
      </c>
      <c r="E2361">
        <v>39</v>
      </c>
      <c r="F2361" t="s">
        <v>6</v>
      </c>
      <c r="G2361" s="8">
        <f t="shared" ca="1" si="309"/>
        <v>838</v>
      </c>
      <c r="H2361">
        <f t="shared" si="310"/>
        <v>6</v>
      </c>
      <c r="I2361" t="str">
        <f t="shared" si="308"/>
        <v>Friday</v>
      </c>
      <c r="L2361">
        <f t="shared" ca="1" si="311"/>
        <v>0</v>
      </c>
    </row>
    <row r="2362" spans="1:12" x14ac:dyDescent="0.25">
      <c r="A2362">
        <v>127716285</v>
      </c>
      <c r="B2362" s="1">
        <v>45100</v>
      </c>
      <c r="C2362" s="1">
        <f t="shared" ca="1" si="315"/>
        <v>45938</v>
      </c>
      <c r="D2362" t="s">
        <v>7</v>
      </c>
      <c r="E2362">
        <v>39</v>
      </c>
      <c r="F2362" t="s">
        <v>6</v>
      </c>
      <c r="G2362" s="8">
        <f t="shared" ca="1" si="309"/>
        <v>838</v>
      </c>
      <c r="H2362">
        <f t="shared" si="310"/>
        <v>6</v>
      </c>
      <c r="I2362" t="str">
        <f t="shared" si="308"/>
        <v>Friday</v>
      </c>
      <c r="L2362">
        <f t="shared" ca="1" si="311"/>
        <v>0</v>
      </c>
    </row>
    <row r="2363" spans="1:12" x14ac:dyDescent="0.25">
      <c r="A2363">
        <v>138535334</v>
      </c>
      <c r="B2363" s="1">
        <v>45100</v>
      </c>
      <c r="C2363" s="1">
        <v>45161</v>
      </c>
      <c r="D2363" t="s">
        <v>7</v>
      </c>
      <c r="E2363">
        <v>39</v>
      </c>
      <c r="F2363" t="s">
        <v>6</v>
      </c>
      <c r="G2363" s="8">
        <f t="shared" si="309"/>
        <v>61</v>
      </c>
      <c r="H2363">
        <f t="shared" si="310"/>
        <v>6</v>
      </c>
      <c r="I2363" t="str">
        <f t="shared" si="308"/>
        <v>Friday</v>
      </c>
      <c r="L2363">
        <f t="shared" si="311"/>
        <v>0</v>
      </c>
    </row>
    <row r="2364" spans="1:12" x14ac:dyDescent="0.25">
      <c r="A2364">
        <v>205869717</v>
      </c>
      <c r="B2364" s="1">
        <v>45100</v>
      </c>
      <c r="C2364" s="1">
        <v>45168</v>
      </c>
      <c r="D2364" t="s">
        <v>7</v>
      </c>
      <c r="E2364">
        <v>39</v>
      </c>
      <c r="F2364" t="s">
        <v>6</v>
      </c>
      <c r="G2364" s="8">
        <f t="shared" si="309"/>
        <v>68</v>
      </c>
      <c r="H2364">
        <f t="shared" si="310"/>
        <v>6</v>
      </c>
      <c r="I2364" t="str">
        <f t="shared" si="308"/>
        <v>Friday</v>
      </c>
      <c r="L2364">
        <f t="shared" si="311"/>
        <v>0</v>
      </c>
    </row>
    <row r="2365" spans="1:12" x14ac:dyDescent="0.25">
      <c r="A2365">
        <v>204985013</v>
      </c>
      <c r="B2365" s="1">
        <v>45100</v>
      </c>
      <c r="C2365" s="1">
        <v>45150</v>
      </c>
      <c r="D2365" t="s">
        <v>7</v>
      </c>
      <c r="E2365">
        <v>39</v>
      </c>
      <c r="F2365" t="s">
        <v>6</v>
      </c>
      <c r="G2365" s="8">
        <f t="shared" si="309"/>
        <v>50</v>
      </c>
      <c r="H2365">
        <f t="shared" si="310"/>
        <v>6</v>
      </c>
      <c r="I2365" t="str">
        <f t="shared" si="308"/>
        <v>Friday</v>
      </c>
      <c r="L2365">
        <f t="shared" si="311"/>
        <v>0</v>
      </c>
    </row>
    <row r="2366" spans="1:12" x14ac:dyDescent="0.25">
      <c r="A2366">
        <v>217763600</v>
      </c>
      <c r="B2366" s="1">
        <v>45101</v>
      </c>
      <c r="C2366" s="1">
        <f t="shared" ref="C2366" ca="1" si="316">TODAY()</f>
        <v>45938</v>
      </c>
      <c r="D2366" t="s">
        <v>7</v>
      </c>
      <c r="E2366">
        <v>39</v>
      </c>
      <c r="F2366" t="s">
        <v>6</v>
      </c>
      <c r="G2366" s="8">
        <f t="shared" ca="1" si="309"/>
        <v>837</v>
      </c>
      <c r="H2366">
        <f t="shared" si="310"/>
        <v>7</v>
      </c>
      <c r="I2366" t="str">
        <f t="shared" si="308"/>
        <v>Saturday</v>
      </c>
      <c r="L2366">
        <f t="shared" ca="1" si="311"/>
        <v>0</v>
      </c>
    </row>
    <row r="2367" spans="1:12" x14ac:dyDescent="0.25">
      <c r="A2367">
        <v>217808731</v>
      </c>
      <c r="B2367" s="1">
        <v>45101</v>
      </c>
      <c r="C2367" s="1">
        <v>45102</v>
      </c>
      <c r="D2367" t="s">
        <v>8</v>
      </c>
      <c r="E2367">
        <v>39</v>
      </c>
      <c r="F2367" t="s">
        <v>6</v>
      </c>
      <c r="G2367" s="8">
        <f t="shared" si="309"/>
        <v>1</v>
      </c>
      <c r="H2367">
        <f t="shared" si="310"/>
        <v>7</v>
      </c>
      <c r="I2367" t="str">
        <f t="shared" si="308"/>
        <v>Saturday</v>
      </c>
      <c r="L2367">
        <f t="shared" si="311"/>
        <v>1</v>
      </c>
    </row>
    <row r="2368" spans="1:12" x14ac:dyDescent="0.25">
      <c r="A2368">
        <v>217822232</v>
      </c>
      <c r="B2368" s="1">
        <v>45101</v>
      </c>
      <c r="C2368" s="1">
        <v>45143</v>
      </c>
      <c r="D2368" t="s">
        <v>7</v>
      </c>
      <c r="E2368">
        <v>39</v>
      </c>
      <c r="F2368" t="s">
        <v>6</v>
      </c>
      <c r="G2368" s="8">
        <f t="shared" si="309"/>
        <v>42</v>
      </c>
      <c r="H2368">
        <f t="shared" si="310"/>
        <v>7</v>
      </c>
      <c r="I2368" t="str">
        <f t="shared" si="308"/>
        <v>Saturday</v>
      </c>
      <c r="L2368">
        <f t="shared" si="311"/>
        <v>0</v>
      </c>
    </row>
    <row r="2369" spans="1:12" x14ac:dyDescent="0.25">
      <c r="A2369">
        <v>217718093</v>
      </c>
      <c r="B2369" s="1">
        <v>45102</v>
      </c>
      <c r="C2369" s="1">
        <f t="shared" ref="C2369:C2371" ca="1" si="317">TODAY()</f>
        <v>45938</v>
      </c>
      <c r="D2369" t="s">
        <v>7</v>
      </c>
      <c r="E2369">
        <v>39</v>
      </c>
      <c r="F2369" t="s">
        <v>6</v>
      </c>
      <c r="G2369" s="8">
        <f t="shared" ca="1" si="309"/>
        <v>836</v>
      </c>
      <c r="H2369">
        <f t="shared" si="310"/>
        <v>1</v>
      </c>
      <c r="I2369" t="str">
        <f t="shared" si="308"/>
        <v>Sunday</v>
      </c>
      <c r="L2369">
        <f t="shared" ca="1" si="311"/>
        <v>0</v>
      </c>
    </row>
    <row r="2370" spans="1:12" x14ac:dyDescent="0.25">
      <c r="A2370">
        <v>217555660</v>
      </c>
      <c r="B2370" s="1">
        <v>45102</v>
      </c>
      <c r="C2370" s="1">
        <f t="shared" ca="1" si="317"/>
        <v>45938</v>
      </c>
      <c r="D2370" t="s">
        <v>7</v>
      </c>
      <c r="E2370">
        <v>39</v>
      </c>
      <c r="F2370" t="s">
        <v>6</v>
      </c>
      <c r="G2370" s="8">
        <f t="shared" ca="1" si="309"/>
        <v>836</v>
      </c>
      <c r="H2370">
        <f t="shared" si="310"/>
        <v>1</v>
      </c>
      <c r="I2370" t="str">
        <f t="shared" ref="I2370:I2433" si="318">TEXT(B2370,"DDDD")</f>
        <v>Sunday</v>
      </c>
      <c r="L2370">
        <f t="shared" ca="1" si="311"/>
        <v>0</v>
      </c>
    </row>
    <row r="2371" spans="1:12" x14ac:dyDescent="0.25">
      <c r="A2371">
        <v>154535908</v>
      </c>
      <c r="B2371" s="1">
        <v>45102</v>
      </c>
      <c r="C2371" s="1">
        <f t="shared" ca="1" si="317"/>
        <v>45938</v>
      </c>
      <c r="D2371" t="s">
        <v>7</v>
      </c>
      <c r="E2371">
        <v>39</v>
      </c>
      <c r="F2371" t="s">
        <v>6</v>
      </c>
      <c r="G2371" s="8">
        <f t="shared" ref="G2371:G2434" ca="1" si="319">IFERROR(DATEDIF(B2371,C2371,"D"),"0")</f>
        <v>836</v>
      </c>
      <c r="H2371">
        <f t="shared" ref="H2371:H2434" si="320">WEEKDAY(B2371,1)</f>
        <v>1</v>
      </c>
      <c r="I2371" t="str">
        <f t="shared" si="318"/>
        <v>Sunday</v>
      </c>
      <c r="L2371">
        <f t="shared" ref="L2371:L2434" ca="1" si="321">IF( OR($G2371=0,$G2371 = 1, $G2371 = 2), 1, 0 )</f>
        <v>0</v>
      </c>
    </row>
    <row r="2372" spans="1:12" x14ac:dyDescent="0.25">
      <c r="A2372">
        <v>217554744</v>
      </c>
      <c r="B2372" s="1">
        <v>45102</v>
      </c>
      <c r="C2372" s="1">
        <v>45139</v>
      </c>
      <c r="D2372" t="s">
        <v>7</v>
      </c>
      <c r="E2372">
        <v>39</v>
      </c>
      <c r="F2372" t="s">
        <v>6</v>
      </c>
      <c r="G2372" s="8">
        <f t="shared" si="319"/>
        <v>37</v>
      </c>
      <c r="H2372">
        <f t="shared" si="320"/>
        <v>1</v>
      </c>
      <c r="I2372" t="str">
        <f t="shared" si="318"/>
        <v>Sunday</v>
      </c>
      <c r="L2372">
        <f t="shared" si="321"/>
        <v>0</v>
      </c>
    </row>
    <row r="2373" spans="1:12" x14ac:dyDescent="0.25">
      <c r="A2373">
        <v>217877324</v>
      </c>
      <c r="B2373" s="1">
        <v>45102</v>
      </c>
      <c r="C2373" s="1">
        <v>45102</v>
      </c>
      <c r="D2373" t="s">
        <v>7</v>
      </c>
      <c r="E2373">
        <v>39</v>
      </c>
      <c r="F2373" t="s">
        <v>6</v>
      </c>
      <c r="G2373" s="8">
        <f t="shared" si="319"/>
        <v>0</v>
      </c>
      <c r="H2373">
        <f t="shared" si="320"/>
        <v>1</v>
      </c>
      <c r="I2373" t="str">
        <f t="shared" si="318"/>
        <v>Sunday</v>
      </c>
      <c r="L2373">
        <f t="shared" si="321"/>
        <v>1</v>
      </c>
    </row>
    <row r="2374" spans="1:12" x14ac:dyDescent="0.25">
      <c r="A2374">
        <v>147765298</v>
      </c>
      <c r="B2374" s="1">
        <v>45103</v>
      </c>
      <c r="C2374" s="1">
        <f t="shared" ref="C2374:C2386" ca="1" si="322">TODAY()</f>
        <v>45938</v>
      </c>
      <c r="D2374" t="s">
        <v>7</v>
      </c>
      <c r="E2374">
        <v>39</v>
      </c>
      <c r="F2374" t="s">
        <v>6</v>
      </c>
      <c r="G2374" s="8">
        <f t="shared" ca="1" si="319"/>
        <v>835</v>
      </c>
      <c r="H2374">
        <f t="shared" si="320"/>
        <v>2</v>
      </c>
      <c r="I2374" t="str">
        <f t="shared" si="318"/>
        <v>Monday</v>
      </c>
      <c r="L2374">
        <f t="shared" ca="1" si="321"/>
        <v>0</v>
      </c>
    </row>
    <row r="2375" spans="1:12" x14ac:dyDescent="0.25">
      <c r="A2375">
        <v>217901196</v>
      </c>
      <c r="B2375" s="1">
        <v>45103</v>
      </c>
      <c r="C2375" s="1">
        <f t="shared" ca="1" si="322"/>
        <v>45938</v>
      </c>
      <c r="D2375" t="s">
        <v>7</v>
      </c>
      <c r="E2375">
        <v>39</v>
      </c>
      <c r="F2375" t="s">
        <v>6</v>
      </c>
      <c r="G2375" s="8">
        <f t="shared" ca="1" si="319"/>
        <v>835</v>
      </c>
      <c r="H2375">
        <f t="shared" si="320"/>
        <v>2</v>
      </c>
      <c r="I2375" t="str">
        <f t="shared" si="318"/>
        <v>Monday</v>
      </c>
      <c r="L2375">
        <f t="shared" ca="1" si="321"/>
        <v>0</v>
      </c>
    </row>
    <row r="2376" spans="1:12" x14ac:dyDescent="0.25">
      <c r="A2376">
        <v>217266939</v>
      </c>
      <c r="B2376" s="1">
        <v>45103</v>
      </c>
      <c r="C2376" s="1">
        <f t="shared" ca="1" si="322"/>
        <v>45938</v>
      </c>
      <c r="D2376" t="s">
        <v>7</v>
      </c>
      <c r="E2376">
        <v>39</v>
      </c>
      <c r="F2376" t="s">
        <v>6</v>
      </c>
      <c r="G2376" s="8">
        <f t="shared" ca="1" si="319"/>
        <v>835</v>
      </c>
      <c r="H2376">
        <f t="shared" si="320"/>
        <v>2</v>
      </c>
      <c r="I2376" t="str">
        <f t="shared" si="318"/>
        <v>Monday</v>
      </c>
      <c r="L2376">
        <f t="shared" ca="1" si="321"/>
        <v>0</v>
      </c>
    </row>
    <row r="2377" spans="1:12" x14ac:dyDescent="0.25">
      <c r="A2377">
        <v>204908076</v>
      </c>
      <c r="B2377" s="1">
        <v>45103</v>
      </c>
      <c r="C2377" s="1">
        <f t="shared" ca="1" si="322"/>
        <v>45938</v>
      </c>
      <c r="D2377" t="s">
        <v>7</v>
      </c>
      <c r="E2377">
        <v>39</v>
      </c>
      <c r="F2377" t="s">
        <v>6</v>
      </c>
      <c r="G2377" s="8">
        <f t="shared" ca="1" si="319"/>
        <v>835</v>
      </c>
      <c r="H2377">
        <f t="shared" si="320"/>
        <v>2</v>
      </c>
      <c r="I2377" t="str">
        <f t="shared" si="318"/>
        <v>Monday</v>
      </c>
      <c r="L2377">
        <f t="shared" ca="1" si="321"/>
        <v>0</v>
      </c>
    </row>
    <row r="2378" spans="1:12" x14ac:dyDescent="0.25">
      <c r="A2378">
        <v>217698784</v>
      </c>
      <c r="B2378" s="1">
        <v>45103</v>
      </c>
      <c r="C2378" s="1">
        <f t="shared" ca="1" si="322"/>
        <v>45938</v>
      </c>
      <c r="D2378" t="s">
        <v>7</v>
      </c>
      <c r="E2378">
        <v>39</v>
      </c>
      <c r="F2378" t="s">
        <v>6</v>
      </c>
      <c r="G2378" s="8">
        <f t="shared" ca="1" si="319"/>
        <v>835</v>
      </c>
      <c r="H2378">
        <f t="shared" si="320"/>
        <v>2</v>
      </c>
      <c r="I2378" t="str">
        <f t="shared" si="318"/>
        <v>Monday</v>
      </c>
      <c r="L2378">
        <f t="shared" ca="1" si="321"/>
        <v>0</v>
      </c>
    </row>
    <row r="2379" spans="1:12" x14ac:dyDescent="0.25">
      <c r="A2379">
        <v>217909024</v>
      </c>
      <c r="B2379" s="1">
        <v>45103</v>
      </c>
      <c r="C2379" s="1">
        <f t="shared" ca="1" si="322"/>
        <v>45938</v>
      </c>
      <c r="D2379" t="s">
        <v>7</v>
      </c>
      <c r="E2379">
        <v>39</v>
      </c>
      <c r="F2379" t="s">
        <v>6</v>
      </c>
      <c r="G2379" s="8">
        <f t="shared" ca="1" si="319"/>
        <v>835</v>
      </c>
      <c r="H2379">
        <f t="shared" si="320"/>
        <v>2</v>
      </c>
      <c r="I2379" t="str">
        <f t="shared" si="318"/>
        <v>Monday</v>
      </c>
      <c r="L2379">
        <f t="shared" ca="1" si="321"/>
        <v>0</v>
      </c>
    </row>
    <row r="2380" spans="1:12" x14ac:dyDescent="0.25">
      <c r="A2380">
        <v>201498671</v>
      </c>
      <c r="B2380" s="1">
        <v>45103</v>
      </c>
      <c r="C2380" s="1">
        <f t="shared" ca="1" si="322"/>
        <v>45938</v>
      </c>
      <c r="D2380" t="s">
        <v>7</v>
      </c>
      <c r="E2380">
        <v>39</v>
      </c>
      <c r="F2380" t="s">
        <v>6</v>
      </c>
      <c r="G2380" s="8">
        <f t="shared" ca="1" si="319"/>
        <v>835</v>
      </c>
      <c r="H2380">
        <f t="shared" si="320"/>
        <v>2</v>
      </c>
      <c r="I2380" t="str">
        <f t="shared" si="318"/>
        <v>Monday</v>
      </c>
      <c r="L2380">
        <f t="shared" ca="1" si="321"/>
        <v>0</v>
      </c>
    </row>
    <row r="2381" spans="1:12" x14ac:dyDescent="0.25">
      <c r="A2381">
        <v>217902650</v>
      </c>
      <c r="B2381" s="1">
        <v>45103</v>
      </c>
      <c r="C2381" s="1">
        <f t="shared" ca="1" si="322"/>
        <v>45938</v>
      </c>
      <c r="D2381" t="s">
        <v>7</v>
      </c>
      <c r="E2381">
        <v>39</v>
      </c>
      <c r="F2381" t="s">
        <v>6</v>
      </c>
      <c r="G2381" s="8">
        <f t="shared" ca="1" si="319"/>
        <v>835</v>
      </c>
      <c r="H2381">
        <f t="shared" si="320"/>
        <v>2</v>
      </c>
      <c r="I2381" t="str">
        <f t="shared" si="318"/>
        <v>Monday</v>
      </c>
      <c r="L2381">
        <f t="shared" ca="1" si="321"/>
        <v>0</v>
      </c>
    </row>
    <row r="2382" spans="1:12" x14ac:dyDescent="0.25">
      <c r="A2382">
        <v>217896282</v>
      </c>
      <c r="B2382" s="1">
        <v>45103</v>
      </c>
      <c r="C2382" s="1">
        <f t="shared" ca="1" si="322"/>
        <v>45938</v>
      </c>
      <c r="D2382" t="s">
        <v>7</v>
      </c>
      <c r="E2382">
        <v>39</v>
      </c>
      <c r="F2382" t="s">
        <v>6</v>
      </c>
      <c r="G2382" s="8">
        <f t="shared" ca="1" si="319"/>
        <v>835</v>
      </c>
      <c r="H2382">
        <f t="shared" si="320"/>
        <v>2</v>
      </c>
      <c r="I2382" t="str">
        <f t="shared" si="318"/>
        <v>Monday</v>
      </c>
      <c r="L2382">
        <f t="shared" ca="1" si="321"/>
        <v>0</v>
      </c>
    </row>
    <row r="2383" spans="1:12" x14ac:dyDescent="0.25">
      <c r="A2383">
        <v>217337901</v>
      </c>
      <c r="B2383" s="1">
        <v>45103</v>
      </c>
      <c r="C2383" s="1">
        <f t="shared" ca="1" si="322"/>
        <v>45938</v>
      </c>
      <c r="D2383" t="s">
        <v>7</v>
      </c>
      <c r="E2383">
        <v>39</v>
      </c>
      <c r="F2383" t="s">
        <v>6</v>
      </c>
      <c r="G2383" s="8">
        <f t="shared" ca="1" si="319"/>
        <v>835</v>
      </c>
      <c r="H2383">
        <f t="shared" si="320"/>
        <v>2</v>
      </c>
      <c r="I2383" t="str">
        <f t="shared" si="318"/>
        <v>Monday</v>
      </c>
      <c r="L2383">
        <f t="shared" ca="1" si="321"/>
        <v>0</v>
      </c>
    </row>
    <row r="2384" spans="1:12" x14ac:dyDescent="0.25">
      <c r="A2384">
        <v>217477535</v>
      </c>
      <c r="B2384" s="1">
        <v>45103</v>
      </c>
      <c r="C2384" s="1">
        <f t="shared" ca="1" si="322"/>
        <v>45938</v>
      </c>
      <c r="D2384" t="s">
        <v>7</v>
      </c>
      <c r="E2384">
        <v>39</v>
      </c>
      <c r="F2384" t="s">
        <v>6</v>
      </c>
      <c r="G2384" s="8">
        <f t="shared" ca="1" si="319"/>
        <v>835</v>
      </c>
      <c r="H2384">
        <f t="shared" si="320"/>
        <v>2</v>
      </c>
      <c r="I2384" t="str">
        <f t="shared" si="318"/>
        <v>Monday</v>
      </c>
      <c r="L2384">
        <f t="shared" ca="1" si="321"/>
        <v>0</v>
      </c>
    </row>
    <row r="2385" spans="1:12" x14ac:dyDescent="0.25">
      <c r="A2385">
        <v>217885621</v>
      </c>
      <c r="B2385" s="1">
        <v>45103</v>
      </c>
      <c r="C2385" s="1">
        <f t="shared" ca="1" si="322"/>
        <v>45938</v>
      </c>
      <c r="D2385" t="s">
        <v>7</v>
      </c>
      <c r="E2385">
        <v>39</v>
      </c>
      <c r="F2385" t="s">
        <v>6</v>
      </c>
      <c r="G2385" s="8">
        <f t="shared" ca="1" si="319"/>
        <v>835</v>
      </c>
      <c r="H2385">
        <f t="shared" si="320"/>
        <v>2</v>
      </c>
      <c r="I2385" t="str">
        <f t="shared" si="318"/>
        <v>Monday</v>
      </c>
      <c r="L2385">
        <f t="shared" ca="1" si="321"/>
        <v>0</v>
      </c>
    </row>
    <row r="2386" spans="1:12" x14ac:dyDescent="0.25">
      <c r="A2386">
        <v>217714764</v>
      </c>
      <c r="B2386" s="1">
        <v>45103</v>
      </c>
      <c r="C2386" s="1">
        <f t="shared" ca="1" si="322"/>
        <v>45938</v>
      </c>
      <c r="D2386" t="s">
        <v>7</v>
      </c>
      <c r="E2386">
        <v>39</v>
      </c>
      <c r="F2386" t="s">
        <v>6</v>
      </c>
      <c r="G2386" s="8">
        <f t="shared" ca="1" si="319"/>
        <v>835</v>
      </c>
      <c r="H2386">
        <f t="shared" si="320"/>
        <v>2</v>
      </c>
      <c r="I2386" t="str">
        <f t="shared" si="318"/>
        <v>Monday</v>
      </c>
      <c r="L2386">
        <f t="shared" ca="1" si="321"/>
        <v>0</v>
      </c>
    </row>
    <row r="2387" spans="1:12" x14ac:dyDescent="0.25">
      <c r="A2387">
        <v>217335548</v>
      </c>
      <c r="B2387" s="1">
        <v>45103</v>
      </c>
      <c r="C2387" s="1">
        <v>45175</v>
      </c>
      <c r="D2387" t="s">
        <v>7</v>
      </c>
      <c r="E2387">
        <v>39</v>
      </c>
      <c r="F2387" t="s">
        <v>6</v>
      </c>
      <c r="G2387" s="8">
        <f t="shared" si="319"/>
        <v>72</v>
      </c>
      <c r="H2387">
        <f t="shared" si="320"/>
        <v>2</v>
      </c>
      <c r="I2387" t="str">
        <f t="shared" si="318"/>
        <v>Monday</v>
      </c>
      <c r="L2387">
        <f t="shared" si="321"/>
        <v>0</v>
      </c>
    </row>
    <row r="2388" spans="1:12" x14ac:dyDescent="0.25">
      <c r="A2388">
        <v>129747676</v>
      </c>
      <c r="B2388" s="1">
        <v>45103</v>
      </c>
      <c r="C2388" s="1">
        <v>45104</v>
      </c>
      <c r="D2388" t="s">
        <v>7</v>
      </c>
      <c r="E2388">
        <v>39</v>
      </c>
      <c r="F2388" t="s">
        <v>6</v>
      </c>
      <c r="G2388" s="8">
        <f t="shared" si="319"/>
        <v>1</v>
      </c>
      <c r="H2388">
        <f t="shared" si="320"/>
        <v>2</v>
      </c>
      <c r="I2388" t="str">
        <f t="shared" si="318"/>
        <v>Monday</v>
      </c>
      <c r="L2388">
        <f t="shared" si="321"/>
        <v>1</v>
      </c>
    </row>
    <row r="2389" spans="1:12" x14ac:dyDescent="0.25">
      <c r="A2389">
        <v>217846698</v>
      </c>
      <c r="B2389" s="1">
        <v>45103</v>
      </c>
      <c r="C2389" s="1">
        <v>45104</v>
      </c>
      <c r="D2389" t="s">
        <v>8</v>
      </c>
      <c r="E2389">
        <v>39</v>
      </c>
      <c r="F2389" t="s">
        <v>6</v>
      </c>
      <c r="G2389" s="8">
        <f t="shared" si="319"/>
        <v>1</v>
      </c>
      <c r="H2389">
        <f t="shared" si="320"/>
        <v>2</v>
      </c>
      <c r="I2389" t="str">
        <f t="shared" si="318"/>
        <v>Monday</v>
      </c>
      <c r="L2389">
        <f t="shared" si="321"/>
        <v>1</v>
      </c>
    </row>
    <row r="2390" spans="1:12" x14ac:dyDescent="0.25">
      <c r="A2390">
        <v>217965791</v>
      </c>
      <c r="B2390" s="1">
        <v>45104</v>
      </c>
      <c r="C2390" s="1">
        <f t="shared" ref="C2390:C2394" ca="1" si="323">TODAY()</f>
        <v>45938</v>
      </c>
      <c r="D2390" t="s">
        <v>7</v>
      </c>
      <c r="E2390">
        <v>39</v>
      </c>
      <c r="F2390" t="s">
        <v>6</v>
      </c>
      <c r="G2390" s="8">
        <f t="shared" ca="1" si="319"/>
        <v>834</v>
      </c>
      <c r="H2390">
        <f t="shared" si="320"/>
        <v>3</v>
      </c>
      <c r="I2390" t="str">
        <f t="shared" si="318"/>
        <v>Tuesday</v>
      </c>
      <c r="L2390">
        <f t="shared" ca="1" si="321"/>
        <v>0</v>
      </c>
    </row>
    <row r="2391" spans="1:12" x14ac:dyDescent="0.25">
      <c r="A2391">
        <v>217851124</v>
      </c>
      <c r="B2391" s="1">
        <v>45104</v>
      </c>
      <c r="C2391" s="1">
        <f t="shared" ca="1" si="323"/>
        <v>45938</v>
      </c>
      <c r="D2391" t="s">
        <v>7</v>
      </c>
      <c r="E2391">
        <v>39</v>
      </c>
      <c r="F2391" t="s">
        <v>6</v>
      </c>
      <c r="G2391" s="8">
        <f t="shared" ca="1" si="319"/>
        <v>834</v>
      </c>
      <c r="H2391">
        <f t="shared" si="320"/>
        <v>3</v>
      </c>
      <c r="I2391" t="str">
        <f t="shared" si="318"/>
        <v>Tuesday</v>
      </c>
      <c r="L2391">
        <f t="shared" ca="1" si="321"/>
        <v>0</v>
      </c>
    </row>
    <row r="2392" spans="1:12" x14ac:dyDescent="0.25">
      <c r="A2392">
        <v>217861903</v>
      </c>
      <c r="B2392" s="1">
        <v>45104</v>
      </c>
      <c r="C2392" s="1">
        <f t="shared" ca="1" si="323"/>
        <v>45938</v>
      </c>
      <c r="D2392" t="s">
        <v>7</v>
      </c>
      <c r="E2392">
        <v>39</v>
      </c>
      <c r="F2392" t="s">
        <v>6</v>
      </c>
      <c r="G2392" s="8">
        <f t="shared" ca="1" si="319"/>
        <v>834</v>
      </c>
      <c r="H2392">
        <f t="shared" si="320"/>
        <v>3</v>
      </c>
      <c r="I2392" t="str">
        <f t="shared" si="318"/>
        <v>Tuesday</v>
      </c>
      <c r="L2392">
        <f t="shared" ca="1" si="321"/>
        <v>0</v>
      </c>
    </row>
    <row r="2393" spans="1:12" x14ac:dyDescent="0.25">
      <c r="A2393">
        <v>217660423</v>
      </c>
      <c r="B2393" s="1">
        <v>45104</v>
      </c>
      <c r="C2393" s="1">
        <f t="shared" ca="1" si="323"/>
        <v>45938</v>
      </c>
      <c r="D2393" t="s">
        <v>7</v>
      </c>
      <c r="E2393">
        <v>39</v>
      </c>
      <c r="F2393" t="s">
        <v>6</v>
      </c>
      <c r="G2393" s="8">
        <f t="shared" ca="1" si="319"/>
        <v>834</v>
      </c>
      <c r="H2393">
        <f t="shared" si="320"/>
        <v>3</v>
      </c>
      <c r="I2393" t="str">
        <f t="shared" si="318"/>
        <v>Tuesday</v>
      </c>
      <c r="L2393">
        <f t="shared" ca="1" si="321"/>
        <v>0</v>
      </c>
    </row>
    <row r="2394" spans="1:12" x14ac:dyDescent="0.25">
      <c r="A2394">
        <v>217814342</v>
      </c>
      <c r="B2394" s="1">
        <v>45104</v>
      </c>
      <c r="C2394" s="1">
        <f t="shared" ca="1" si="323"/>
        <v>45938</v>
      </c>
      <c r="D2394" t="s">
        <v>7</v>
      </c>
      <c r="E2394">
        <v>39</v>
      </c>
      <c r="F2394" t="s">
        <v>6</v>
      </c>
      <c r="G2394" s="8">
        <f t="shared" ca="1" si="319"/>
        <v>834</v>
      </c>
      <c r="H2394">
        <f t="shared" si="320"/>
        <v>3</v>
      </c>
      <c r="I2394" t="str">
        <f t="shared" si="318"/>
        <v>Tuesday</v>
      </c>
      <c r="L2394">
        <f t="shared" ca="1" si="321"/>
        <v>0</v>
      </c>
    </row>
    <row r="2395" spans="1:12" x14ac:dyDescent="0.25">
      <c r="A2395">
        <v>157548765</v>
      </c>
      <c r="B2395" s="1">
        <v>45104</v>
      </c>
      <c r="C2395" s="1">
        <v>45105</v>
      </c>
      <c r="D2395" t="s">
        <v>8</v>
      </c>
      <c r="E2395">
        <v>39</v>
      </c>
      <c r="F2395" t="s">
        <v>6</v>
      </c>
      <c r="G2395" s="8">
        <f t="shared" si="319"/>
        <v>1</v>
      </c>
      <c r="H2395">
        <f t="shared" si="320"/>
        <v>3</v>
      </c>
      <c r="I2395" t="str">
        <f t="shared" si="318"/>
        <v>Tuesday</v>
      </c>
      <c r="L2395">
        <f t="shared" si="321"/>
        <v>1</v>
      </c>
    </row>
    <row r="2396" spans="1:12" x14ac:dyDescent="0.25">
      <c r="A2396">
        <v>217934288</v>
      </c>
      <c r="B2396" s="1">
        <v>45104</v>
      </c>
      <c r="C2396" s="1">
        <v>45105</v>
      </c>
      <c r="D2396" t="s">
        <v>8</v>
      </c>
      <c r="E2396">
        <v>39</v>
      </c>
      <c r="F2396" t="s">
        <v>6</v>
      </c>
      <c r="G2396" s="8">
        <f t="shared" si="319"/>
        <v>1</v>
      </c>
      <c r="H2396">
        <f t="shared" si="320"/>
        <v>3</v>
      </c>
      <c r="I2396" t="str">
        <f t="shared" si="318"/>
        <v>Tuesday</v>
      </c>
      <c r="L2396">
        <f t="shared" si="321"/>
        <v>1</v>
      </c>
    </row>
    <row r="2397" spans="1:12" x14ac:dyDescent="0.25">
      <c r="A2397">
        <v>217855786</v>
      </c>
      <c r="B2397" s="1">
        <v>45104</v>
      </c>
      <c r="C2397" s="1">
        <v>45105</v>
      </c>
      <c r="D2397" t="s">
        <v>8</v>
      </c>
      <c r="E2397">
        <v>39</v>
      </c>
      <c r="F2397" t="s">
        <v>6</v>
      </c>
      <c r="G2397" s="8">
        <f t="shared" si="319"/>
        <v>1</v>
      </c>
      <c r="H2397">
        <f t="shared" si="320"/>
        <v>3</v>
      </c>
      <c r="I2397" t="str">
        <f t="shared" si="318"/>
        <v>Tuesday</v>
      </c>
      <c r="L2397">
        <f t="shared" si="321"/>
        <v>1</v>
      </c>
    </row>
    <row r="2398" spans="1:12" x14ac:dyDescent="0.25">
      <c r="A2398">
        <v>131753677</v>
      </c>
      <c r="B2398" s="1">
        <v>45104</v>
      </c>
      <c r="C2398" s="1">
        <v>45153</v>
      </c>
      <c r="D2398" t="s">
        <v>7</v>
      </c>
      <c r="E2398">
        <v>39</v>
      </c>
      <c r="F2398" t="s">
        <v>6</v>
      </c>
      <c r="G2398" s="8">
        <f t="shared" si="319"/>
        <v>49</v>
      </c>
      <c r="H2398">
        <f t="shared" si="320"/>
        <v>3</v>
      </c>
      <c r="I2398" t="str">
        <f t="shared" si="318"/>
        <v>Tuesday</v>
      </c>
      <c r="L2398">
        <f t="shared" si="321"/>
        <v>0</v>
      </c>
    </row>
    <row r="2399" spans="1:12" x14ac:dyDescent="0.25">
      <c r="A2399">
        <v>215963364</v>
      </c>
      <c r="B2399" s="1">
        <v>45104</v>
      </c>
      <c r="C2399" s="1">
        <v>45172</v>
      </c>
      <c r="D2399" t="s">
        <v>7</v>
      </c>
      <c r="E2399">
        <v>39</v>
      </c>
      <c r="F2399" t="s">
        <v>6</v>
      </c>
      <c r="G2399" s="8">
        <f t="shared" si="319"/>
        <v>68</v>
      </c>
      <c r="H2399">
        <f t="shared" si="320"/>
        <v>3</v>
      </c>
      <c r="I2399" t="str">
        <f t="shared" si="318"/>
        <v>Tuesday</v>
      </c>
      <c r="L2399">
        <f t="shared" si="321"/>
        <v>0</v>
      </c>
    </row>
    <row r="2400" spans="1:12" x14ac:dyDescent="0.25">
      <c r="A2400">
        <v>217971206</v>
      </c>
      <c r="B2400" s="1">
        <v>45104</v>
      </c>
      <c r="C2400" s="1">
        <v>45125</v>
      </c>
      <c r="D2400" t="s">
        <v>7</v>
      </c>
      <c r="E2400">
        <v>39</v>
      </c>
      <c r="F2400" t="s">
        <v>6</v>
      </c>
      <c r="G2400" s="8">
        <f t="shared" si="319"/>
        <v>21</v>
      </c>
      <c r="H2400">
        <f t="shared" si="320"/>
        <v>3</v>
      </c>
      <c r="I2400" t="str">
        <f t="shared" si="318"/>
        <v>Tuesday</v>
      </c>
      <c r="L2400">
        <f t="shared" si="321"/>
        <v>0</v>
      </c>
    </row>
    <row r="2401" spans="1:12" x14ac:dyDescent="0.25">
      <c r="A2401">
        <v>217943053</v>
      </c>
      <c r="B2401" s="1">
        <v>45104</v>
      </c>
      <c r="C2401" s="1">
        <v>45124</v>
      </c>
      <c r="D2401" t="s">
        <v>7</v>
      </c>
      <c r="E2401">
        <v>39</v>
      </c>
      <c r="F2401" t="s">
        <v>6</v>
      </c>
      <c r="G2401" s="8">
        <f t="shared" si="319"/>
        <v>20</v>
      </c>
      <c r="H2401">
        <f t="shared" si="320"/>
        <v>3</v>
      </c>
      <c r="I2401" t="str">
        <f t="shared" si="318"/>
        <v>Tuesday</v>
      </c>
      <c r="L2401">
        <f t="shared" si="321"/>
        <v>0</v>
      </c>
    </row>
    <row r="2402" spans="1:12" x14ac:dyDescent="0.25">
      <c r="A2402">
        <v>218004764</v>
      </c>
      <c r="B2402" s="1">
        <v>45105</v>
      </c>
      <c r="C2402" s="1">
        <f t="shared" ref="C2402:C2405" ca="1" si="324">TODAY()</f>
        <v>45938</v>
      </c>
      <c r="D2402" t="s">
        <v>7</v>
      </c>
      <c r="E2402">
        <v>39</v>
      </c>
      <c r="F2402" t="s">
        <v>6</v>
      </c>
      <c r="G2402" s="8">
        <f t="shared" ca="1" si="319"/>
        <v>833</v>
      </c>
      <c r="H2402">
        <f t="shared" si="320"/>
        <v>4</v>
      </c>
      <c r="I2402" t="str">
        <f t="shared" si="318"/>
        <v>Wednesday</v>
      </c>
      <c r="L2402">
        <f t="shared" ca="1" si="321"/>
        <v>0</v>
      </c>
    </row>
    <row r="2403" spans="1:12" x14ac:dyDescent="0.25">
      <c r="A2403">
        <v>217768772</v>
      </c>
      <c r="B2403" s="1">
        <v>45105</v>
      </c>
      <c r="C2403" s="1">
        <f t="shared" ca="1" si="324"/>
        <v>45938</v>
      </c>
      <c r="D2403" t="s">
        <v>7</v>
      </c>
      <c r="E2403">
        <v>39</v>
      </c>
      <c r="F2403" t="s">
        <v>6</v>
      </c>
      <c r="G2403" s="8">
        <f t="shared" ca="1" si="319"/>
        <v>833</v>
      </c>
      <c r="H2403">
        <f t="shared" si="320"/>
        <v>4</v>
      </c>
      <c r="I2403" t="str">
        <f t="shared" si="318"/>
        <v>Wednesday</v>
      </c>
      <c r="L2403">
        <f t="shared" ca="1" si="321"/>
        <v>0</v>
      </c>
    </row>
    <row r="2404" spans="1:12" x14ac:dyDescent="0.25">
      <c r="A2404">
        <v>216775344</v>
      </c>
      <c r="B2404" s="1">
        <v>45105</v>
      </c>
      <c r="C2404" s="1">
        <f t="shared" ca="1" si="324"/>
        <v>45938</v>
      </c>
      <c r="D2404" t="s">
        <v>7</v>
      </c>
      <c r="E2404">
        <v>39</v>
      </c>
      <c r="F2404" t="s">
        <v>6</v>
      </c>
      <c r="G2404" s="8">
        <f t="shared" ca="1" si="319"/>
        <v>833</v>
      </c>
      <c r="H2404">
        <f t="shared" si="320"/>
        <v>4</v>
      </c>
      <c r="I2404" t="str">
        <f t="shared" si="318"/>
        <v>Wednesday</v>
      </c>
      <c r="L2404">
        <f t="shared" ca="1" si="321"/>
        <v>0</v>
      </c>
    </row>
    <row r="2405" spans="1:12" x14ac:dyDescent="0.25">
      <c r="A2405">
        <v>135364787</v>
      </c>
      <c r="B2405" s="1">
        <v>45105</v>
      </c>
      <c r="C2405" s="1">
        <f t="shared" ca="1" si="324"/>
        <v>45938</v>
      </c>
      <c r="D2405" t="s">
        <v>7</v>
      </c>
      <c r="E2405">
        <v>39</v>
      </c>
      <c r="F2405" t="s">
        <v>6</v>
      </c>
      <c r="G2405" s="8">
        <f t="shared" ca="1" si="319"/>
        <v>833</v>
      </c>
      <c r="H2405">
        <f t="shared" si="320"/>
        <v>4</v>
      </c>
      <c r="I2405" t="str">
        <f t="shared" si="318"/>
        <v>Wednesday</v>
      </c>
      <c r="L2405">
        <f t="shared" ca="1" si="321"/>
        <v>0</v>
      </c>
    </row>
    <row r="2406" spans="1:12" x14ac:dyDescent="0.25">
      <c r="A2406">
        <v>148107179</v>
      </c>
      <c r="B2406" s="1">
        <v>45105</v>
      </c>
      <c r="C2406" s="1">
        <v>45142</v>
      </c>
      <c r="D2406" t="s">
        <v>7</v>
      </c>
      <c r="E2406">
        <v>39</v>
      </c>
      <c r="F2406" t="s">
        <v>6</v>
      </c>
      <c r="G2406" s="8">
        <f t="shared" si="319"/>
        <v>37</v>
      </c>
      <c r="H2406">
        <f t="shared" si="320"/>
        <v>4</v>
      </c>
      <c r="I2406" t="str">
        <f t="shared" si="318"/>
        <v>Wednesday</v>
      </c>
      <c r="L2406">
        <f t="shared" si="321"/>
        <v>0</v>
      </c>
    </row>
    <row r="2407" spans="1:12" x14ac:dyDescent="0.25">
      <c r="A2407">
        <v>215904194</v>
      </c>
      <c r="B2407" s="1">
        <v>45105</v>
      </c>
      <c r="C2407" s="1">
        <v>45129</v>
      </c>
      <c r="D2407" t="s">
        <v>7</v>
      </c>
      <c r="E2407">
        <v>39</v>
      </c>
      <c r="F2407" t="s">
        <v>6</v>
      </c>
      <c r="G2407" s="8">
        <f t="shared" si="319"/>
        <v>24</v>
      </c>
      <c r="H2407">
        <f t="shared" si="320"/>
        <v>4</v>
      </c>
      <c r="I2407" t="str">
        <f t="shared" si="318"/>
        <v>Wednesday</v>
      </c>
      <c r="L2407">
        <f t="shared" si="321"/>
        <v>0</v>
      </c>
    </row>
    <row r="2408" spans="1:12" x14ac:dyDescent="0.25">
      <c r="A2408">
        <v>217988577</v>
      </c>
      <c r="B2408" s="1">
        <v>45105</v>
      </c>
      <c r="C2408" s="1">
        <v>45133</v>
      </c>
      <c r="D2408" t="s">
        <v>7</v>
      </c>
      <c r="E2408">
        <v>39</v>
      </c>
      <c r="F2408" t="s">
        <v>6</v>
      </c>
      <c r="G2408" s="8">
        <f t="shared" si="319"/>
        <v>28</v>
      </c>
      <c r="H2408">
        <f t="shared" si="320"/>
        <v>4</v>
      </c>
      <c r="I2408" t="str">
        <f t="shared" si="318"/>
        <v>Wednesday</v>
      </c>
      <c r="L2408">
        <f t="shared" si="321"/>
        <v>0</v>
      </c>
    </row>
    <row r="2409" spans="1:12" x14ac:dyDescent="0.25">
      <c r="A2409">
        <v>146124679</v>
      </c>
      <c r="B2409" s="1">
        <v>45105</v>
      </c>
      <c r="C2409" s="1">
        <v>45135</v>
      </c>
      <c r="D2409" t="s">
        <v>7</v>
      </c>
      <c r="E2409">
        <v>39</v>
      </c>
      <c r="F2409" t="s">
        <v>6</v>
      </c>
      <c r="G2409" s="8">
        <f t="shared" si="319"/>
        <v>30</v>
      </c>
      <c r="H2409">
        <f t="shared" si="320"/>
        <v>4</v>
      </c>
      <c r="I2409" t="str">
        <f t="shared" si="318"/>
        <v>Wednesday</v>
      </c>
      <c r="L2409">
        <f t="shared" si="321"/>
        <v>0</v>
      </c>
    </row>
    <row r="2410" spans="1:12" x14ac:dyDescent="0.25">
      <c r="A2410">
        <v>217819772</v>
      </c>
      <c r="B2410" s="1">
        <v>45106</v>
      </c>
      <c r="C2410" s="1">
        <f t="shared" ref="C2410:C2413" ca="1" si="325">TODAY()</f>
        <v>45938</v>
      </c>
      <c r="D2410" t="s">
        <v>7</v>
      </c>
      <c r="E2410">
        <v>39</v>
      </c>
      <c r="F2410" t="s">
        <v>6</v>
      </c>
      <c r="G2410" s="8">
        <f t="shared" ca="1" si="319"/>
        <v>832</v>
      </c>
      <c r="H2410">
        <f t="shared" si="320"/>
        <v>5</v>
      </c>
      <c r="I2410" t="str">
        <f t="shared" si="318"/>
        <v>Thursday</v>
      </c>
      <c r="L2410">
        <f t="shared" ca="1" si="321"/>
        <v>0</v>
      </c>
    </row>
    <row r="2411" spans="1:12" x14ac:dyDescent="0.25">
      <c r="A2411">
        <v>217996629</v>
      </c>
      <c r="B2411" s="1">
        <v>45106</v>
      </c>
      <c r="C2411" s="1">
        <f t="shared" ca="1" si="325"/>
        <v>45938</v>
      </c>
      <c r="D2411" t="s">
        <v>7</v>
      </c>
      <c r="E2411">
        <v>39</v>
      </c>
      <c r="F2411" t="s">
        <v>6</v>
      </c>
      <c r="G2411" s="8">
        <f t="shared" ca="1" si="319"/>
        <v>832</v>
      </c>
      <c r="H2411">
        <f t="shared" si="320"/>
        <v>5</v>
      </c>
      <c r="I2411" t="str">
        <f t="shared" si="318"/>
        <v>Thursday</v>
      </c>
      <c r="L2411">
        <f t="shared" ca="1" si="321"/>
        <v>0</v>
      </c>
    </row>
    <row r="2412" spans="1:12" x14ac:dyDescent="0.25">
      <c r="A2412">
        <v>152621756</v>
      </c>
      <c r="B2412" s="1">
        <v>45106</v>
      </c>
      <c r="C2412" s="1">
        <f t="shared" ca="1" si="325"/>
        <v>45938</v>
      </c>
      <c r="D2412" t="s">
        <v>7</v>
      </c>
      <c r="E2412">
        <v>39</v>
      </c>
      <c r="F2412" t="s">
        <v>6</v>
      </c>
      <c r="G2412" s="8">
        <f t="shared" ca="1" si="319"/>
        <v>832</v>
      </c>
      <c r="H2412">
        <f t="shared" si="320"/>
        <v>5</v>
      </c>
      <c r="I2412" t="str">
        <f t="shared" si="318"/>
        <v>Thursday</v>
      </c>
      <c r="L2412">
        <f t="shared" ca="1" si="321"/>
        <v>0</v>
      </c>
    </row>
    <row r="2413" spans="1:12" x14ac:dyDescent="0.25">
      <c r="A2413">
        <v>218006807</v>
      </c>
      <c r="B2413" s="1">
        <v>45106</v>
      </c>
      <c r="C2413" s="1">
        <f t="shared" ca="1" si="325"/>
        <v>45938</v>
      </c>
      <c r="D2413" t="s">
        <v>7</v>
      </c>
      <c r="E2413">
        <v>39</v>
      </c>
      <c r="F2413" t="s">
        <v>6</v>
      </c>
      <c r="G2413" s="8">
        <f t="shared" ca="1" si="319"/>
        <v>832</v>
      </c>
      <c r="H2413">
        <f t="shared" si="320"/>
        <v>5</v>
      </c>
      <c r="I2413" t="str">
        <f t="shared" si="318"/>
        <v>Thursday</v>
      </c>
      <c r="L2413">
        <f t="shared" ca="1" si="321"/>
        <v>0</v>
      </c>
    </row>
    <row r="2414" spans="1:12" x14ac:dyDescent="0.25">
      <c r="A2414">
        <v>218045202</v>
      </c>
      <c r="B2414" s="1">
        <v>45106</v>
      </c>
      <c r="C2414" s="1">
        <v>45167</v>
      </c>
      <c r="D2414" t="s">
        <v>7</v>
      </c>
      <c r="E2414">
        <v>39</v>
      </c>
      <c r="F2414" t="s">
        <v>6</v>
      </c>
      <c r="G2414" s="8">
        <f t="shared" si="319"/>
        <v>61</v>
      </c>
      <c r="H2414">
        <f t="shared" si="320"/>
        <v>5</v>
      </c>
      <c r="I2414" t="str">
        <f t="shared" si="318"/>
        <v>Thursday</v>
      </c>
      <c r="L2414">
        <f t="shared" si="321"/>
        <v>0</v>
      </c>
    </row>
    <row r="2415" spans="1:12" x14ac:dyDescent="0.25">
      <c r="A2415">
        <v>122215146</v>
      </c>
      <c r="B2415" s="1">
        <v>45106</v>
      </c>
      <c r="C2415" s="1">
        <v>45151</v>
      </c>
      <c r="D2415" t="s">
        <v>7</v>
      </c>
      <c r="E2415">
        <v>39</v>
      </c>
      <c r="F2415" t="s">
        <v>6</v>
      </c>
      <c r="G2415" s="8">
        <f t="shared" si="319"/>
        <v>45</v>
      </c>
      <c r="H2415">
        <f t="shared" si="320"/>
        <v>5</v>
      </c>
      <c r="I2415" t="str">
        <f t="shared" si="318"/>
        <v>Thursday</v>
      </c>
      <c r="L2415">
        <f t="shared" si="321"/>
        <v>0</v>
      </c>
    </row>
    <row r="2416" spans="1:12" x14ac:dyDescent="0.25">
      <c r="A2416">
        <v>218003864</v>
      </c>
      <c r="B2416" s="1">
        <v>45106</v>
      </c>
      <c r="C2416" s="1">
        <v>45135</v>
      </c>
      <c r="D2416" t="s">
        <v>7</v>
      </c>
      <c r="E2416">
        <v>39</v>
      </c>
      <c r="F2416" t="s">
        <v>6</v>
      </c>
      <c r="G2416" s="8">
        <f t="shared" si="319"/>
        <v>29</v>
      </c>
      <c r="H2416">
        <f t="shared" si="320"/>
        <v>5</v>
      </c>
      <c r="I2416" t="str">
        <f t="shared" si="318"/>
        <v>Thursday</v>
      </c>
      <c r="L2416">
        <f t="shared" si="321"/>
        <v>0</v>
      </c>
    </row>
    <row r="2417" spans="1:12" x14ac:dyDescent="0.25">
      <c r="A2417">
        <v>218088770</v>
      </c>
      <c r="B2417" s="1">
        <v>45107</v>
      </c>
      <c r="C2417" s="1">
        <f t="shared" ref="C2417:C2425" ca="1" si="326">TODAY()</f>
        <v>45938</v>
      </c>
      <c r="D2417" t="s">
        <v>7</v>
      </c>
      <c r="E2417">
        <v>39</v>
      </c>
      <c r="F2417" t="s">
        <v>6</v>
      </c>
      <c r="G2417" s="8">
        <f t="shared" ca="1" si="319"/>
        <v>831</v>
      </c>
      <c r="H2417">
        <f t="shared" si="320"/>
        <v>6</v>
      </c>
      <c r="I2417" t="str">
        <f t="shared" si="318"/>
        <v>Friday</v>
      </c>
      <c r="L2417">
        <f t="shared" ca="1" si="321"/>
        <v>0</v>
      </c>
    </row>
    <row r="2418" spans="1:12" x14ac:dyDescent="0.25">
      <c r="A2418">
        <v>217856893</v>
      </c>
      <c r="B2418" s="1">
        <v>45107</v>
      </c>
      <c r="C2418" s="1">
        <f t="shared" ca="1" si="326"/>
        <v>45938</v>
      </c>
      <c r="D2418" t="s">
        <v>7</v>
      </c>
      <c r="E2418">
        <v>39</v>
      </c>
      <c r="F2418" t="s">
        <v>6</v>
      </c>
      <c r="G2418" s="8">
        <f t="shared" ca="1" si="319"/>
        <v>831</v>
      </c>
      <c r="H2418">
        <f t="shared" si="320"/>
        <v>6</v>
      </c>
      <c r="I2418" t="str">
        <f t="shared" si="318"/>
        <v>Friday</v>
      </c>
      <c r="L2418">
        <f t="shared" ca="1" si="321"/>
        <v>0</v>
      </c>
    </row>
    <row r="2419" spans="1:12" x14ac:dyDescent="0.25">
      <c r="A2419">
        <v>156054912</v>
      </c>
      <c r="B2419" s="1">
        <v>45107</v>
      </c>
      <c r="C2419" s="1">
        <f t="shared" ca="1" si="326"/>
        <v>45938</v>
      </c>
      <c r="D2419" t="s">
        <v>7</v>
      </c>
      <c r="E2419">
        <v>39</v>
      </c>
      <c r="F2419" t="s">
        <v>6</v>
      </c>
      <c r="G2419" s="8">
        <f t="shared" ca="1" si="319"/>
        <v>831</v>
      </c>
      <c r="H2419">
        <f t="shared" si="320"/>
        <v>6</v>
      </c>
      <c r="I2419" t="str">
        <f t="shared" si="318"/>
        <v>Friday</v>
      </c>
      <c r="L2419">
        <f t="shared" ca="1" si="321"/>
        <v>0</v>
      </c>
    </row>
    <row r="2420" spans="1:12" x14ac:dyDescent="0.25">
      <c r="A2420">
        <v>218059054</v>
      </c>
      <c r="B2420" s="1">
        <v>45107</v>
      </c>
      <c r="C2420" s="1">
        <f t="shared" ca="1" si="326"/>
        <v>45938</v>
      </c>
      <c r="D2420" t="s">
        <v>7</v>
      </c>
      <c r="E2420">
        <v>39</v>
      </c>
      <c r="F2420" t="s">
        <v>6</v>
      </c>
      <c r="G2420" s="8">
        <f t="shared" ca="1" si="319"/>
        <v>831</v>
      </c>
      <c r="H2420">
        <f t="shared" si="320"/>
        <v>6</v>
      </c>
      <c r="I2420" t="str">
        <f t="shared" si="318"/>
        <v>Friday</v>
      </c>
      <c r="L2420">
        <f t="shared" ca="1" si="321"/>
        <v>0</v>
      </c>
    </row>
    <row r="2421" spans="1:12" x14ac:dyDescent="0.25">
      <c r="A2421">
        <v>218074245</v>
      </c>
      <c r="B2421" s="1">
        <v>45107</v>
      </c>
      <c r="C2421" s="1">
        <f t="shared" ca="1" si="326"/>
        <v>45938</v>
      </c>
      <c r="D2421" t="s">
        <v>7</v>
      </c>
      <c r="E2421">
        <v>39</v>
      </c>
      <c r="F2421" t="s">
        <v>6</v>
      </c>
      <c r="G2421" s="8">
        <f t="shared" ca="1" si="319"/>
        <v>831</v>
      </c>
      <c r="H2421">
        <f t="shared" si="320"/>
        <v>6</v>
      </c>
      <c r="I2421" t="str">
        <f t="shared" si="318"/>
        <v>Friday</v>
      </c>
      <c r="L2421">
        <f t="shared" ca="1" si="321"/>
        <v>0</v>
      </c>
    </row>
    <row r="2422" spans="1:12" x14ac:dyDescent="0.25">
      <c r="A2422">
        <v>204774586</v>
      </c>
      <c r="B2422" s="1">
        <v>45107</v>
      </c>
      <c r="C2422" s="1">
        <f t="shared" ca="1" si="326"/>
        <v>45938</v>
      </c>
      <c r="D2422" t="s">
        <v>7</v>
      </c>
      <c r="E2422">
        <v>39</v>
      </c>
      <c r="F2422" t="s">
        <v>6</v>
      </c>
      <c r="G2422" s="8">
        <f t="shared" ca="1" si="319"/>
        <v>831</v>
      </c>
      <c r="H2422">
        <f t="shared" si="320"/>
        <v>6</v>
      </c>
      <c r="I2422" t="str">
        <f t="shared" si="318"/>
        <v>Friday</v>
      </c>
      <c r="L2422">
        <f t="shared" ca="1" si="321"/>
        <v>0</v>
      </c>
    </row>
    <row r="2423" spans="1:12" x14ac:dyDescent="0.25">
      <c r="A2423">
        <v>215941440</v>
      </c>
      <c r="B2423" s="1">
        <v>45107</v>
      </c>
      <c r="C2423" s="1">
        <f t="shared" ca="1" si="326"/>
        <v>45938</v>
      </c>
      <c r="D2423" t="s">
        <v>7</v>
      </c>
      <c r="E2423">
        <v>39</v>
      </c>
      <c r="F2423" t="s">
        <v>6</v>
      </c>
      <c r="G2423" s="8">
        <f t="shared" ca="1" si="319"/>
        <v>831</v>
      </c>
      <c r="H2423">
        <f t="shared" si="320"/>
        <v>6</v>
      </c>
      <c r="I2423" t="str">
        <f t="shared" si="318"/>
        <v>Friday</v>
      </c>
      <c r="L2423">
        <f t="shared" ca="1" si="321"/>
        <v>0</v>
      </c>
    </row>
    <row r="2424" spans="1:12" x14ac:dyDescent="0.25">
      <c r="A2424">
        <v>205547323</v>
      </c>
      <c r="B2424" s="1">
        <v>45107</v>
      </c>
      <c r="C2424" s="1">
        <f t="shared" ca="1" si="326"/>
        <v>45938</v>
      </c>
      <c r="D2424" t="s">
        <v>8</v>
      </c>
      <c r="E2424">
        <v>39</v>
      </c>
      <c r="F2424" t="s">
        <v>6</v>
      </c>
      <c r="G2424" s="8">
        <f t="shared" ca="1" si="319"/>
        <v>831</v>
      </c>
      <c r="H2424">
        <f t="shared" si="320"/>
        <v>6</v>
      </c>
      <c r="I2424" t="str">
        <f t="shared" si="318"/>
        <v>Friday</v>
      </c>
      <c r="L2424">
        <f t="shared" ca="1" si="321"/>
        <v>0</v>
      </c>
    </row>
    <row r="2425" spans="1:12" x14ac:dyDescent="0.25">
      <c r="A2425">
        <v>140062581</v>
      </c>
      <c r="B2425" s="1">
        <v>45107</v>
      </c>
      <c r="C2425" s="1">
        <f t="shared" ca="1" si="326"/>
        <v>45938</v>
      </c>
      <c r="D2425" t="s">
        <v>7</v>
      </c>
      <c r="E2425">
        <v>39</v>
      </c>
      <c r="F2425" t="s">
        <v>6</v>
      </c>
      <c r="G2425" s="8">
        <f t="shared" ca="1" si="319"/>
        <v>831</v>
      </c>
      <c r="H2425">
        <f t="shared" si="320"/>
        <v>6</v>
      </c>
      <c r="I2425" t="str">
        <f t="shared" si="318"/>
        <v>Friday</v>
      </c>
      <c r="L2425">
        <f t="shared" ca="1" si="321"/>
        <v>0</v>
      </c>
    </row>
    <row r="2426" spans="1:12" x14ac:dyDescent="0.25">
      <c r="A2426">
        <v>217932519</v>
      </c>
      <c r="B2426" s="1">
        <v>45107</v>
      </c>
      <c r="C2426" s="1">
        <v>45108</v>
      </c>
      <c r="D2426" t="s">
        <v>7</v>
      </c>
      <c r="E2426">
        <v>39</v>
      </c>
      <c r="F2426" t="s">
        <v>6</v>
      </c>
      <c r="G2426" s="8">
        <f t="shared" si="319"/>
        <v>1</v>
      </c>
      <c r="H2426">
        <f t="shared" si="320"/>
        <v>6</v>
      </c>
      <c r="I2426" t="str">
        <f t="shared" si="318"/>
        <v>Friday</v>
      </c>
      <c r="L2426">
        <f t="shared" si="321"/>
        <v>1</v>
      </c>
    </row>
    <row r="2427" spans="1:12" x14ac:dyDescent="0.25">
      <c r="A2427">
        <v>217982048</v>
      </c>
      <c r="B2427" s="1">
        <v>45107</v>
      </c>
      <c r="C2427" s="1">
        <v>45108</v>
      </c>
      <c r="D2427" t="s">
        <v>8</v>
      </c>
      <c r="E2427">
        <v>39</v>
      </c>
      <c r="F2427" t="s">
        <v>6</v>
      </c>
      <c r="G2427" s="8">
        <f t="shared" si="319"/>
        <v>1</v>
      </c>
      <c r="H2427">
        <f t="shared" si="320"/>
        <v>6</v>
      </c>
      <c r="I2427" t="str">
        <f t="shared" si="318"/>
        <v>Friday</v>
      </c>
      <c r="L2427">
        <f t="shared" si="321"/>
        <v>1</v>
      </c>
    </row>
    <row r="2428" spans="1:12" x14ac:dyDescent="0.25">
      <c r="A2428">
        <v>218066467</v>
      </c>
      <c r="B2428" s="1">
        <v>45107</v>
      </c>
      <c r="C2428" s="1">
        <v>45169</v>
      </c>
      <c r="D2428" t="s">
        <v>7</v>
      </c>
      <c r="E2428">
        <v>39</v>
      </c>
      <c r="F2428" t="s">
        <v>6</v>
      </c>
      <c r="G2428" s="8">
        <f t="shared" si="319"/>
        <v>62</v>
      </c>
      <c r="H2428">
        <f t="shared" si="320"/>
        <v>6</v>
      </c>
      <c r="I2428" t="str">
        <f t="shared" si="318"/>
        <v>Friday</v>
      </c>
      <c r="L2428">
        <f t="shared" si="321"/>
        <v>0</v>
      </c>
    </row>
    <row r="2429" spans="1:12" x14ac:dyDescent="0.25">
      <c r="A2429">
        <v>218046034</v>
      </c>
      <c r="B2429" s="1">
        <v>45107</v>
      </c>
      <c r="C2429" s="1">
        <v>45175</v>
      </c>
      <c r="D2429" t="s">
        <v>7</v>
      </c>
      <c r="E2429">
        <v>39</v>
      </c>
      <c r="F2429" t="s">
        <v>6</v>
      </c>
      <c r="G2429" s="8">
        <f t="shared" si="319"/>
        <v>68</v>
      </c>
      <c r="H2429">
        <f t="shared" si="320"/>
        <v>6</v>
      </c>
      <c r="I2429" t="str">
        <f t="shared" si="318"/>
        <v>Friday</v>
      </c>
      <c r="L2429">
        <f t="shared" si="321"/>
        <v>0</v>
      </c>
    </row>
    <row r="2430" spans="1:12" x14ac:dyDescent="0.25">
      <c r="A2430">
        <v>217697744</v>
      </c>
      <c r="B2430" s="1">
        <v>45107</v>
      </c>
      <c r="C2430" s="1">
        <v>45134</v>
      </c>
      <c r="D2430" t="s">
        <v>7</v>
      </c>
      <c r="E2430">
        <v>39</v>
      </c>
      <c r="F2430" t="s">
        <v>6</v>
      </c>
      <c r="G2430" s="8">
        <f t="shared" si="319"/>
        <v>27</v>
      </c>
      <c r="H2430">
        <f t="shared" si="320"/>
        <v>6</v>
      </c>
      <c r="I2430" t="str">
        <f t="shared" si="318"/>
        <v>Friday</v>
      </c>
      <c r="L2430">
        <f t="shared" si="321"/>
        <v>0</v>
      </c>
    </row>
    <row r="2431" spans="1:12" x14ac:dyDescent="0.25">
      <c r="A2431">
        <v>217942738</v>
      </c>
      <c r="B2431" s="1">
        <v>45108</v>
      </c>
      <c r="C2431" s="1">
        <f t="shared" ref="C2431:C2436" ca="1" si="327">TODAY()</f>
        <v>45938</v>
      </c>
      <c r="D2431" t="s">
        <v>7</v>
      </c>
      <c r="E2431">
        <v>39</v>
      </c>
      <c r="F2431" t="s">
        <v>6</v>
      </c>
      <c r="G2431" s="8">
        <f t="shared" ca="1" si="319"/>
        <v>830</v>
      </c>
      <c r="H2431">
        <f t="shared" si="320"/>
        <v>7</v>
      </c>
      <c r="I2431" t="str">
        <f t="shared" si="318"/>
        <v>Saturday</v>
      </c>
      <c r="L2431">
        <f t="shared" ca="1" si="321"/>
        <v>0</v>
      </c>
    </row>
    <row r="2432" spans="1:12" x14ac:dyDescent="0.25">
      <c r="A2432">
        <v>218133628</v>
      </c>
      <c r="B2432" s="1">
        <v>45108</v>
      </c>
      <c r="C2432" s="1">
        <f t="shared" ca="1" si="327"/>
        <v>45938</v>
      </c>
      <c r="D2432" t="s">
        <v>7</v>
      </c>
      <c r="E2432">
        <v>39</v>
      </c>
      <c r="F2432" t="s">
        <v>6</v>
      </c>
      <c r="G2432" s="8">
        <f t="shared" ca="1" si="319"/>
        <v>830</v>
      </c>
      <c r="H2432">
        <f t="shared" si="320"/>
        <v>7</v>
      </c>
      <c r="I2432" t="str">
        <f t="shared" si="318"/>
        <v>Saturday</v>
      </c>
      <c r="L2432">
        <f t="shared" ca="1" si="321"/>
        <v>0</v>
      </c>
    </row>
    <row r="2433" spans="1:12" x14ac:dyDescent="0.25">
      <c r="A2433">
        <v>118508852</v>
      </c>
      <c r="B2433" s="1">
        <v>45108</v>
      </c>
      <c r="C2433" s="1">
        <f t="shared" ca="1" si="327"/>
        <v>45938</v>
      </c>
      <c r="D2433" t="s">
        <v>7</v>
      </c>
      <c r="E2433">
        <v>39</v>
      </c>
      <c r="F2433" t="s">
        <v>6</v>
      </c>
      <c r="G2433" s="8">
        <f t="shared" ca="1" si="319"/>
        <v>830</v>
      </c>
      <c r="H2433">
        <f t="shared" si="320"/>
        <v>7</v>
      </c>
      <c r="I2433" t="str">
        <f t="shared" si="318"/>
        <v>Saturday</v>
      </c>
      <c r="L2433">
        <f t="shared" ca="1" si="321"/>
        <v>0</v>
      </c>
    </row>
    <row r="2434" spans="1:12" x14ac:dyDescent="0.25">
      <c r="A2434">
        <v>218120267</v>
      </c>
      <c r="B2434" s="1">
        <v>45108</v>
      </c>
      <c r="C2434" s="1">
        <f t="shared" ca="1" si="327"/>
        <v>45938</v>
      </c>
      <c r="D2434" t="s">
        <v>7</v>
      </c>
      <c r="E2434">
        <v>39</v>
      </c>
      <c r="F2434" t="s">
        <v>6</v>
      </c>
      <c r="G2434" s="8">
        <f t="shared" ca="1" si="319"/>
        <v>830</v>
      </c>
      <c r="H2434">
        <f t="shared" si="320"/>
        <v>7</v>
      </c>
      <c r="I2434" t="str">
        <f t="shared" ref="I2434:I2497" si="328">TEXT(B2434,"DDDD")</f>
        <v>Saturday</v>
      </c>
      <c r="L2434">
        <f t="shared" ca="1" si="321"/>
        <v>0</v>
      </c>
    </row>
    <row r="2435" spans="1:12" x14ac:dyDescent="0.25">
      <c r="A2435">
        <v>218095541</v>
      </c>
      <c r="B2435" s="1">
        <v>45108</v>
      </c>
      <c r="C2435" s="1">
        <f t="shared" ca="1" si="327"/>
        <v>45938</v>
      </c>
      <c r="D2435" t="s">
        <v>7</v>
      </c>
      <c r="E2435">
        <v>39</v>
      </c>
      <c r="F2435" t="s">
        <v>6</v>
      </c>
      <c r="G2435" s="8">
        <f t="shared" ref="G2435:G2498" ca="1" si="329">IFERROR(DATEDIF(B2435,C2435,"D"),"0")</f>
        <v>830</v>
      </c>
      <c r="H2435">
        <f t="shared" ref="H2435:H2498" si="330">WEEKDAY(B2435,1)</f>
        <v>7</v>
      </c>
      <c r="I2435" t="str">
        <f t="shared" si="328"/>
        <v>Saturday</v>
      </c>
      <c r="L2435">
        <f t="shared" ref="L2435:L2498" ca="1" si="331">IF( OR($G2435=0,$G2435 = 1, $G2435 = 2), 1, 0 )</f>
        <v>0</v>
      </c>
    </row>
    <row r="2436" spans="1:12" x14ac:dyDescent="0.25">
      <c r="A2436">
        <v>217626801</v>
      </c>
      <c r="B2436" s="1">
        <v>45108</v>
      </c>
      <c r="C2436" s="1">
        <f t="shared" ca="1" si="327"/>
        <v>45938</v>
      </c>
      <c r="D2436" t="s">
        <v>7</v>
      </c>
      <c r="E2436">
        <v>39</v>
      </c>
      <c r="F2436" t="s">
        <v>6</v>
      </c>
      <c r="G2436" s="8">
        <f t="shared" ca="1" si="329"/>
        <v>830</v>
      </c>
      <c r="H2436">
        <f t="shared" si="330"/>
        <v>7</v>
      </c>
      <c r="I2436" t="str">
        <f t="shared" si="328"/>
        <v>Saturday</v>
      </c>
      <c r="L2436">
        <f t="shared" ca="1" si="331"/>
        <v>0</v>
      </c>
    </row>
    <row r="2437" spans="1:12" x14ac:dyDescent="0.25">
      <c r="A2437">
        <v>151555660</v>
      </c>
      <c r="B2437" s="1">
        <v>45108</v>
      </c>
      <c r="C2437" s="1">
        <v>45169</v>
      </c>
      <c r="D2437" t="s">
        <v>7</v>
      </c>
      <c r="E2437">
        <v>39</v>
      </c>
      <c r="F2437" t="s">
        <v>6</v>
      </c>
      <c r="G2437" s="8">
        <f t="shared" si="329"/>
        <v>61</v>
      </c>
      <c r="H2437">
        <f t="shared" si="330"/>
        <v>7</v>
      </c>
      <c r="I2437" t="str">
        <f t="shared" si="328"/>
        <v>Saturday</v>
      </c>
      <c r="L2437">
        <f t="shared" si="331"/>
        <v>0</v>
      </c>
    </row>
    <row r="2438" spans="1:12" x14ac:dyDescent="0.25">
      <c r="A2438">
        <v>217110820</v>
      </c>
      <c r="B2438" s="1">
        <v>45108</v>
      </c>
      <c r="C2438" s="1">
        <v>45142</v>
      </c>
      <c r="D2438" t="s">
        <v>7</v>
      </c>
      <c r="E2438">
        <v>39</v>
      </c>
      <c r="F2438" t="s">
        <v>6</v>
      </c>
      <c r="G2438" s="8">
        <f t="shared" si="329"/>
        <v>34</v>
      </c>
      <c r="H2438">
        <f t="shared" si="330"/>
        <v>7</v>
      </c>
      <c r="I2438" t="str">
        <f t="shared" si="328"/>
        <v>Saturday</v>
      </c>
      <c r="L2438">
        <f t="shared" si="331"/>
        <v>0</v>
      </c>
    </row>
    <row r="2439" spans="1:12" x14ac:dyDescent="0.25">
      <c r="A2439">
        <v>217932519</v>
      </c>
      <c r="B2439" s="1">
        <v>45108</v>
      </c>
      <c r="C2439" s="1">
        <v>45169</v>
      </c>
      <c r="D2439" t="s">
        <v>7</v>
      </c>
      <c r="E2439">
        <v>39</v>
      </c>
      <c r="F2439" t="s">
        <v>6</v>
      </c>
      <c r="G2439" s="8">
        <f t="shared" si="329"/>
        <v>61</v>
      </c>
      <c r="H2439">
        <f t="shared" si="330"/>
        <v>7</v>
      </c>
      <c r="I2439" t="str">
        <f t="shared" si="328"/>
        <v>Saturday</v>
      </c>
      <c r="L2439">
        <f t="shared" si="331"/>
        <v>0</v>
      </c>
    </row>
    <row r="2440" spans="1:12" x14ac:dyDescent="0.25">
      <c r="A2440">
        <v>218164848</v>
      </c>
      <c r="B2440" s="1">
        <v>45109</v>
      </c>
      <c r="C2440" s="1">
        <f t="shared" ref="C2440:C2443" ca="1" si="332">TODAY()</f>
        <v>45938</v>
      </c>
      <c r="D2440" t="s">
        <v>7</v>
      </c>
      <c r="E2440">
        <v>39</v>
      </c>
      <c r="F2440" t="s">
        <v>6</v>
      </c>
      <c r="G2440" s="8">
        <f t="shared" ca="1" si="329"/>
        <v>829</v>
      </c>
      <c r="H2440">
        <f t="shared" si="330"/>
        <v>1</v>
      </c>
      <c r="I2440" t="str">
        <f t="shared" si="328"/>
        <v>Sunday</v>
      </c>
      <c r="L2440">
        <f t="shared" ca="1" si="331"/>
        <v>0</v>
      </c>
    </row>
    <row r="2441" spans="1:12" x14ac:dyDescent="0.25">
      <c r="A2441">
        <v>217526484</v>
      </c>
      <c r="B2441" s="1">
        <v>45109</v>
      </c>
      <c r="C2441" s="1">
        <f t="shared" ca="1" si="332"/>
        <v>45938</v>
      </c>
      <c r="D2441" t="s">
        <v>7</v>
      </c>
      <c r="E2441">
        <v>39</v>
      </c>
      <c r="F2441" t="s">
        <v>6</v>
      </c>
      <c r="G2441" s="8">
        <f t="shared" ca="1" si="329"/>
        <v>829</v>
      </c>
      <c r="H2441">
        <f t="shared" si="330"/>
        <v>1</v>
      </c>
      <c r="I2441" t="str">
        <f t="shared" si="328"/>
        <v>Sunday</v>
      </c>
      <c r="L2441">
        <f t="shared" ca="1" si="331"/>
        <v>0</v>
      </c>
    </row>
    <row r="2442" spans="1:12" x14ac:dyDescent="0.25">
      <c r="A2442">
        <v>214940948</v>
      </c>
      <c r="B2442" s="1">
        <v>45109</v>
      </c>
      <c r="C2442" s="1">
        <f t="shared" ca="1" si="332"/>
        <v>45938</v>
      </c>
      <c r="D2442" t="s">
        <v>7</v>
      </c>
      <c r="E2442">
        <v>39</v>
      </c>
      <c r="F2442" t="s">
        <v>6</v>
      </c>
      <c r="G2442" s="8">
        <f t="shared" ca="1" si="329"/>
        <v>829</v>
      </c>
      <c r="H2442">
        <f t="shared" si="330"/>
        <v>1</v>
      </c>
      <c r="I2442" t="str">
        <f t="shared" si="328"/>
        <v>Sunday</v>
      </c>
      <c r="L2442">
        <f t="shared" ca="1" si="331"/>
        <v>0</v>
      </c>
    </row>
    <row r="2443" spans="1:12" x14ac:dyDescent="0.25">
      <c r="A2443">
        <v>218144586</v>
      </c>
      <c r="B2443" s="1">
        <v>45109</v>
      </c>
      <c r="C2443" s="1">
        <f t="shared" ca="1" si="332"/>
        <v>45938</v>
      </c>
      <c r="D2443" t="s">
        <v>7</v>
      </c>
      <c r="E2443">
        <v>39</v>
      </c>
      <c r="F2443" t="s">
        <v>6</v>
      </c>
      <c r="G2443" s="8">
        <f t="shared" ca="1" si="329"/>
        <v>829</v>
      </c>
      <c r="H2443">
        <f t="shared" si="330"/>
        <v>1</v>
      </c>
      <c r="I2443" t="str">
        <f t="shared" si="328"/>
        <v>Sunday</v>
      </c>
      <c r="L2443">
        <f t="shared" ca="1" si="331"/>
        <v>0</v>
      </c>
    </row>
    <row r="2444" spans="1:12" x14ac:dyDescent="0.25">
      <c r="A2444">
        <v>217863596</v>
      </c>
      <c r="B2444" s="1">
        <v>45109</v>
      </c>
      <c r="C2444" s="1">
        <v>45158</v>
      </c>
      <c r="D2444" t="s">
        <v>7</v>
      </c>
      <c r="E2444">
        <v>39</v>
      </c>
      <c r="F2444" t="s">
        <v>6</v>
      </c>
      <c r="G2444" s="8">
        <f t="shared" si="329"/>
        <v>49</v>
      </c>
      <c r="H2444">
        <f t="shared" si="330"/>
        <v>1</v>
      </c>
      <c r="I2444" t="str">
        <f t="shared" si="328"/>
        <v>Sunday</v>
      </c>
      <c r="L2444">
        <f t="shared" si="331"/>
        <v>0</v>
      </c>
    </row>
    <row r="2445" spans="1:12" x14ac:dyDescent="0.25">
      <c r="A2445">
        <v>218098580</v>
      </c>
      <c r="B2445" s="1">
        <v>45109</v>
      </c>
      <c r="C2445" s="1">
        <v>45168</v>
      </c>
      <c r="D2445" t="s">
        <v>7</v>
      </c>
      <c r="E2445">
        <v>39</v>
      </c>
      <c r="F2445" t="s">
        <v>6</v>
      </c>
      <c r="G2445" s="8">
        <f t="shared" si="329"/>
        <v>59</v>
      </c>
      <c r="H2445">
        <f t="shared" si="330"/>
        <v>1</v>
      </c>
      <c r="I2445" t="str">
        <f t="shared" si="328"/>
        <v>Sunday</v>
      </c>
      <c r="L2445">
        <f t="shared" si="331"/>
        <v>0</v>
      </c>
    </row>
    <row r="2446" spans="1:12" x14ac:dyDescent="0.25">
      <c r="A2446">
        <v>215602271</v>
      </c>
      <c r="B2446" s="1">
        <v>45109</v>
      </c>
      <c r="C2446" s="1">
        <v>45134</v>
      </c>
      <c r="D2446" t="s">
        <v>7</v>
      </c>
      <c r="E2446">
        <v>39</v>
      </c>
      <c r="F2446" t="s">
        <v>6</v>
      </c>
      <c r="G2446" s="8">
        <f t="shared" si="329"/>
        <v>25</v>
      </c>
      <c r="H2446">
        <f t="shared" si="330"/>
        <v>1</v>
      </c>
      <c r="I2446" t="str">
        <f t="shared" si="328"/>
        <v>Sunday</v>
      </c>
      <c r="L2446">
        <f t="shared" si="331"/>
        <v>0</v>
      </c>
    </row>
    <row r="2447" spans="1:12" x14ac:dyDescent="0.25">
      <c r="A2447">
        <v>218202086</v>
      </c>
      <c r="B2447" s="1">
        <v>45110</v>
      </c>
      <c r="C2447" s="1">
        <f t="shared" ref="C2447:C2452" ca="1" si="333">TODAY()</f>
        <v>45938</v>
      </c>
      <c r="D2447" t="s">
        <v>7</v>
      </c>
      <c r="E2447">
        <v>39</v>
      </c>
      <c r="F2447" t="s">
        <v>6</v>
      </c>
      <c r="G2447" s="8">
        <f t="shared" ca="1" si="329"/>
        <v>828</v>
      </c>
      <c r="H2447">
        <f t="shared" si="330"/>
        <v>2</v>
      </c>
      <c r="I2447" t="str">
        <f t="shared" si="328"/>
        <v>Monday</v>
      </c>
      <c r="L2447">
        <f t="shared" ca="1" si="331"/>
        <v>0</v>
      </c>
    </row>
    <row r="2448" spans="1:12" x14ac:dyDescent="0.25">
      <c r="A2448">
        <v>217927897</v>
      </c>
      <c r="B2448" s="1">
        <v>45110</v>
      </c>
      <c r="C2448" s="1">
        <f t="shared" ca="1" si="333"/>
        <v>45938</v>
      </c>
      <c r="D2448" t="s">
        <v>7</v>
      </c>
      <c r="E2448">
        <v>39</v>
      </c>
      <c r="F2448" t="s">
        <v>6</v>
      </c>
      <c r="G2448" s="8">
        <f t="shared" ca="1" si="329"/>
        <v>828</v>
      </c>
      <c r="H2448">
        <f t="shared" si="330"/>
        <v>2</v>
      </c>
      <c r="I2448" t="str">
        <f t="shared" si="328"/>
        <v>Monday</v>
      </c>
      <c r="L2448">
        <f t="shared" ca="1" si="331"/>
        <v>0</v>
      </c>
    </row>
    <row r="2449" spans="1:12" x14ac:dyDescent="0.25">
      <c r="A2449">
        <v>217856402</v>
      </c>
      <c r="B2449" s="1">
        <v>45110</v>
      </c>
      <c r="C2449" s="1">
        <f t="shared" ca="1" si="333"/>
        <v>45938</v>
      </c>
      <c r="D2449" t="s">
        <v>7</v>
      </c>
      <c r="E2449">
        <v>39</v>
      </c>
      <c r="F2449" t="s">
        <v>6</v>
      </c>
      <c r="G2449" s="8">
        <f t="shared" ca="1" si="329"/>
        <v>828</v>
      </c>
      <c r="H2449">
        <f t="shared" si="330"/>
        <v>2</v>
      </c>
      <c r="I2449" t="str">
        <f t="shared" si="328"/>
        <v>Monday</v>
      </c>
      <c r="L2449">
        <f t="shared" ca="1" si="331"/>
        <v>0</v>
      </c>
    </row>
    <row r="2450" spans="1:12" x14ac:dyDescent="0.25">
      <c r="A2450">
        <v>217588559</v>
      </c>
      <c r="B2450" s="1">
        <v>45110</v>
      </c>
      <c r="C2450" s="1">
        <f t="shared" ca="1" si="333"/>
        <v>45938</v>
      </c>
      <c r="D2450" t="s">
        <v>7</v>
      </c>
      <c r="E2450">
        <v>39</v>
      </c>
      <c r="F2450" t="s">
        <v>6</v>
      </c>
      <c r="G2450" s="8">
        <f t="shared" ca="1" si="329"/>
        <v>828</v>
      </c>
      <c r="H2450">
        <f t="shared" si="330"/>
        <v>2</v>
      </c>
      <c r="I2450" t="str">
        <f t="shared" si="328"/>
        <v>Monday</v>
      </c>
      <c r="L2450">
        <f t="shared" ca="1" si="331"/>
        <v>0</v>
      </c>
    </row>
    <row r="2451" spans="1:12" x14ac:dyDescent="0.25">
      <c r="A2451">
        <v>212136438</v>
      </c>
      <c r="B2451" s="1">
        <v>45110</v>
      </c>
      <c r="C2451" s="1">
        <f t="shared" ca="1" si="333"/>
        <v>45938</v>
      </c>
      <c r="D2451" t="s">
        <v>7</v>
      </c>
      <c r="E2451">
        <v>39</v>
      </c>
      <c r="F2451" t="s">
        <v>6</v>
      </c>
      <c r="G2451" s="8">
        <f t="shared" ca="1" si="329"/>
        <v>828</v>
      </c>
      <c r="H2451">
        <f t="shared" si="330"/>
        <v>2</v>
      </c>
      <c r="I2451" t="str">
        <f t="shared" si="328"/>
        <v>Monday</v>
      </c>
      <c r="L2451">
        <f t="shared" ca="1" si="331"/>
        <v>0</v>
      </c>
    </row>
    <row r="2452" spans="1:12" x14ac:dyDescent="0.25">
      <c r="A2452">
        <v>138548670</v>
      </c>
      <c r="B2452" s="1">
        <v>45110</v>
      </c>
      <c r="C2452" s="1">
        <f t="shared" ca="1" si="333"/>
        <v>45938</v>
      </c>
      <c r="D2452" t="s">
        <v>7</v>
      </c>
      <c r="E2452">
        <v>39</v>
      </c>
      <c r="F2452" t="s">
        <v>6</v>
      </c>
      <c r="G2452" s="8">
        <f t="shared" ca="1" si="329"/>
        <v>828</v>
      </c>
      <c r="H2452">
        <f t="shared" si="330"/>
        <v>2</v>
      </c>
      <c r="I2452" t="str">
        <f t="shared" si="328"/>
        <v>Monday</v>
      </c>
      <c r="L2452">
        <f t="shared" ca="1" si="331"/>
        <v>0</v>
      </c>
    </row>
    <row r="2453" spans="1:12" x14ac:dyDescent="0.25">
      <c r="A2453">
        <v>217588559</v>
      </c>
      <c r="B2453" s="1">
        <v>45110</v>
      </c>
      <c r="C2453" s="1">
        <v>45110</v>
      </c>
      <c r="D2453" t="s">
        <v>7</v>
      </c>
      <c r="E2453">
        <v>39</v>
      </c>
      <c r="F2453" t="s">
        <v>6</v>
      </c>
      <c r="G2453" s="8">
        <f t="shared" si="329"/>
        <v>0</v>
      </c>
      <c r="H2453">
        <f t="shared" si="330"/>
        <v>2</v>
      </c>
      <c r="I2453" t="str">
        <f t="shared" si="328"/>
        <v>Monday</v>
      </c>
      <c r="L2453">
        <f t="shared" si="331"/>
        <v>1</v>
      </c>
    </row>
    <row r="2454" spans="1:12" x14ac:dyDescent="0.25">
      <c r="A2454">
        <v>171893540</v>
      </c>
      <c r="B2454" s="1">
        <v>45110</v>
      </c>
      <c r="C2454" s="1">
        <v>45158</v>
      </c>
      <c r="D2454" t="s">
        <v>7</v>
      </c>
      <c r="E2454">
        <v>39</v>
      </c>
      <c r="F2454" t="s">
        <v>6</v>
      </c>
      <c r="G2454" s="8">
        <f t="shared" si="329"/>
        <v>48</v>
      </c>
      <c r="H2454">
        <f t="shared" si="330"/>
        <v>2</v>
      </c>
      <c r="I2454" t="str">
        <f t="shared" si="328"/>
        <v>Monday</v>
      </c>
      <c r="L2454">
        <f t="shared" si="331"/>
        <v>0</v>
      </c>
    </row>
    <row r="2455" spans="1:12" x14ac:dyDescent="0.25">
      <c r="A2455">
        <v>202412363</v>
      </c>
      <c r="B2455" s="1">
        <v>45110</v>
      </c>
      <c r="C2455" s="1">
        <v>45129</v>
      </c>
      <c r="D2455" t="s">
        <v>7</v>
      </c>
      <c r="E2455">
        <v>39</v>
      </c>
      <c r="F2455" t="s">
        <v>6</v>
      </c>
      <c r="G2455" s="8">
        <f t="shared" si="329"/>
        <v>19</v>
      </c>
      <c r="H2455">
        <f t="shared" si="330"/>
        <v>2</v>
      </c>
      <c r="I2455" t="str">
        <f t="shared" si="328"/>
        <v>Monday</v>
      </c>
      <c r="L2455">
        <f t="shared" si="331"/>
        <v>0</v>
      </c>
    </row>
    <row r="2456" spans="1:12" x14ac:dyDescent="0.25">
      <c r="A2456">
        <v>218129311</v>
      </c>
      <c r="B2456" s="1">
        <v>45110</v>
      </c>
      <c r="C2456" s="1">
        <v>45148</v>
      </c>
      <c r="D2456" t="s">
        <v>7</v>
      </c>
      <c r="E2456">
        <v>39</v>
      </c>
      <c r="F2456" t="s">
        <v>6</v>
      </c>
      <c r="G2456" s="8">
        <f t="shared" si="329"/>
        <v>38</v>
      </c>
      <c r="H2456">
        <f t="shared" si="330"/>
        <v>2</v>
      </c>
      <c r="I2456" t="str">
        <f t="shared" si="328"/>
        <v>Monday</v>
      </c>
      <c r="L2456">
        <f t="shared" si="331"/>
        <v>0</v>
      </c>
    </row>
    <row r="2457" spans="1:12" x14ac:dyDescent="0.25">
      <c r="A2457">
        <v>218092565</v>
      </c>
      <c r="B2457" s="1">
        <v>45110</v>
      </c>
      <c r="C2457" s="1">
        <v>45148</v>
      </c>
      <c r="D2457" t="s">
        <v>7</v>
      </c>
      <c r="E2457">
        <v>39</v>
      </c>
      <c r="F2457" t="s">
        <v>6</v>
      </c>
      <c r="G2457" s="8">
        <f t="shared" si="329"/>
        <v>38</v>
      </c>
      <c r="H2457">
        <f t="shared" si="330"/>
        <v>2</v>
      </c>
      <c r="I2457" t="str">
        <f t="shared" si="328"/>
        <v>Monday</v>
      </c>
      <c r="L2457">
        <f t="shared" si="331"/>
        <v>0</v>
      </c>
    </row>
    <row r="2458" spans="1:12" x14ac:dyDescent="0.25">
      <c r="A2458">
        <v>150436862</v>
      </c>
      <c r="B2458" s="1">
        <v>45111</v>
      </c>
      <c r="C2458" s="1">
        <f t="shared" ref="C2458:C2463" ca="1" si="334">TODAY()</f>
        <v>45938</v>
      </c>
      <c r="D2458" t="s">
        <v>7</v>
      </c>
      <c r="E2458">
        <v>39</v>
      </c>
      <c r="F2458" t="s">
        <v>6</v>
      </c>
      <c r="G2458" s="8">
        <f t="shared" ca="1" si="329"/>
        <v>827</v>
      </c>
      <c r="H2458">
        <f t="shared" si="330"/>
        <v>3</v>
      </c>
      <c r="I2458" t="str">
        <f t="shared" si="328"/>
        <v>Tuesday</v>
      </c>
      <c r="L2458">
        <f t="shared" ca="1" si="331"/>
        <v>0</v>
      </c>
    </row>
    <row r="2459" spans="1:12" x14ac:dyDescent="0.25">
      <c r="A2459">
        <v>218211840</v>
      </c>
      <c r="B2459" s="1">
        <v>45111</v>
      </c>
      <c r="C2459" s="1">
        <f t="shared" ca="1" si="334"/>
        <v>45938</v>
      </c>
      <c r="D2459" t="s">
        <v>7</v>
      </c>
      <c r="E2459">
        <v>39</v>
      </c>
      <c r="F2459" t="s">
        <v>6</v>
      </c>
      <c r="G2459" s="8">
        <f t="shared" ca="1" si="329"/>
        <v>827</v>
      </c>
      <c r="H2459">
        <f t="shared" si="330"/>
        <v>3</v>
      </c>
      <c r="I2459" t="str">
        <f t="shared" si="328"/>
        <v>Tuesday</v>
      </c>
      <c r="L2459">
        <f t="shared" ca="1" si="331"/>
        <v>0</v>
      </c>
    </row>
    <row r="2460" spans="1:12" x14ac:dyDescent="0.25">
      <c r="A2460">
        <v>218235209</v>
      </c>
      <c r="B2460" s="1">
        <v>45111</v>
      </c>
      <c r="C2460" s="1">
        <f t="shared" ca="1" si="334"/>
        <v>45938</v>
      </c>
      <c r="D2460" t="s">
        <v>7</v>
      </c>
      <c r="E2460">
        <v>39</v>
      </c>
      <c r="F2460" t="s">
        <v>6</v>
      </c>
      <c r="G2460" s="8">
        <f t="shared" ca="1" si="329"/>
        <v>827</v>
      </c>
      <c r="H2460">
        <f t="shared" si="330"/>
        <v>3</v>
      </c>
      <c r="I2460" t="str">
        <f t="shared" si="328"/>
        <v>Tuesday</v>
      </c>
      <c r="L2460">
        <f t="shared" ca="1" si="331"/>
        <v>0</v>
      </c>
    </row>
    <row r="2461" spans="1:12" x14ac:dyDescent="0.25">
      <c r="A2461">
        <v>132631414</v>
      </c>
      <c r="B2461" s="1">
        <v>45111</v>
      </c>
      <c r="C2461" s="1">
        <f t="shared" ca="1" si="334"/>
        <v>45938</v>
      </c>
      <c r="D2461" t="s">
        <v>7</v>
      </c>
      <c r="E2461">
        <v>39</v>
      </c>
      <c r="F2461" t="s">
        <v>6</v>
      </c>
      <c r="G2461" s="8">
        <f t="shared" ca="1" si="329"/>
        <v>827</v>
      </c>
      <c r="H2461">
        <f t="shared" si="330"/>
        <v>3</v>
      </c>
      <c r="I2461" t="str">
        <f t="shared" si="328"/>
        <v>Tuesday</v>
      </c>
      <c r="L2461">
        <f t="shared" ca="1" si="331"/>
        <v>0</v>
      </c>
    </row>
    <row r="2462" spans="1:12" x14ac:dyDescent="0.25">
      <c r="A2462">
        <v>218254260</v>
      </c>
      <c r="B2462" s="1">
        <v>45111</v>
      </c>
      <c r="C2462" s="1">
        <f t="shared" ca="1" si="334"/>
        <v>45938</v>
      </c>
      <c r="D2462" t="s">
        <v>7</v>
      </c>
      <c r="E2462">
        <v>39</v>
      </c>
      <c r="F2462" t="s">
        <v>6</v>
      </c>
      <c r="G2462" s="8">
        <f t="shared" ca="1" si="329"/>
        <v>827</v>
      </c>
      <c r="H2462">
        <f t="shared" si="330"/>
        <v>3</v>
      </c>
      <c r="I2462" t="str">
        <f t="shared" si="328"/>
        <v>Tuesday</v>
      </c>
      <c r="L2462">
        <f t="shared" ca="1" si="331"/>
        <v>0</v>
      </c>
    </row>
    <row r="2463" spans="1:12" x14ac:dyDescent="0.25">
      <c r="A2463">
        <v>218095604</v>
      </c>
      <c r="B2463" s="1">
        <v>45111</v>
      </c>
      <c r="C2463" s="1">
        <f t="shared" ca="1" si="334"/>
        <v>45938</v>
      </c>
      <c r="D2463" t="s">
        <v>7</v>
      </c>
      <c r="E2463">
        <v>39</v>
      </c>
      <c r="F2463" t="s">
        <v>6</v>
      </c>
      <c r="G2463" s="8">
        <f t="shared" ca="1" si="329"/>
        <v>827</v>
      </c>
      <c r="H2463">
        <f t="shared" si="330"/>
        <v>3</v>
      </c>
      <c r="I2463" t="str">
        <f t="shared" si="328"/>
        <v>Tuesday</v>
      </c>
      <c r="L2463">
        <f t="shared" ca="1" si="331"/>
        <v>0</v>
      </c>
    </row>
    <row r="2464" spans="1:12" x14ac:dyDescent="0.25">
      <c r="A2464">
        <v>147845964</v>
      </c>
      <c r="B2464" s="1">
        <v>45111</v>
      </c>
      <c r="C2464" s="1">
        <v>45111</v>
      </c>
      <c r="D2464" t="s">
        <v>7</v>
      </c>
      <c r="E2464">
        <v>39</v>
      </c>
      <c r="F2464" t="s">
        <v>6</v>
      </c>
      <c r="G2464" s="8">
        <f t="shared" si="329"/>
        <v>0</v>
      </c>
      <c r="H2464">
        <f t="shared" si="330"/>
        <v>3</v>
      </c>
      <c r="I2464" t="str">
        <f t="shared" si="328"/>
        <v>Tuesday</v>
      </c>
      <c r="L2464">
        <f t="shared" si="331"/>
        <v>1</v>
      </c>
    </row>
    <row r="2465" spans="1:12" x14ac:dyDescent="0.25">
      <c r="A2465">
        <v>218242871</v>
      </c>
      <c r="B2465" s="1">
        <v>45111</v>
      </c>
      <c r="C2465" s="1">
        <v>45142</v>
      </c>
      <c r="D2465" t="s">
        <v>7</v>
      </c>
      <c r="E2465">
        <v>39</v>
      </c>
      <c r="F2465" t="s">
        <v>6</v>
      </c>
      <c r="G2465" s="8">
        <f t="shared" si="329"/>
        <v>31</v>
      </c>
      <c r="H2465">
        <f t="shared" si="330"/>
        <v>3</v>
      </c>
      <c r="I2465" t="str">
        <f t="shared" si="328"/>
        <v>Tuesday</v>
      </c>
      <c r="L2465">
        <f t="shared" si="331"/>
        <v>0</v>
      </c>
    </row>
    <row r="2466" spans="1:12" x14ac:dyDescent="0.25">
      <c r="A2466">
        <v>218238016</v>
      </c>
      <c r="B2466" s="1">
        <v>45111</v>
      </c>
      <c r="C2466" s="1">
        <v>45172</v>
      </c>
      <c r="D2466" t="s">
        <v>7</v>
      </c>
      <c r="E2466">
        <v>39</v>
      </c>
      <c r="F2466" t="s">
        <v>6</v>
      </c>
      <c r="G2466" s="8">
        <f t="shared" si="329"/>
        <v>61</v>
      </c>
      <c r="H2466">
        <f t="shared" si="330"/>
        <v>3</v>
      </c>
      <c r="I2466" t="str">
        <f t="shared" si="328"/>
        <v>Tuesday</v>
      </c>
      <c r="L2466">
        <f t="shared" si="331"/>
        <v>0</v>
      </c>
    </row>
    <row r="2467" spans="1:12" x14ac:dyDescent="0.25">
      <c r="A2467">
        <v>217387951</v>
      </c>
      <c r="B2467" s="1">
        <v>45111</v>
      </c>
      <c r="C2467" s="1">
        <v>45142</v>
      </c>
      <c r="D2467" t="s">
        <v>7</v>
      </c>
      <c r="E2467">
        <v>39</v>
      </c>
      <c r="F2467" t="s">
        <v>6</v>
      </c>
      <c r="G2467" s="8">
        <f t="shared" si="329"/>
        <v>31</v>
      </c>
      <c r="H2467">
        <f t="shared" si="330"/>
        <v>3</v>
      </c>
      <c r="I2467" t="str">
        <f t="shared" si="328"/>
        <v>Tuesday</v>
      </c>
      <c r="L2467">
        <f t="shared" si="331"/>
        <v>0</v>
      </c>
    </row>
    <row r="2468" spans="1:12" x14ac:dyDescent="0.25">
      <c r="A2468">
        <v>218236754</v>
      </c>
      <c r="B2468" s="1">
        <v>45111</v>
      </c>
      <c r="C2468" s="1">
        <v>45118</v>
      </c>
      <c r="D2468" t="s">
        <v>7</v>
      </c>
      <c r="E2468">
        <v>39</v>
      </c>
      <c r="F2468" t="s">
        <v>6</v>
      </c>
      <c r="G2468" s="8">
        <f t="shared" si="329"/>
        <v>7</v>
      </c>
      <c r="H2468">
        <f t="shared" si="330"/>
        <v>3</v>
      </c>
      <c r="I2468" t="str">
        <f t="shared" si="328"/>
        <v>Tuesday</v>
      </c>
      <c r="L2468">
        <f t="shared" si="331"/>
        <v>0</v>
      </c>
    </row>
    <row r="2469" spans="1:12" x14ac:dyDescent="0.25">
      <c r="A2469">
        <v>218307564</v>
      </c>
      <c r="B2469" s="1">
        <v>45112</v>
      </c>
      <c r="C2469" s="1">
        <f t="shared" ref="C2469:C2474" ca="1" si="335">TODAY()</f>
        <v>45938</v>
      </c>
      <c r="D2469" t="s">
        <v>7</v>
      </c>
      <c r="E2469">
        <v>39</v>
      </c>
      <c r="F2469" t="s">
        <v>6</v>
      </c>
      <c r="G2469" s="8">
        <f t="shared" ca="1" si="329"/>
        <v>826</v>
      </c>
      <c r="H2469">
        <f t="shared" si="330"/>
        <v>4</v>
      </c>
      <c r="I2469" t="str">
        <f t="shared" si="328"/>
        <v>Wednesday</v>
      </c>
      <c r="L2469">
        <f t="shared" ca="1" si="331"/>
        <v>0</v>
      </c>
    </row>
    <row r="2470" spans="1:12" x14ac:dyDescent="0.25">
      <c r="A2470">
        <v>150521180</v>
      </c>
      <c r="B2470" s="1">
        <v>45112</v>
      </c>
      <c r="C2470" s="1">
        <f t="shared" ca="1" si="335"/>
        <v>45938</v>
      </c>
      <c r="D2470" t="s">
        <v>7</v>
      </c>
      <c r="E2470">
        <v>39</v>
      </c>
      <c r="F2470" t="s">
        <v>6</v>
      </c>
      <c r="G2470" s="8">
        <f t="shared" ca="1" si="329"/>
        <v>826</v>
      </c>
      <c r="H2470">
        <f t="shared" si="330"/>
        <v>4</v>
      </c>
      <c r="I2470" t="str">
        <f t="shared" si="328"/>
        <v>Wednesday</v>
      </c>
      <c r="L2470">
        <f t="shared" ca="1" si="331"/>
        <v>0</v>
      </c>
    </row>
    <row r="2471" spans="1:12" x14ac:dyDescent="0.25">
      <c r="A2471">
        <v>135240372</v>
      </c>
      <c r="B2471" s="1">
        <v>45112</v>
      </c>
      <c r="C2471" s="1">
        <f t="shared" ca="1" si="335"/>
        <v>45938</v>
      </c>
      <c r="D2471" t="s">
        <v>7</v>
      </c>
      <c r="E2471">
        <v>39</v>
      </c>
      <c r="F2471" t="s">
        <v>6</v>
      </c>
      <c r="G2471" s="8">
        <f t="shared" ca="1" si="329"/>
        <v>826</v>
      </c>
      <c r="H2471">
        <f t="shared" si="330"/>
        <v>4</v>
      </c>
      <c r="I2471" t="str">
        <f t="shared" si="328"/>
        <v>Wednesday</v>
      </c>
      <c r="L2471">
        <f t="shared" ca="1" si="331"/>
        <v>0</v>
      </c>
    </row>
    <row r="2472" spans="1:12" x14ac:dyDescent="0.25">
      <c r="A2472">
        <v>218275834</v>
      </c>
      <c r="B2472" s="1">
        <v>45112</v>
      </c>
      <c r="C2472" s="1">
        <f t="shared" ca="1" si="335"/>
        <v>45938</v>
      </c>
      <c r="D2472" t="s">
        <v>7</v>
      </c>
      <c r="E2472">
        <v>39</v>
      </c>
      <c r="F2472" t="s">
        <v>6</v>
      </c>
      <c r="G2472" s="8">
        <f t="shared" ca="1" si="329"/>
        <v>826</v>
      </c>
      <c r="H2472">
        <f t="shared" si="330"/>
        <v>4</v>
      </c>
      <c r="I2472" t="str">
        <f t="shared" si="328"/>
        <v>Wednesday</v>
      </c>
      <c r="L2472">
        <f t="shared" ca="1" si="331"/>
        <v>0</v>
      </c>
    </row>
    <row r="2473" spans="1:12" x14ac:dyDescent="0.25">
      <c r="A2473">
        <v>218028076</v>
      </c>
      <c r="B2473" s="1">
        <v>45112</v>
      </c>
      <c r="C2473" s="1">
        <f t="shared" ca="1" si="335"/>
        <v>45938</v>
      </c>
      <c r="D2473" t="s">
        <v>7</v>
      </c>
      <c r="E2473">
        <v>39</v>
      </c>
      <c r="F2473" t="s">
        <v>6</v>
      </c>
      <c r="G2473" s="8">
        <f t="shared" ca="1" si="329"/>
        <v>826</v>
      </c>
      <c r="H2473">
        <f t="shared" si="330"/>
        <v>4</v>
      </c>
      <c r="I2473" t="str">
        <f t="shared" si="328"/>
        <v>Wednesday</v>
      </c>
      <c r="L2473">
        <f t="shared" ca="1" si="331"/>
        <v>0</v>
      </c>
    </row>
    <row r="2474" spans="1:12" x14ac:dyDescent="0.25">
      <c r="A2474">
        <v>164254865</v>
      </c>
      <c r="B2474" s="1">
        <v>45112</v>
      </c>
      <c r="C2474" s="1">
        <f t="shared" ca="1" si="335"/>
        <v>45938</v>
      </c>
      <c r="D2474" t="s">
        <v>7</v>
      </c>
      <c r="E2474">
        <v>39</v>
      </c>
      <c r="F2474" t="s">
        <v>6</v>
      </c>
      <c r="G2474" s="8">
        <f t="shared" ca="1" si="329"/>
        <v>826</v>
      </c>
      <c r="H2474">
        <f t="shared" si="330"/>
        <v>4</v>
      </c>
      <c r="I2474" t="str">
        <f t="shared" si="328"/>
        <v>Wednesday</v>
      </c>
      <c r="L2474">
        <f t="shared" ca="1" si="331"/>
        <v>0</v>
      </c>
    </row>
    <row r="2475" spans="1:12" x14ac:dyDescent="0.25">
      <c r="A2475">
        <v>218274904</v>
      </c>
      <c r="B2475" s="1">
        <v>45112</v>
      </c>
      <c r="C2475" s="1">
        <v>45113</v>
      </c>
      <c r="D2475" t="s">
        <v>8</v>
      </c>
      <c r="E2475">
        <v>39</v>
      </c>
      <c r="F2475" t="s">
        <v>6</v>
      </c>
      <c r="G2475" s="8">
        <f t="shared" si="329"/>
        <v>1</v>
      </c>
      <c r="H2475">
        <f t="shared" si="330"/>
        <v>4</v>
      </c>
      <c r="I2475" t="str">
        <f t="shared" si="328"/>
        <v>Wednesday</v>
      </c>
      <c r="L2475">
        <f t="shared" si="331"/>
        <v>1</v>
      </c>
    </row>
    <row r="2476" spans="1:12" x14ac:dyDescent="0.25">
      <c r="A2476">
        <v>208473540</v>
      </c>
      <c r="B2476" s="1">
        <v>45112</v>
      </c>
      <c r="C2476" s="1">
        <v>45177</v>
      </c>
      <c r="D2476" t="s">
        <v>7</v>
      </c>
      <c r="E2476">
        <v>39</v>
      </c>
      <c r="F2476" t="s">
        <v>6</v>
      </c>
      <c r="G2476" s="8">
        <f t="shared" si="329"/>
        <v>65</v>
      </c>
      <c r="H2476">
        <f t="shared" si="330"/>
        <v>4</v>
      </c>
      <c r="I2476" t="str">
        <f t="shared" si="328"/>
        <v>Wednesday</v>
      </c>
      <c r="L2476">
        <f t="shared" si="331"/>
        <v>0</v>
      </c>
    </row>
    <row r="2477" spans="1:12" x14ac:dyDescent="0.25">
      <c r="A2477">
        <v>218233516</v>
      </c>
      <c r="B2477" s="1">
        <v>45112</v>
      </c>
      <c r="C2477" s="1">
        <v>45146</v>
      </c>
      <c r="D2477" t="s">
        <v>7</v>
      </c>
      <c r="E2477">
        <v>39</v>
      </c>
      <c r="F2477" t="s">
        <v>6</v>
      </c>
      <c r="G2477" s="8">
        <f t="shared" si="329"/>
        <v>34</v>
      </c>
      <c r="H2477">
        <f t="shared" si="330"/>
        <v>4</v>
      </c>
      <c r="I2477" t="str">
        <f t="shared" si="328"/>
        <v>Wednesday</v>
      </c>
      <c r="L2477">
        <f t="shared" si="331"/>
        <v>0</v>
      </c>
    </row>
    <row r="2478" spans="1:12" x14ac:dyDescent="0.25">
      <c r="A2478">
        <v>218261606</v>
      </c>
      <c r="B2478" s="1">
        <v>45112</v>
      </c>
      <c r="C2478" s="1">
        <v>45155</v>
      </c>
      <c r="D2478" t="s">
        <v>7</v>
      </c>
      <c r="E2478">
        <v>39</v>
      </c>
      <c r="F2478" t="s">
        <v>6</v>
      </c>
      <c r="G2478" s="8">
        <f t="shared" si="329"/>
        <v>43</v>
      </c>
      <c r="H2478">
        <f t="shared" si="330"/>
        <v>4</v>
      </c>
      <c r="I2478" t="str">
        <f t="shared" si="328"/>
        <v>Wednesday</v>
      </c>
      <c r="L2478">
        <f t="shared" si="331"/>
        <v>0</v>
      </c>
    </row>
    <row r="2479" spans="1:12" x14ac:dyDescent="0.25">
      <c r="A2479">
        <v>218289472</v>
      </c>
      <c r="B2479" s="1">
        <v>45112</v>
      </c>
      <c r="C2479" s="1">
        <v>45113</v>
      </c>
      <c r="D2479" t="s">
        <v>7</v>
      </c>
      <c r="E2479">
        <v>39</v>
      </c>
      <c r="F2479" t="s">
        <v>6</v>
      </c>
      <c r="G2479" s="8">
        <f t="shared" si="329"/>
        <v>1</v>
      </c>
      <c r="H2479">
        <f t="shared" si="330"/>
        <v>4</v>
      </c>
      <c r="I2479" t="str">
        <f t="shared" si="328"/>
        <v>Wednesday</v>
      </c>
      <c r="L2479">
        <f t="shared" si="331"/>
        <v>1</v>
      </c>
    </row>
    <row r="2480" spans="1:12" x14ac:dyDescent="0.25">
      <c r="A2480">
        <v>215946425</v>
      </c>
      <c r="B2480" s="1">
        <v>45112</v>
      </c>
      <c r="C2480" s="1">
        <v>45136</v>
      </c>
      <c r="D2480" t="s">
        <v>7</v>
      </c>
      <c r="E2480">
        <v>39</v>
      </c>
      <c r="F2480" t="s">
        <v>6</v>
      </c>
      <c r="G2480" s="8">
        <f t="shared" si="329"/>
        <v>24</v>
      </c>
      <c r="H2480">
        <f t="shared" si="330"/>
        <v>4</v>
      </c>
      <c r="I2480" t="str">
        <f t="shared" si="328"/>
        <v>Wednesday</v>
      </c>
      <c r="L2480">
        <f t="shared" si="331"/>
        <v>0</v>
      </c>
    </row>
    <row r="2481" spans="1:12" x14ac:dyDescent="0.25">
      <c r="A2481">
        <v>218284850</v>
      </c>
      <c r="B2481" s="1">
        <v>45112</v>
      </c>
      <c r="C2481" s="1">
        <v>45136</v>
      </c>
      <c r="D2481" t="s">
        <v>7</v>
      </c>
      <c r="E2481">
        <v>39</v>
      </c>
      <c r="F2481" t="s">
        <v>6</v>
      </c>
      <c r="G2481" s="8">
        <f t="shared" si="329"/>
        <v>24</v>
      </c>
      <c r="H2481">
        <f t="shared" si="330"/>
        <v>4</v>
      </c>
      <c r="I2481" t="str">
        <f t="shared" si="328"/>
        <v>Wednesday</v>
      </c>
      <c r="L2481">
        <f t="shared" si="331"/>
        <v>0</v>
      </c>
    </row>
    <row r="2482" spans="1:12" x14ac:dyDescent="0.25">
      <c r="A2482">
        <v>202151053</v>
      </c>
      <c r="B2482" s="1">
        <v>45113</v>
      </c>
      <c r="C2482" s="1">
        <f t="shared" ref="C2482:C2487" ca="1" si="336">TODAY()</f>
        <v>45938</v>
      </c>
      <c r="D2482" t="s">
        <v>7</v>
      </c>
      <c r="E2482">
        <v>39</v>
      </c>
      <c r="F2482" t="s">
        <v>6</v>
      </c>
      <c r="G2482" s="8">
        <f t="shared" ca="1" si="329"/>
        <v>825</v>
      </c>
      <c r="H2482">
        <f t="shared" si="330"/>
        <v>5</v>
      </c>
      <c r="I2482" t="str">
        <f t="shared" si="328"/>
        <v>Thursday</v>
      </c>
      <c r="L2482">
        <f t="shared" ca="1" si="331"/>
        <v>0</v>
      </c>
    </row>
    <row r="2483" spans="1:12" x14ac:dyDescent="0.25">
      <c r="A2483">
        <v>112301350</v>
      </c>
      <c r="B2483" s="1">
        <v>45113</v>
      </c>
      <c r="C2483" s="1">
        <f t="shared" ca="1" si="336"/>
        <v>45938</v>
      </c>
      <c r="D2483" t="s">
        <v>7</v>
      </c>
      <c r="E2483">
        <v>39</v>
      </c>
      <c r="F2483" t="s">
        <v>6</v>
      </c>
      <c r="G2483" s="8">
        <f t="shared" ca="1" si="329"/>
        <v>825</v>
      </c>
      <c r="H2483">
        <f t="shared" si="330"/>
        <v>5</v>
      </c>
      <c r="I2483" t="str">
        <f t="shared" si="328"/>
        <v>Thursday</v>
      </c>
      <c r="L2483">
        <f t="shared" ca="1" si="331"/>
        <v>0</v>
      </c>
    </row>
    <row r="2484" spans="1:12" x14ac:dyDescent="0.25">
      <c r="A2484">
        <v>218300918</v>
      </c>
      <c r="B2484" s="1">
        <v>45113</v>
      </c>
      <c r="C2484" s="1">
        <f t="shared" ca="1" si="336"/>
        <v>45938</v>
      </c>
      <c r="D2484" t="s">
        <v>7</v>
      </c>
      <c r="E2484">
        <v>39</v>
      </c>
      <c r="F2484" t="s">
        <v>6</v>
      </c>
      <c r="G2484" s="8">
        <f t="shared" ca="1" si="329"/>
        <v>825</v>
      </c>
      <c r="H2484">
        <f t="shared" si="330"/>
        <v>5</v>
      </c>
      <c r="I2484" t="str">
        <f t="shared" si="328"/>
        <v>Thursday</v>
      </c>
      <c r="L2484">
        <f t="shared" ca="1" si="331"/>
        <v>0</v>
      </c>
    </row>
    <row r="2485" spans="1:12" x14ac:dyDescent="0.25">
      <c r="A2485">
        <v>205452800</v>
      </c>
      <c r="B2485" s="1">
        <v>45113</v>
      </c>
      <c r="C2485" s="1">
        <f t="shared" ca="1" si="336"/>
        <v>45938</v>
      </c>
      <c r="D2485" t="s">
        <v>7</v>
      </c>
      <c r="E2485">
        <v>39</v>
      </c>
      <c r="F2485" t="s">
        <v>6</v>
      </c>
      <c r="G2485" s="8">
        <f t="shared" ca="1" si="329"/>
        <v>825</v>
      </c>
      <c r="H2485">
        <f t="shared" si="330"/>
        <v>5</v>
      </c>
      <c r="I2485" t="str">
        <f t="shared" si="328"/>
        <v>Thursday</v>
      </c>
      <c r="L2485">
        <f t="shared" ca="1" si="331"/>
        <v>0</v>
      </c>
    </row>
    <row r="2486" spans="1:12" x14ac:dyDescent="0.25">
      <c r="A2486">
        <v>218278300</v>
      </c>
      <c r="B2486" s="1">
        <v>45113</v>
      </c>
      <c r="C2486" s="1">
        <f t="shared" ca="1" si="336"/>
        <v>45938</v>
      </c>
      <c r="D2486" t="s">
        <v>7</v>
      </c>
      <c r="E2486">
        <v>39</v>
      </c>
      <c r="F2486" t="s">
        <v>6</v>
      </c>
      <c r="G2486" s="8">
        <f t="shared" ca="1" si="329"/>
        <v>825</v>
      </c>
      <c r="H2486">
        <f t="shared" si="330"/>
        <v>5</v>
      </c>
      <c r="I2486" t="str">
        <f t="shared" si="328"/>
        <v>Thursday</v>
      </c>
      <c r="L2486">
        <f t="shared" ca="1" si="331"/>
        <v>0</v>
      </c>
    </row>
    <row r="2487" spans="1:12" x14ac:dyDescent="0.25">
      <c r="A2487">
        <v>216920844</v>
      </c>
      <c r="B2487" s="1">
        <v>45113</v>
      </c>
      <c r="C2487" s="1">
        <f t="shared" ca="1" si="336"/>
        <v>45938</v>
      </c>
      <c r="D2487" t="s">
        <v>7</v>
      </c>
      <c r="E2487">
        <v>39</v>
      </c>
      <c r="F2487" t="s">
        <v>6</v>
      </c>
      <c r="G2487" s="8">
        <f t="shared" ca="1" si="329"/>
        <v>825</v>
      </c>
      <c r="H2487">
        <f t="shared" si="330"/>
        <v>5</v>
      </c>
      <c r="I2487" t="str">
        <f t="shared" si="328"/>
        <v>Thursday</v>
      </c>
      <c r="L2487">
        <f t="shared" ca="1" si="331"/>
        <v>0</v>
      </c>
    </row>
    <row r="2488" spans="1:12" x14ac:dyDescent="0.25">
      <c r="A2488">
        <v>127100688</v>
      </c>
      <c r="B2488" s="1">
        <v>45113</v>
      </c>
      <c r="C2488" s="1">
        <v>45140</v>
      </c>
      <c r="D2488" t="s">
        <v>7</v>
      </c>
      <c r="E2488">
        <v>39</v>
      </c>
      <c r="F2488" t="s">
        <v>6</v>
      </c>
      <c r="G2488" s="8">
        <f t="shared" si="329"/>
        <v>27</v>
      </c>
      <c r="H2488">
        <f t="shared" si="330"/>
        <v>5</v>
      </c>
      <c r="I2488" t="str">
        <f t="shared" si="328"/>
        <v>Thursday</v>
      </c>
      <c r="L2488">
        <f t="shared" si="331"/>
        <v>0</v>
      </c>
    </row>
    <row r="2489" spans="1:12" x14ac:dyDescent="0.25">
      <c r="A2489">
        <v>218345379</v>
      </c>
      <c r="B2489" s="1">
        <v>45113</v>
      </c>
      <c r="C2489" s="1">
        <v>45151</v>
      </c>
      <c r="D2489" t="s">
        <v>7</v>
      </c>
      <c r="E2489">
        <v>39</v>
      </c>
      <c r="F2489" t="s">
        <v>6</v>
      </c>
      <c r="G2489" s="8">
        <f t="shared" si="329"/>
        <v>38</v>
      </c>
      <c r="H2489">
        <f t="shared" si="330"/>
        <v>5</v>
      </c>
      <c r="I2489" t="str">
        <f t="shared" si="328"/>
        <v>Thursday</v>
      </c>
      <c r="L2489">
        <f t="shared" si="331"/>
        <v>0</v>
      </c>
    </row>
    <row r="2490" spans="1:12" x14ac:dyDescent="0.25">
      <c r="A2490">
        <v>183507186</v>
      </c>
      <c r="B2490" s="1">
        <v>45113</v>
      </c>
      <c r="C2490" s="1">
        <v>45144</v>
      </c>
      <c r="D2490" t="s">
        <v>7</v>
      </c>
      <c r="E2490">
        <v>39</v>
      </c>
      <c r="F2490" t="s">
        <v>6</v>
      </c>
      <c r="G2490" s="8">
        <f t="shared" si="329"/>
        <v>31</v>
      </c>
      <c r="H2490">
        <f t="shared" si="330"/>
        <v>5</v>
      </c>
      <c r="I2490" t="str">
        <f t="shared" si="328"/>
        <v>Thursday</v>
      </c>
      <c r="L2490">
        <f t="shared" si="331"/>
        <v>0</v>
      </c>
    </row>
    <row r="2491" spans="1:12" x14ac:dyDescent="0.25">
      <c r="A2491">
        <v>218133430</v>
      </c>
      <c r="B2491" s="1">
        <v>45114</v>
      </c>
      <c r="C2491" s="1">
        <f t="shared" ref="C2491:C2495" ca="1" si="337">TODAY()</f>
        <v>45938</v>
      </c>
      <c r="D2491" t="s">
        <v>7</v>
      </c>
      <c r="E2491">
        <v>39</v>
      </c>
      <c r="F2491" t="s">
        <v>6</v>
      </c>
      <c r="G2491" s="8">
        <f t="shared" ca="1" si="329"/>
        <v>824</v>
      </c>
      <c r="H2491">
        <f t="shared" si="330"/>
        <v>6</v>
      </c>
      <c r="I2491" t="str">
        <f t="shared" si="328"/>
        <v>Friday</v>
      </c>
      <c r="L2491">
        <f t="shared" ca="1" si="331"/>
        <v>0</v>
      </c>
    </row>
    <row r="2492" spans="1:12" x14ac:dyDescent="0.25">
      <c r="A2492">
        <v>147813476</v>
      </c>
      <c r="B2492" s="1">
        <v>45114</v>
      </c>
      <c r="C2492" s="1">
        <f t="shared" ca="1" si="337"/>
        <v>45938</v>
      </c>
      <c r="D2492" t="s">
        <v>7</v>
      </c>
      <c r="E2492">
        <v>39</v>
      </c>
      <c r="F2492" t="s">
        <v>6</v>
      </c>
      <c r="G2492" s="8">
        <f t="shared" ca="1" si="329"/>
        <v>824</v>
      </c>
      <c r="H2492">
        <f t="shared" si="330"/>
        <v>6</v>
      </c>
      <c r="I2492" t="str">
        <f t="shared" si="328"/>
        <v>Friday</v>
      </c>
      <c r="L2492">
        <f t="shared" ca="1" si="331"/>
        <v>0</v>
      </c>
    </row>
    <row r="2493" spans="1:12" x14ac:dyDescent="0.25">
      <c r="A2493">
        <v>218375754</v>
      </c>
      <c r="B2493" s="1">
        <v>45114</v>
      </c>
      <c r="C2493" s="1">
        <f t="shared" ca="1" si="337"/>
        <v>45938</v>
      </c>
      <c r="D2493" t="s">
        <v>7</v>
      </c>
      <c r="E2493">
        <v>39</v>
      </c>
      <c r="F2493" t="s">
        <v>6</v>
      </c>
      <c r="G2493" s="8">
        <f t="shared" ca="1" si="329"/>
        <v>824</v>
      </c>
      <c r="H2493">
        <f t="shared" si="330"/>
        <v>6</v>
      </c>
      <c r="I2493" t="str">
        <f t="shared" si="328"/>
        <v>Friday</v>
      </c>
      <c r="L2493">
        <f t="shared" ca="1" si="331"/>
        <v>0</v>
      </c>
    </row>
    <row r="2494" spans="1:12" x14ac:dyDescent="0.25">
      <c r="A2494">
        <v>216000482</v>
      </c>
      <c r="B2494" s="1">
        <v>45114</v>
      </c>
      <c r="C2494" s="1">
        <f t="shared" ca="1" si="337"/>
        <v>45938</v>
      </c>
      <c r="D2494" t="s">
        <v>7</v>
      </c>
      <c r="E2494">
        <v>39</v>
      </c>
      <c r="F2494" t="s">
        <v>6</v>
      </c>
      <c r="G2494" s="8">
        <f t="shared" ca="1" si="329"/>
        <v>824</v>
      </c>
      <c r="H2494">
        <f t="shared" si="330"/>
        <v>6</v>
      </c>
      <c r="I2494" t="str">
        <f t="shared" si="328"/>
        <v>Friday</v>
      </c>
      <c r="L2494">
        <f t="shared" ca="1" si="331"/>
        <v>0</v>
      </c>
    </row>
    <row r="2495" spans="1:12" x14ac:dyDescent="0.25">
      <c r="A2495">
        <v>161549477</v>
      </c>
      <c r="B2495" s="1">
        <v>45114</v>
      </c>
      <c r="C2495" s="1">
        <f t="shared" ca="1" si="337"/>
        <v>45938</v>
      </c>
      <c r="D2495" t="s">
        <v>7</v>
      </c>
      <c r="E2495">
        <v>39</v>
      </c>
      <c r="F2495" t="s">
        <v>6</v>
      </c>
      <c r="G2495" s="8">
        <f t="shared" ca="1" si="329"/>
        <v>824</v>
      </c>
      <c r="H2495">
        <f t="shared" si="330"/>
        <v>6</v>
      </c>
      <c r="I2495" t="str">
        <f t="shared" si="328"/>
        <v>Friday</v>
      </c>
      <c r="L2495">
        <f t="shared" ca="1" si="331"/>
        <v>0</v>
      </c>
    </row>
    <row r="2496" spans="1:12" x14ac:dyDescent="0.25">
      <c r="A2496">
        <v>133444654</v>
      </c>
      <c r="B2496" s="1">
        <v>45114</v>
      </c>
      <c r="C2496" s="1">
        <v>45117</v>
      </c>
      <c r="D2496" t="s">
        <v>7</v>
      </c>
      <c r="E2496">
        <v>39</v>
      </c>
      <c r="F2496" t="s">
        <v>6</v>
      </c>
      <c r="G2496" s="8">
        <f t="shared" si="329"/>
        <v>3</v>
      </c>
      <c r="H2496">
        <f t="shared" si="330"/>
        <v>6</v>
      </c>
      <c r="I2496" t="str">
        <f t="shared" si="328"/>
        <v>Friday</v>
      </c>
      <c r="L2496">
        <f t="shared" si="331"/>
        <v>0</v>
      </c>
    </row>
    <row r="2497" spans="1:12" x14ac:dyDescent="0.25">
      <c r="A2497">
        <v>217883594</v>
      </c>
      <c r="B2497" s="1">
        <v>45114</v>
      </c>
      <c r="C2497" s="1">
        <v>45134</v>
      </c>
      <c r="D2497" t="s">
        <v>7</v>
      </c>
      <c r="E2497">
        <v>39</v>
      </c>
      <c r="F2497" t="s">
        <v>6</v>
      </c>
      <c r="G2497" s="8">
        <f t="shared" si="329"/>
        <v>20</v>
      </c>
      <c r="H2497">
        <f t="shared" si="330"/>
        <v>6</v>
      </c>
      <c r="I2497" t="str">
        <f t="shared" si="328"/>
        <v>Friday</v>
      </c>
      <c r="L2497">
        <f t="shared" si="331"/>
        <v>0</v>
      </c>
    </row>
    <row r="2498" spans="1:12" x14ac:dyDescent="0.25">
      <c r="A2498">
        <v>197752733</v>
      </c>
      <c r="B2498" s="1">
        <v>45115</v>
      </c>
      <c r="C2498" s="1">
        <f t="shared" ref="C2498:C2504" ca="1" si="338">TODAY()</f>
        <v>45938</v>
      </c>
      <c r="D2498" t="s">
        <v>7</v>
      </c>
      <c r="E2498">
        <v>39</v>
      </c>
      <c r="F2498" t="s">
        <v>6</v>
      </c>
      <c r="G2498" s="8">
        <f t="shared" ca="1" si="329"/>
        <v>823</v>
      </c>
      <c r="H2498">
        <f t="shared" si="330"/>
        <v>7</v>
      </c>
      <c r="I2498" t="str">
        <f t="shared" ref="I2498:I2561" si="339">TEXT(B2498,"DDDD")</f>
        <v>Saturday</v>
      </c>
      <c r="L2498">
        <f t="shared" ca="1" si="331"/>
        <v>0</v>
      </c>
    </row>
    <row r="2499" spans="1:12" x14ac:dyDescent="0.25">
      <c r="A2499">
        <v>175884318</v>
      </c>
      <c r="B2499" s="1">
        <v>45115</v>
      </c>
      <c r="C2499" s="1">
        <f t="shared" ca="1" si="338"/>
        <v>45938</v>
      </c>
      <c r="D2499" t="s">
        <v>7</v>
      </c>
      <c r="E2499">
        <v>39</v>
      </c>
      <c r="F2499" t="s">
        <v>6</v>
      </c>
      <c r="G2499" s="8">
        <f t="shared" ref="G2499:G2562" ca="1" si="340">IFERROR(DATEDIF(B2499,C2499,"D"),"0")</f>
        <v>823</v>
      </c>
      <c r="H2499">
        <f t="shared" ref="H2499:H2562" si="341">WEEKDAY(B2499,1)</f>
        <v>7</v>
      </c>
      <c r="I2499" t="str">
        <f t="shared" si="339"/>
        <v>Saturday</v>
      </c>
      <c r="L2499">
        <f t="shared" ref="L2499:L2562" ca="1" si="342">IF( OR($G2499=0,$G2499 = 1, $G2499 = 2), 1, 0 )</f>
        <v>0</v>
      </c>
    </row>
    <row r="2500" spans="1:12" x14ac:dyDescent="0.25">
      <c r="A2500">
        <v>218413958</v>
      </c>
      <c r="B2500" s="1">
        <v>45115</v>
      </c>
      <c r="C2500" s="1">
        <f t="shared" ca="1" si="338"/>
        <v>45938</v>
      </c>
      <c r="D2500" t="s">
        <v>7</v>
      </c>
      <c r="E2500">
        <v>39</v>
      </c>
      <c r="F2500" t="s">
        <v>6</v>
      </c>
      <c r="G2500" s="8">
        <f t="shared" ca="1" si="340"/>
        <v>823</v>
      </c>
      <c r="H2500">
        <f t="shared" si="341"/>
        <v>7</v>
      </c>
      <c r="I2500" t="str">
        <f t="shared" si="339"/>
        <v>Saturday</v>
      </c>
      <c r="L2500">
        <f t="shared" ca="1" si="342"/>
        <v>0</v>
      </c>
    </row>
    <row r="2501" spans="1:12" x14ac:dyDescent="0.25">
      <c r="A2501">
        <v>218434925</v>
      </c>
      <c r="B2501" s="1">
        <v>45115</v>
      </c>
      <c r="C2501" s="1">
        <f t="shared" ca="1" si="338"/>
        <v>45938</v>
      </c>
      <c r="D2501" t="s">
        <v>7</v>
      </c>
      <c r="E2501">
        <v>39</v>
      </c>
      <c r="F2501" t="s">
        <v>6</v>
      </c>
      <c r="G2501" s="8">
        <f t="shared" ca="1" si="340"/>
        <v>823</v>
      </c>
      <c r="H2501">
        <f t="shared" si="341"/>
        <v>7</v>
      </c>
      <c r="I2501" t="str">
        <f t="shared" si="339"/>
        <v>Saturday</v>
      </c>
      <c r="L2501">
        <f t="shared" ca="1" si="342"/>
        <v>0</v>
      </c>
    </row>
    <row r="2502" spans="1:12" x14ac:dyDescent="0.25">
      <c r="A2502">
        <v>156817946</v>
      </c>
      <c r="B2502" s="1">
        <v>45115</v>
      </c>
      <c r="C2502" s="1">
        <f t="shared" ca="1" si="338"/>
        <v>45938</v>
      </c>
      <c r="D2502" t="s">
        <v>7</v>
      </c>
      <c r="E2502">
        <v>39</v>
      </c>
      <c r="F2502" t="s">
        <v>6</v>
      </c>
      <c r="G2502" s="8">
        <f t="shared" ca="1" si="340"/>
        <v>823</v>
      </c>
      <c r="H2502">
        <f t="shared" si="341"/>
        <v>7</v>
      </c>
      <c r="I2502" t="str">
        <f t="shared" si="339"/>
        <v>Saturday</v>
      </c>
      <c r="L2502">
        <f t="shared" ca="1" si="342"/>
        <v>0</v>
      </c>
    </row>
    <row r="2503" spans="1:12" x14ac:dyDescent="0.25">
      <c r="A2503">
        <v>218427268</v>
      </c>
      <c r="B2503" s="1">
        <v>45115</v>
      </c>
      <c r="C2503" s="1">
        <f t="shared" ca="1" si="338"/>
        <v>45938</v>
      </c>
      <c r="D2503" t="s">
        <v>7</v>
      </c>
      <c r="E2503">
        <v>39</v>
      </c>
      <c r="F2503" t="s">
        <v>6</v>
      </c>
      <c r="G2503" s="8">
        <f t="shared" ca="1" si="340"/>
        <v>823</v>
      </c>
      <c r="H2503">
        <f t="shared" si="341"/>
        <v>7</v>
      </c>
      <c r="I2503" t="str">
        <f t="shared" si="339"/>
        <v>Saturday</v>
      </c>
      <c r="L2503">
        <f t="shared" ca="1" si="342"/>
        <v>0</v>
      </c>
    </row>
    <row r="2504" spans="1:12" x14ac:dyDescent="0.25">
      <c r="A2504">
        <v>208492287</v>
      </c>
      <c r="B2504" s="1">
        <v>45115</v>
      </c>
      <c r="C2504" s="1">
        <f t="shared" ca="1" si="338"/>
        <v>45938</v>
      </c>
      <c r="D2504" t="s">
        <v>7</v>
      </c>
      <c r="E2504">
        <v>39</v>
      </c>
      <c r="F2504" t="s">
        <v>6</v>
      </c>
      <c r="G2504" s="8">
        <f t="shared" ca="1" si="340"/>
        <v>823</v>
      </c>
      <c r="H2504">
        <f t="shared" si="341"/>
        <v>7</v>
      </c>
      <c r="I2504" t="str">
        <f t="shared" si="339"/>
        <v>Saturday</v>
      </c>
      <c r="L2504">
        <f t="shared" ca="1" si="342"/>
        <v>0</v>
      </c>
    </row>
    <row r="2505" spans="1:12" x14ac:dyDescent="0.25">
      <c r="A2505">
        <v>217499098</v>
      </c>
      <c r="B2505" s="1">
        <v>45115</v>
      </c>
      <c r="C2505" s="1">
        <v>45116</v>
      </c>
      <c r="D2505" t="s">
        <v>7</v>
      </c>
      <c r="E2505">
        <v>39</v>
      </c>
      <c r="F2505" t="s">
        <v>6</v>
      </c>
      <c r="G2505" s="8">
        <f t="shared" si="340"/>
        <v>1</v>
      </c>
      <c r="H2505">
        <f t="shared" si="341"/>
        <v>7</v>
      </c>
      <c r="I2505" t="str">
        <f t="shared" si="339"/>
        <v>Saturday</v>
      </c>
      <c r="L2505">
        <f t="shared" si="342"/>
        <v>1</v>
      </c>
    </row>
    <row r="2506" spans="1:12" x14ac:dyDescent="0.25">
      <c r="A2506">
        <v>215723331</v>
      </c>
      <c r="B2506" s="1">
        <v>45115</v>
      </c>
      <c r="C2506" s="1">
        <v>45153</v>
      </c>
      <c r="D2506" t="s">
        <v>7</v>
      </c>
      <c r="E2506">
        <v>39</v>
      </c>
      <c r="F2506" t="s">
        <v>6</v>
      </c>
      <c r="G2506" s="8">
        <f t="shared" si="340"/>
        <v>38</v>
      </c>
      <c r="H2506">
        <f t="shared" si="341"/>
        <v>7</v>
      </c>
      <c r="I2506" t="str">
        <f t="shared" si="339"/>
        <v>Saturday</v>
      </c>
      <c r="L2506">
        <f t="shared" si="342"/>
        <v>0</v>
      </c>
    </row>
    <row r="2507" spans="1:12" x14ac:dyDescent="0.25">
      <c r="A2507">
        <v>122616074</v>
      </c>
      <c r="B2507" s="1">
        <v>45116</v>
      </c>
      <c r="C2507" s="1">
        <f t="shared" ref="C2507:C2510" ca="1" si="343">TODAY()</f>
        <v>45938</v>
      </c>
      <c r="D2507" t="s">
        <v>7</v>
      </c>
      <c r="E2507">
        <v>39</v>
      </c>
      <c r="F2507" t="s">
        <v>6</v>
      </c>
      <c r="G2507" s="8">
        <f t="shared" ca="1" si="340"/>
        <v>822</v>
      </c>
      <c r="H2507">
        <f t="shared" si="341"/>
        <v>1</v>
      </c>
      <c r="I2507" t="str">
        <f t="shared" si="339"/>
        <v>Sunday</v>
      </c>
      <c r="L2507">
        <f t="shared" ca="1" si="342"/>
        <v>0</v>
      </c>
    </row>
    <row r="2508" spans="1:12" x14ac:dyDescent="0.25">
      <c r="A2508">
        <v>218367490</v>
      </c>
      <c r="B2508" s="1">
        <v>45116</v>
      </c>
      <c r="C2508" s="1">
        <f t="shared" ca="1" si="343"/>
        <v>45938</v>
      </c>
      <c r="D2508" t="s">
        <v>7</v>
      </c>
      <c r="E2508">
        <v>39</v>
      </c>
      <c r="F2508" t="s">
        <v>6</v>
      </c>
      <c r="G2508" s="8">
        <f t="shared" ca="1" si="340"/>
        <v>822</v>
      </c>
      <c r="H2508">
        <f t="shared" si="341"/>
        <v>1</v>
      </c>
      <c r="I2508" t="str">
        <f t="shared" si="339"/>
        <v>Sunday</v>
      </c>
      <c r="L2508">
        <f t="shared" ca="1" si="342"/>
        <v>0</v>
      </c>
    </row>
    <row r="2509" spans="1:12" x14ac:dyDescent="0.25">
      <c r="A2509">
        <v>218415420</v>
      </c>
      <c r="B2509" s="1">
        <v>45116</v>
      </c>
      <c r="C2509" s="1">
        <f t="shared" ca="1" si="343"/>
        <v>45938</v>
      </c>
      <c r="D2509" t="s">
        <v>7</v>
      </c>
      <c r="E2509">
        <v>39</v>
      </c>
      <c r="F2509" t="s">
        <v>6</v>
      </c>
      <c r="G2509" s="8">
        <f t="shared" ca="1" si="340"/>
        <v>822</v>
      </c>
      <c r="H2509">
        <f t="shared" si="341"/>
        <v>1</v>
      </c>
      <c r="I2509" t="str">
        <f t="shared" si="339"/>
        <v>Sunday</v>
      </c>
      <c r="L2509">
        <f t="shared" ca="1" si="342"/>
        <v>0</v>
      </c>
    </row>
    <row r="2510" spans="1:12" x14ac:dyDescent="0.25">
      <c r="A2510">
        <v>135785962</v>
      </c>
      <c r="B2510" s="1">
        <v>45116</v>
      </c>
      <c r="C2510" s="1">
        <f t="shared" ca="1" si="343"/>
        <v>45938</v>
      </c>
      <c r="D2510" t="s">
        <v>7</v>
      </c>
      <c r="E2510">
        <v>39</v>
      </c>
      <c r="F2510" t="s">
        <v>6</v>
      </c>
      <c r="G2510" s="8">
        <f t="shared" ca="1" si="340"/>
        <v>822</v>
      </c>
      <c r="H2510">
        <f t="shared" si="341"/>
        <v>1</v>
      </c>
      <c r="I2510" t="str">
        <f t="shared" si="339"/>
        <v>Sunday</v>
      </c>
      <c r="L2510">
        <f t="shared" ca="1" si="342"/>
        <v>0</v>
      </c>
    </row>
    <row r="2511" spans="1:12" x14ac:dyDescent="0.25">
      <c r="A2511">
        <v>206121650</v>
      </c>
      <c r="B2511" s="1">
        <v>45116</v>
      </c>
      <c r="C2511" s="1">
        <v>45117</v>
      </c>
      <c r="D2511" t="s">
        <v>7</v>
      </c>
      <c r="E2511">
        <v>39</v>
      </c>
      <c r="F2511" t="s">
        <v>6</v>
      </c>
      <c r="G2511" s="8">
        <f t="shared" si="340"/>
        <v>1</v>
      </c>
      <c r="H2511">
        <f t="shared" si="341"/>
        <v>1</v>
      </c>
      <c r="I2511" t="str">
        <f t="shared" si="339"/>
        <v>Sunday</v>
      </c>
      <c r="L2511">
        <f t="shared" si="342"/>
        <v>1</v>
      </c>
    </row>
    <row r="2512" spans="1:12" x14ac:dyDescent="0.25">
      <c r="A2512">
        <v>218129819</v>
      </c>
      <c r="B2512" s="1">
        <v>45116</v>
      </c>
      <c r="C2512" s="1">
        <v>45141</v>
      </c>
      <c r="D2512" t="s">
        <v>7</v>
      </c>
      <c r="E2512">
        <v>39</v>
      </c>
      <c r="F2512" t="s">
        <v>6</v>
      </c>
      <c r="G2512" s="8">
        <f t="shared" si="340"/>
        <v>25</v>
      </c>
      <c r="H2512">
        <f t="shared" si="341"/>
        <v>1</v>
      </c>
      <c r="I2512" t="str">
        <f t="shared" si="339"/>
        <v>Sunday</v>
      </c>
      <c r="L2512">
        <f t="shared" si="342"/>
        <v>0</v>
      </c>
    </row>
    <row r="2513" spans="1:12" x14ac:dyDescent="0.25">
      <c r="A2513">
        <v>217766676</v>
      </c>
      <c r="B2513" s="1">
        <v>45116</v>
      </c>
      <c r="C2513" s="1">
        <v>45134</v>
      </c>
      <c r="D2513" t="s">
        <v>7</v>
      </c>
      <c r="E2513">
        <v>39</v>
      </c>
      <c r="F2513" t="s">
        <v>6</v>
      </c>
      <c r="G2513" s="8">
        <f t="shared" si="340"/>
        <v>18</v>
      </c>
      <c r="H2513">
        <f t="shared" si="341"/>
        <v>1</v>
      </c>
      <c r="I2513" t="str">
        <f t="shared" si="339"/>
        <v>Sunday</v>
      </c>
      <c r="L2513">
        <f t="shared" si="342"/>
        <v>0</v>
      </c>
    </row>
    <row r="2514" spans="1:12" x14ac:dyDescent="0.25">
      <c r="A2514">
        <v>216886336</v>
      </c>
      <c r="B2514" s="1">
        <v>45117</v>
      </c>
      <c r="C2514" s="1">
        <f t="shared" ref="C2514:C2517" ca="1" si="344">TODAY()</f>
        <v>45938</v>
      </c>
      <c r="D2514" t="s">
        <v>7</v>
      </c>
      <c r="E2514">
        <v>39</v>
      </c>
      <c r="F2514" t="s">
        <v>6</v>
      </c>
      <c r="G2514" s="8">
        <f t="shared" ca="1" si="340"/>
        <v>821</v>
      </c>
      <c r="H2514">
        <f t="shared" si="341"/>
        <v>2</v>
      </c>
      <c r="I2514" t="str">
        <f t="shared" si="339"/>
        <v>Monday</v>
      </c>
      <c r="L2514">
        <f t="shared" ca="1" si="342"/>
        <v>0</v>
      </c>
    </row>
    <row r="2515" spans="1:12" x14ac:dyDescent="0.25">
      <c r="A2515">
        <v>217991032</v>
      </c>
      <c r="B2515" s="1">
        <v>45117</v>
      </c>
      <c r="C2515" s="1">
        <f t="shared" ca="1" si="344"/>
        <v>45938</v>
      </c>
      <c r="D2515" t="s">
        <v>7</v>
      </c>
      <c r="E2515">
        <v>39</v>
      </c>
      <c r="F2515" t="s">
        <v>6</v>
      </c>
      <c r="G2515" s="8">
        <f t="shared" ca="1" si="340"/>
        <v>821</v>
      </c>
      <c r="H2515">
        <f t="shared" si="341"/>
        <v>2</v>
      </c>
      <c r="I2515" t="str">
        <f t="shared" si="339"/>
        <v>Monday</v>
      </c>
      <c r="L2515">
        <f t="shared" ca="1" si="342"/>
        <v>0</v>
      </c>
    </row>
    <row r="2516" spans="1:12" x14ac:dyDescent="0.25">
      <c r="A2516">
        <v>145797162</v>
      </c>
      <c r="B2516" s="1">
        <v>45117</v>
      </c>
      <c r="C2516" s="1">
        <f t="shared" ca="1" si="344"/>
        <v>45938</v>
      </c>
      <c r="D2516" t="s">
        <v>7</v>
      </c>
      <c r="E2516">
        <v>39</v>
      </c>
      <c r="F2516" t="s">
        <v>6</v>
      </c>
      <c r="G2516" s="8">
        <f t="shared" ca="1" si="340"/>
        <v>821</v>
      </c>
      <c r="H2516">
        <f t="shared" si="341"/>
        <v>2</v>
      </c>
      <c r="I2516" t="str">
        <f t="shared" si="339"/>
        <v>Monday</v>
      </c>
      <c r="L2516">
        <f t="shared" ca="1" si="342"/>
        <v>0</v>
      </c>
    </row>
    <row r="2517" spans="1:12" x14ac:dyDescent="0.25">
      <c r="A2517">
        <v>217581606</v>
      </c>
      <c r="B2517" s="1">
        <v>45117</v>
      </c>
      <c r="C2517" s="1">
        <f t="shared" ca="1" si="344"/>
        <v>45938</v>
      </c>
      <c r="D2517" t="s">
        <v>7</v>
      </c>
      <c r="E2517">
        <v>39</v>
      </c>
      <c r="F2517" t="s">
        <v>6</v>
      </c>
      <c r="G2517" s="8">
        <f t="shared" ca="1" si="340"/>
        <v>821</v>
      </c>
      <c r="H2517">
        <f t="shared" si="341"/>
        <v>2</v>
      </c>
      <c r="I2517" t="str">
        <f t="shared" si="339"/>
        <v>Monday</v>
      </c>
      <c r="L2517">
        <f t="shared" ca="1" si="342"/>
        <v>0</v>
      </c>
    </row>
    <row r="2518" spans="1:12" x14ac:dyDescent="0.25">
      <c r="A2518">
        <v>218459038</v>
      </c>
      <c r="B2518" s="1">
        <v>45117</v>
      </c>
      <c r="C2518" s="1">
        <v>45118</v>
      </c>
      <c r="D2518" t="s">
        <v>7</v>
      </c>
      <c r="E2518">
        <v>39</v>
      </c>
      <c r="F2518" t="s">
        <v>6</v>
      </c>
      <c r="G2518" s="8">
        <f t="shared" si="340"/>
        <v>1</v>
      </c>
      <c r="H2518">
        <f t="shared" si="341"/>
        <v>2</v>
      </c>
      <c r="I2518" t="str">
        <f t="shared" si="339"/>
        <v>Monday</v>
      </c>
      <c r="L2518">
        <f t="shared" si="342"/>
        <v>1</v>
      </c>
    </row>
    <row r="2519" spans="1:12" x14ac:dyDescent="0.25">
      <c r="A2519">
        <v>218526124</v>
      </c>
      <c r="B2519" s="1">
        <v>45117</v>
      </c>
      <c r="C2519" s="1">
        <v>45118</v>
      </c>
      <c r="D2519" t="s">
        <v>8</v>
      </c>
      <c r="E2519">
        <v>39</v>
      </c>
      <c r="F2519" t="s">
        <v>6</v>
      </c>
      <c r="G2519" s="8">
        <f t="shared" si="340"/>
        <v>1</v>
      </c>
      <c r="H2519">
        <f t="shared" si="341"/>
        <v>2</v>
      </c>
      <c r="I2519" t="str">
        <f t="shared" si="339"/>
        <v>Monday</v>
      </c>
      <c r="L2519">
        <f t="shared" si="342"/>
        <v>1</v>
      </c>
    </row>
    <row r="2520" spans="1:12" x14ac:dyDescent="0.25">
      <c r="A2520">
        <v>216335430</v>
      </c>
      <c r="B2520" s="1">
        <v>45117</v>
      </c>
      <c r="C2520" s="1">
        <v>45117</v>
      </c>
      <c r="D2520" t="s">
        <v>8</v>
      </c>
      <c r="E2520">
        <v>39</v>
      </c>
      <c r="F2520" t="s">
        <v>6</v>
      </c>
      <c r="G2520" s="8">
        <f t="shared" si="340"/>
        <v>0</v>
      </c>
      <c r="H2520">
        <f t="shared" si="341"/>
        <v>2</v>
      </c>
      <c r="I2520" t="str">
        <f t="shared" si="339"/>
        <v>Monday</v>
      </c>
      <c r="L2520">
        <f t="shared" si="342"/>
        <v>1</v>
      </c>
    </row>
    <row r="2521" spans="1:12" x14ac:dyDescent="0.25">
      <c r="A2521">
        <v>218519862</v>
      </c>
      <c r="B2521" s="1">
        <v>45117</v>
      </c>
      <c r="C2521" s="1">
        <v>45118</v>
      </c>
      <c r="D2521" t="s">
        <v>8</v>
      </c>
      <c r="E2521">
        <v>39</v>
      </c>
      <c r="F2521" t="s">
        <v>6</v>
      </c>
      <c r="G2521" s="8">
        <f t="shared" si="340"/>
        <v>1</v>
      </c>
      <c r="H2521">
        <f t="shared" si="341"/>
        <v>2</v>
      </c>
      <c r="I2521" t="str">
        <f t="shared" si="339"/>
        <v>Monday</v>
      </c>
      <c r="L2521">
        <f t="shared" si="342"/>
        <v>1</v>
      </c>
    </row>
    <row r="2522" spans="1:12" x14ac:dyDescent="0.25">
      <c r="A2522">
        <v>218496811</v>
      </c>
      <c r="B2522" s="1">
        <v>45117</v>
      </c>
      <c r="C2522" s="1">
        <v>45117</v>
      </c>
      <c r="D2522" t="s">
        <v>8</v>
      </c>
      <c r="E2522">
        <v>39</v>
      </c>
      <c r="F2522" t="s">
        <v>6</v>
      </c>
      <c r="G2522" s="8">
        <f t="shared" si="340"/>
        <v>0</v>
      </c>
      <c r="H2522">
        <f t="shared" si="341"/>
        <v>2</v>
      </c>
      <c r="I2522" t="str">
        <f t="shared" si="339"/>
        <v>Monday</v>
      </c>
      <c r="L2522">
        <f t="shared" si="342"/>
        <v>1</v>
      </c>
    </row>
    <row r="2523" spans="1:12" x14ac:dyDescent="0.25">
      <c r="A2523">
        <v>218490122</v>
      </c>
      <c r="B2523" s="1">
        <v>45117</v>
      </c>
      <c r="C2523" s="1">
        <v>45118</v>
      </c>
      <c r="D2523" t="s">
        <v>8</v>
      </c>
      <c r="E2523">
        <v>39</v>
      </c>
      <c r="F2523" t="s">
        <v>6</v>
      </c>
      <c r="G2523" s="8">
        <f t="shared" si="340"/>
        <v>1</v>
      </c>
      <c r="H2523">
        <f t="shared" si="341"/>
        <v>2</v>
      </c>
      <c r="I2523" t="str">
        <f t="shared" si="339"/>
        <v>Monday</v>
      </c>
      <c r="L2523">
        <f t="shared" si="342"/>
        <v>1</v>
      </c>
    </row>
    <row r="2524" spans="1:12" x14ac:dyDescent="0.25">
      <c r="A2524">
        <v>216337502</v>
      </c>
      <c r="B2524" s="1">
        <v>45117</v>
      </c>
      <c r="C2524" s="1">
        <v>45117</v>
      </c>
      <c r="D2524" t="s">
        <v>8</v>
      </c>
      <c r="E2524">
        <v>39</v>
      </c>
      <c r="F2524" t="s">
        <v>6</v>
      </c>
      <c r="G2524" s="8">
        <f t="shared" si="340"/>
        <v>0</v>
      </c>
      <c r="H2524">
        <f t="shared" si="341"/>
        <v>2</v>
      </c>
      <c r="I2524" t="str">
        <f t="shared" si="339"/>
        <v>Monday</v>
      </c>
      <c r="L2524">
        <f t="shared" si="342"/>
        <v>1</v>
      </c>
    </row>
    <row r="2525" spans="1:12" x14ac:dyDescent="0.25">
      <c r="A2525">
        <v>143111905</v>
      </c>
      <c r="B2525" s="1">
        <v>45117</v>
      </c>
      <c r="C2525" s="1">
        <v>45155</v>
      </c>
      <c r="D2525" t="s">
        <v>7</v>
      </c>
      <c r="E2525">
        <v>39</v>
      </c>
      <c r="F2525" t="s">
        <v>6</v>
      </c>
      <c r="G2525" s="8">
        <f t="shared" si="340"/>
        <v>38</v>
      </c>
      <c r="H2525">
        <f t="shared" si="341"/>
        <v>2</v>
      </c>
      <c r="I2525" t="str">
        <f t="shared" si="339"/>
        <v>Monday</v>
      </c>
      <c r="L2525">
        <f t="shared" si="342"/>
        <v>0</v>
      </c>
    </row>
    <row r="2526" spans="1:12" x14ac:dyDescent="0.25">
      <c r="A2526">
        <v>217709772</v>
      </c>
      <c r="B2526" s="1">
        <v>45117</v>
      </c>
      <c r="C2526" s="1">
        <v>45150</v>
      </c>
      <c r="D2526" t="s">
        <v>7</v>
      </c>
      <c r="E2526">
        <v>39</v>
      </c>
      <c r="F2526" t="s">
        <v>6</v>
      </c>
      <c r="G2526" s="8">
        <f t="shared" si="340"/>
        <v>33</v>
      </c>
      <c r="H2526">
        <f t="shared" si="341"/>
        <v>2</v>
      </c>
      <c r="I2526" t="str">
        <f t="shared" si="339"/>
        <v>Monday</v>
      </c>
      <c r="L2526">
        <f t="shared" si="342"/>
        <v>0</v>
      </c>
    </row>
    <row r="2527" spans="1:12" x14ac:dyDescent="0.25">
      <c r="A2527">
        <v>214924190</v>
      </c>
      <c r="B2527" s="1">
        <v>45117</v>
      </c>
      <c r="C2527" s="1">
        <v>45148</v>
      </c>
      <c r="D2527" t="s">
        <v>7</v>
      </c>
      <c r="E2527">
        <v>39</v>
      </c>
      <c r="F2527" t="s">
        <v>6</v>
      </c>
      <c r="G2527" s="8">
        <f t="shared" si="340"/>
        <v>31</v>
      </c>
      <c r="H2527">
        <f t="shared" si="341"/>
        <v>2</v>
      </c>
      <c r="I2527" t="str">
        <f t="shared" si="339"/>
        <v>Monday</v>
      </c>
      <c r="L2527">
        <f t="shared" si="342"/>
        <v>0</v>
      </c>
    </row>
    <row r="2528" spans="1:12" x14ac:dyDescent="0.25">
      <c r="A2528">
        <v>217914198</v>
      </c>
      <c r="B2528" s="1">
        <v>45117</v>
      </c>
      <c r="C2528" s="1">
        <v>45137</v>
      </c>
      <c r="D2528" t="s">
        <v>7</v>
      </c>
      <c r="E2528">
        <v>39</v>
      </c>
      <c r="F2528" t="s">
        <v>6</v>
      </c>
      <c r="G2528" s="8">
        <f t="shared" si="340"/>
        <v>20</v>
      </c>
      <c r="H2528">
        <f t="shared" si="341"/>
        <v>2</v>
      </c>
      <c r="I2528" t="str">
        <f t="shared" si="339"/>
        <v>Monday</v>
      </c>
      <c r="L2528">
        <f t="shared" si="342"/>
        <v>0</v>
      </c>
    </row>
    <row r="2529" spans="1:12" x14ac:dyDescent="0.25">
      <c r="A2529">
        <v>217773501</v>
      </c>
      <c r="B2529" s="1">
        <v>45117</v>
      </c>
      <c r="C2529" s="1">
        <v>45117</v>
      </c>
      <c r="D2529" t="s">
        <v>7</v>
      </c>
      <c r="E2529">
        <v>39</v>
      </c>
      <c r="F2529" t="s">
        <v>6</v>
      </c>
      <c r="G2529" s="8">
        <f t="shared" si="340"/>
        <v>0</v>
      </c>
      <c r="H2529">
        <f t="shared" si="341"/>
        <v>2</v>
      </c>
      <c r="I2529" t="str">
        <f t="shared" si="339"/>
        <v>Monday</v>
      </c>
      <c r="L2529">
        <f t="shared" si="342"/>
        <v>1</v>
      </c>
    </row>
    <row r="2530" spans="1:12" x14ac:dyDescent="0.25">
      <c r="A2530">
        <v>215311765</v>
      </c>
      <c r="B2530" s="1">
        <v>45118</v>
      </c>
      <c r="C2530" s="1">
        <f t="shared" ref="C2530:C2537" ca="1" si="345">TODAY()</f>
        <v>45938</v>
      </c>
      <c r="D2530" t="s">
        <v>7</v>
      </c>
      <c r="E2530">
        <v>39</v>
      </c>
      <c r="F2530" t="s">
        <v>6</v>
      </c>
      <c r="G2530" s="8">
        <f t="shared" ca="1" si="340"/>
        <v>820</v>
      </c>
      <c r="H2530">
        <f t="shared" si="341"/>
        <v>3</v>
      </c>
      <c r="I2530" t="str">
        <f t="shared" si="339"/>
        <v>Tuesday</v>
      </c>
      <c r="L2530">
        <f t="shared" ca="1" si="342"/>
        <v>0</v>
      </c>
    </row>
    <row r="2531" spans="1:12" x14ac:dyDescent="0.25">
      <c r="A2531">
        <v>218554220</v>
      </c>
      <c r="B2531" s="1">
        <v>45118</v>
      </c>
      <c r="C2531" s="1">
        <f t="shared" ca="1" si="345"/>
        <v>45938</v>
      </c>
      <c r="D2531" t="s">
        <v>7</v>
      </c>
      <c r="E2531">
        <v>39</v>
      </c>
      <c r="F2531" t="s">
        <v>6</v>
      </c>
      <c r="G2531" s="8">
        <f t="shared" ca="1" si="340"/>
        <v>820</v>
      </c>
      <c r="H2531">
        <f t="shared" si="341"/>
        <v>3</v>
      </c>
      <c r="I2531" t="str">
        <f t="shared" si="339"/>
        <v>Tuesday</v>
      </c>
      <c r="L2531">
        <f t="shared" ca="1" si="342"/>
        <v>0</v>
      </c>
    </row>
    <row r="2532" spans="1:12" x14ac:dyDescent="0.25">
      <c r="A2532">
        <v>209743418</v>
      </c>
      <c r="B2532" s="1">
        <v>45118</v>
      </c>
      <c r="C2532" s="1">
        <f t="shared" ca="1" si="345"/>
        <v>45938</v>
      </c>
      <c r="D2532" t="s">
        <v>7</v>
      </c>
      <c r="E2532">
        <v>39</v>
      </c>
      <c r="F2532" t="s">
        <v>6</v>
      </c>
      <c r="G2532" s="8">
        <f t="shared" ca="1" si="340"/>
        <v>820</v>
      </c>
      <c r="H2532">
        <f t="shared" si="341"/>
        <v>3</v>
      </c>
      <c r="I2532" t="str">
        <f t="shared" si="339"/>
        <v>Tuesday</v>
      </c>
      <c r="L2532">
        <f t="shared" ca="1" si="342"/>
        <v>0</v>
      </c>
    </row>
    <row r="2533" spans="1:12" x14ac:dyDescent="0.25">
      <c r="A2533">
        <v>218553244</v>
      </c>
      <c r="B2533" s="1">
        <v>45118</v>
      </c>
      <c r="C2533" s="1">
        <f t="shared" ca="1" si="345"/>
        <v>45938</v>
      </c>
      <c r="D2533" t="s">
        <v>7</v>
      </c>
      <c r="E2533">
        <v>39</v>
      </c>
      <c r="F2533" t="s">
        <v>6</v>
      </c>
      <c r="G2533" s="8">
        <f t="shared" ca="1" si="340"/>
        <v>820</v>
      </c>
      <c r="H2533">
        <f t="shared" si="341"/>
        <v>3</v>
      </c>
      <c r="I2533" t="str">
        <f t="shared" si="339"/>
        <v>Tuesday</v>
      </c>
      <c r="L2533">
        <f t="shared" ca="1" si="342"/>
        <v>0</v>
      </c>
    </row>
    <row r="2534" spans="1:12" x14ac:dyDescent="0.25">
      <c r="A2534">
        <v>218548492</v>
      </c>
      <c r="B2534" s="1">
        <v>45118</v>
      </c>
      <c r="C2534" s="1">
        <f t="shared" ca="1" si="345"/>
        <v>45938</v>
      </c>
      <c r="D2534" t="s">
        <v>7</v>
      </c>
      <c r="E2534">
        <v>39</v>
      </c>
      <c r="F2534" t="s">
        <v>6</v>
      </c>
      <c r="G2534" s="8">
        <f t="shared" ca="1" si="340"/>
        <v>820</v>
      </c>
      <c r="H2534">
        <f t="shared" si="341"/>
        <v>3</v>
      </c>
      <c r="I2534" t="str">
        <f t="shared" si="339"/>
        <v>Tuesday</v>
      </c>
      <c r="L2534">
        <f t="shared" ca="1" si="342"/>
        <v>0</v>
      </c>
    </row>
    <row r="2535" spans="1:12" x14ac:dyDescent="0.25">
      <c r="A2535">
        <v>217958138</v>
      </c>
      <c r="B2535" s="1">
        <v>45118</v>
      </c>
      <c r="C2535" s="1">
        <f t="shared" ca="1" si="345"/>
        <v>45938</v>
      </c>
      <c r="D2535" t="s">
        <v>7</v>
      </c>
      <c r="E2535">
        <v>39</v>
      </c>
      <c r="F2535" t="s">
        <v>6</v>
      </c>
      <c r="G2535" s="8">
        <f t="shared" ca="1" si="340"/>
        <v>820</v>
      </c>
      <c r="H2535">
        <f t="shared" si="341"/>
        <v>3</v>
      </c>
      <c r="I2535" t="str">
        <f t="shared" si="339"/>
        <v>Tuesday</v>
      </c>
      <c r="L2535">
        <f t="shared" ca="1" si="342"/>
        <v>0</v>
      </c>
    </row>
    <row r="2536" spans="1:12" x14ac:dyDescent="0.25">
      <c r="A2536">
        <v>218365623</v>
      </c>
      <c r="B2536" s="1">
        <v>45118</v>
      </c>
      <c r="C2536" s="1">
        <f t="shared" ca="1" si="345"/>
        <v>45938</v>
      </c>
      <c r="D2536" t="s">
        <v>7</v>
      </c>
      <c r="E2536">
        <v>39</v>
      </c>
      <c r="F2536" t="s">
        <v>6</v>
      </c>
      <c r="G2536" s="8">
        <f t="shared" ca="1" si="340"/>
        <v>820</v>
      </c>
      <c r="H2536">
        <f t="shared" si="341"/>
        <v>3</v>
      </c>
      <c r="I2536" t="str">
        <f t="shared" si="339"/>
        <v>Tuesday</v>
      </c>
      <c r="L2536">
        <f t="shared" ca="1" si="342"/>
        <v>0</v>
      </c>
    </row>
    <row r="2537" spans="1:12" x14ac:dyDescent="0.25">
      <c r="A2537">
        <v>218512642</v>
      </c>
      <c r="B2537" s="1">
        <v>45118</v>
      </c>
      <c r="C2537" s="1">
        <f t="shared" ca="1" si="345"/>
        <v>45938</v>
      </c>
      <c r="D2537" t="s">
        <v>7</v>
      </c>
      <c r="E2537">
        <v>39</v>
      </c>
      <c r="F2537" t="s">
        <v>6</v>
      </c>
      <c r="G2537" s="8">
        <f t="shared" ca="1" si="340"/>
        <v>820</v>
      </c>
      <c r="H2537">
        <f t="shared" si="341"/>
        <v>3</v>
      </c>
      <c r="I2537" t="str">
        <f t="shared" si="339"/>
        <v>Tuesday</v>
      </c>
      <c r="L2537">
        <f t="shared" ca="1" si="342"/>
        <v>0</v>
      </c>
    </row>
    <row r="2538" spans="1:12" x14ac:dyDescent="0.25">
      <c r="A2538">
        <v>218569099</v>
      </c>
      <c r="B2538" s="1">
        <v>45118</v>
      </c>
      <c r="C2538" s="1">
        <v>45174</v>
      </c>
      <c r="D2538" t="s">
        <v>7</v>
      </c>
      <c r="E2538">
        <v>39</v>
      </c>
      <c r="F2538" t="s">
        <v>6</v>
      </c>
      <c r="G2538" s="8">
        <f t="shared" si="340"/>
        <v>56</v>
      </c>
      <c r="H2538">
        <f t="shared" si="341"/>
        <v>3</v>
      </c>
      <c r="I2538" t="str">
        <f t="shared" si="339"/>
        <v>Tuesday</v>
      </c>
      <c r="L2538">
        <f t="shared" si="342"/>
        <v>0</v>
      </c>
    </row>
    <row r="2539" spans="1:12" x14ac:dyDescent="0.25">
      <c r="A2539">
        <v>218304590</v>
      </c>
      <c r="B2539" s="1">
        <v>45118</v>
      </c>
      <c r="C2539" s="1">
        <v>45168</v>
      </c>
      <c r="D2539" t="s">
        <v>7</v>
      </c>
      <c r="E2539">
        <v>39</v>
      </c>
      <c r="F2539" t="s">
        <v>6</v>
      </c>
      <c r="G2539" s="8">
        <f t="shared" si="340"/>
        <v>50</v>
      </c>
      <c r="H2539">
        <f t="shared" si="341"/>
        <v>3</v>
      </c>
      <c r="I2539" t="str">
        <f t="shared" si="339"/>
        <v>Tuesday</v>
      </c>
      <c r="L2539">
        <f t="shared" si="342"/>
        <v>0</v>
      </c>
    </row>
    <row r="2540" spans="1:12" x14ac:dyDescent="0.25">
      <c r="A2540">
        <v>215390636</v>
      </c>
      <c r="B2540" s="1">
        <v>45118</v>
      </c>
      <c r="C2540" s="1">
        <v>45176</v>
      </c>
      <c r="D2540" t="s">
        <v>7</v>
      </c>
      <c r="E2540">
        <v>39</v>
      </c>
      <c r="F2540" t="s">
        <v>6</v>
      </c>
      <c r="G2540" s="8">
        <f t="shared" si="340"/>
        <v>58</v>
      </c>
      <c r="H2540">
        <f t="shared" si="341"/>
        <v>3</v>
      </c>
      <c r="I2540" t="str">
        <f t="shared" si="339"/>
        <v>Tuesday</v>
      </c>
      <c r="L2540">
        <f t="shared" si="342"/>
        <v>0</v>
      </c>
    </row>
    <row r="2541" spans="1:12" x14ac:dyDescent="0.25">
      <c r="A2541">
        <v>218538760</v>
      </c>
      <c r="B2541" s="1">
        <v>45118</v>
      </c>
      <c r="C2541" s="1">
        <v>45156</v>
      </c>
      <c r="D2541" t="s">
        <v>7</v>
      </c>
      <c r="E2541">
        <v>39</v>
      </c>
      <c r="F2541" t="s">
        <v>6</v>
      </c>
      <c r="G2541" s="8">
        <f t="shared" si="340"/>
        <v>38</v>
      </c>
      <c r="H2541">
        <f t="shared" si="341"/>
        <v>3</v>
      </c>
      <c r="I2541" t="str">
        <f t="shared" si="339"/>
        <v>Tuesday</v>
      </c>
      <c r="L2541">
        <f t="shared" si="342"/>
        <v>0</v>
      </c>
    </row>
    <row r="2542" spans="1:12" x14ac:dyDescent="0.25">
      <c r="A2542">
        <v>218544489</v>
      </c>
      <c r="B2542" s="1">
        <v>45118</v>
      </c>
      <c r="C2542" s="1">
        <v>45149</v>
      </c>
      <c r="D2542" t="s">
        <v>7</v>
      </c>
      <c r="E2542">
        <v>39</v>
      </c>
      <c r="F2542" t="s">
        <v>6</v>
      </c>
      <c r="G2542" s="8">
        <f t="shared" si="340"/>
        <v>31</v>
      </c>
      <c r="H2542">
        <f t="shared" si="341"/>
        <v>3</v>
      </c>
      <c r="I2542" t="str">
        <f t="shared" si="339"/>
        <v>Tuesday</v>
      </c>
      <c r="L2542">
        <f t="shared" si="342"/>
        <v>0</v>
      </c>
    </row>
    <row r="2543" spans="1:12" x14ac:dyDescent="0.25">
      <c r="A2543">
        <v>180161087</v>
      </c>
      <c r="B2543" s="1">
        <v>45118</v>
      </c>
      <c r="C2543" s="1">
        <v>45148</v>
      </c>
      <c r="D2543" t="s">
        <v>7</v>
      </c>
      <c r="E2543">
        <v>39</v>
      </c>
      <c r="F2543" t="s">
        <v>6</v>
      </c>
      <c r="G2543" s="8">
        <f t="shared" si="340"/>
        <v>30</v>
      </c>
      <c r="H2543">
        <f t="shared" si="341"/>
        <v>3</v>
      </c>
      <c r="I2543" t="str">
        <f t="shared" si="339"/>
        <v>Tuesday</v>
      </c>
      <c r="L2543">
        <f t="shared" si="342"/>
        <v>0</v>
      </c>
    </row>
    <row r="2544" spans="1:12" x14ac:dyDescent="0.25">
      <c r="A2544">
        <v>218484551</v>
      </c>
      <c r="B2544" s="1">
        <v>45118</v>
      </c>
      <c r="C2544" s="1">
        <v>45156</v>
      </c>
      <c r="D2544" t="s">
        <v>7</v>
      </c>
      <c r="E2544">
        <v>39</v>
      </c>
      <c r="F2544" t="s">
        <v>6</v>
      </c>
      <c r="G2544" s="8">
        <f t="shared" si="340"/>
        <v>38</v>
      </c>
      <c r="H2544">
        <f t="shared" si="341"/>
        <v>3</v>
      </c>
      <c r="I2544" t="str">
        <f t="shared" si="339"/>
        <v>Tuesday</v>
      </c>
      <c r="L2544">
        <f t="shared" si="342"/>
        <v>0</v>
      </c>
    </row>
    <row r="2545" spans="1:12" x14ac:dyDescent="0.25">
      <c r="A2545">
        <v>218570737</v>
      </c>
      <c r="B2545" s="1">
        <v>45118</v>
      </c>
      <c r="C2545" s="1">
        <v>45119</v>
      </c>
      <c r="D2545" t="s">
        <v>7</v>
      </c>
      <c r="E2545">
        <v>39</v>
      </c>
      <c r="F2545" t="s">
        <v>6</v>
      </c>
      <c r="G2545" s="8">
        <f t="shared" si="340"/>
        <v>1</v>
      </c>
      <c r="H2545">
        <f t="shared" si="341"/>
        <v>3</v>
      </c>
      <c r="I2545" t="str">
        <f t="shared" si="339"/>
        <v>Tuesday</v>
      </c>
      <c r="L2545">
        <f t="shared" si="342"/>
        <v>1</v>
      </c>
    </row>
    <row r="2546" spans="1:12" x14ac:dyDescent="0.25">
      <c r="A2546">
        <v>218526607</v>
      </c>
      <c r="B2546" s="1">
        <v>45119</v>
      </c>
      <c r="C2546" s="1">
        <f t="shared" ref="C2546:C2551" ca="1" si="346">TODAY()</f>
        <v>45938</v>
      </c>
      <c r="D2546" t="s">
        <v>7</v>
      </c>
      <c r="E2546">
        <v>39</v>
      </c>
      <c r="F2546" t="s">
        <v>6</v>
      </c>
      <c r="G2546" s="8">
        <f t="shared" ca="1" si="340"/>
        <v>819</v>
      </c>
      <c r="H2546">
        <f t="shared" si="341"/>
        <v>4</v>
      </c>
      <c r="I2546" t="str">
        <f t="shared" si="339"/>
        <v>Wednesday</v>
      </c>
      <c r="L2546">
        <f t="shared" ca="1" si="342"/>
        <v>0</v>
      </c>
    </row>
    <row r="2547" spans="1:12" x14ac:dyDescent="0.25">
      <c r="A2547">
        <v>211011508</v>
      </c>
      <c r="B2547" s="1">
        <v>45119</v>
      </c>
      <c r="C2547" s="1">
        <f t="shared" ca="1" si="346"/>
        <v>45938</v>
      </c>
      <c r="D2547" t="s">
        <v>7</v>
      </c>
      <c r="E2547">
        <v>39</v>
      </c>
      <c r="F2547" t="s">
        <v>6</v>
      </c>
      <c r="G2547" s="8">
        <f t="shared" ca="1" si="340"/>
        <v>819</v>
      </c>
      <c r="H2547">
        <f t="shared" si="341"/>
        <v>4</v>
      </c>
      <c r="I2547" t="str">
        <f t="shared" si="339"/>
        <v>Wednesday</v>
      </c>
      <c r="L2547">
        <f t="shared" ca="1" si="342"/>
        <v>0</v>
      </c>
    </row>
    <row r="2548" spans="1:12" x14ac:dyDescent="0.25">
      <c r="A2548">
        <v>218610100</v>
      </c>
      <c r="B2548" s="1">
        <v>45119</v>
      </c>
      <c r="C2548" s="1">
        <f t="shared" ca="1" si="346"/>
        <v>45938</v>
      </c>
      <c r="D2548" t="s">
        <v>7</v>
      </c>
      <c r="E2548">
        <v>39</v>
      </c>
      <c r="F2548" t="s">
        <v>6</v>
      </c>
      <c r="G2548" s="8">
        <f t="shared" ca="1" si="340"/>
        <v>819</v>
      </c>
      <c r="H2548">
        <f t="shared" si="341"/>
        <v>4</v>
      </c>
      <c r="I2548" t="str">
        <f t="shared" si="339"/>
        <v>Wednesday</v>
      </c>
      <c r="L2548">
        <f t="shared" ca="1" si="342"/>
        <v>0</v>
      </c>
    </row>
    <row r="2549" spans="1:12" x14ac:dyDescent="0.25">
      <c r="A2549">
        <v>206055148</v>
      </c>
      <c r="B2549" s="1">
        <v>45119</v>
      </c>
      <c r="C2549" s="1">
        <f t="shared" ca="1" si="346"/>
        <v>45938</v>
      </c>
      <c r="D2549" t="s">
        <v>7</v>
      </c>
      <c r="E2549">
        <v>39</v>
      </c>
      <c r="F2549" t="s">
        <v>6</v>
      </c>
      <c r="G2549" s="8">
        <f t="shared" ca="1" si="340"/>
        <v>819</v>
      </c>
      <c r="H2549">
        <f t="shared" si="341"/>
        <v>4</v>
      </c>
      <c r="I2549" t="str">
        <f t="shared" si="339"/>
        <v>Wednesday</v>
      </c>
      <c r="L2549">
        <f t="shared" ca="1" si="342"/>
        <v>0</v>
      </c>
    </row>
    <row r="2550" spans="1:12" x14ac:dyDescent="0.25">
      <c r="A2550">
        <v>150509877</v>
      </c>
      <c r="B2550" s="1">
        <v>45119</v>
      </c>
      <c r="C2550" s="1">
        <f t="shared" ca="1" si="346"/>
        <v>45938</v>
      </c>
      <c r="D2550" t="s">
        <v>7</v>
      </c>
      <c r="E2550">
        <v>39</v>
      </c>
      <c r="F2550" t="s">
        <v>6</v>
      </c>
      <c r="G2550" s="8">
        <f t="shared" ca="1" si="340"/>
        <v>819</v>
      </c>
      <c r="H2550">
        <f t="shared" si="341"/>
        <v>4</v>
      </c>
      <c r="I2550" t="str">
        <f t="shared" si="339"/>
        <v>Wednesday</v>
      </c>
      <c r="L2550">
        <f t="shared" ca="1" si="342"/>
        <v>0</v>
      </c>
    </row>
    <row r="2551" spans="1:12" x14ac:dyDescent="0.25">
      <c r="A2551">
        <v>218498112</v>
      </c>
      <c r="B2551" s="1">
        <v>45119</v>
      </c>
      <c r="C2551" s="1">
        <f t="shared" ca="1" si="346"/>
        <v>45938</v>
      </c>
      <c r="D2551" t="s">
        <v>7</v>
      </c>
      <c r="E2551">
        <v>39</v>
      </c>
      <c r="F2551" t="s">
        <v>6</v>
      </c>
      <c r="G2551" s="8">
        <f t="shared" ca="1" si="340"/>
        <v>819</v>
      </c>
      <c r="H2551">
        <f t="shared" si="341"/>
        <v>4</v>
      </c>
      <c r="I2551" t="str">
        <f t="shared" si="339"/>
        <v>Wednesday</v>
      </c>
      <c r="L2551">
        <f t="shared" ca="1" si="342"/>
        <v>0</v>
      </c>
    </row>
    <row r="2552" spans="1:12" x14ac:dyDescent="0.25">
      <c r="A2552">
        <v>218624538</v>
      </c>
      <c r="B2552" s="1">
        <v>45119</v>
      </c>
      <c r="C2552" s="1">
        <v>45160</v>
      </c>
      <c r="D2552" t="s">
        <v>7</v>
      </c>
      <c r="E2552">
        <v>39</v>
      </c>
      <c r="F2552" t="s">
        <v>6</v>
      </c>
      <c r="G2552" s="8">
        <f t="shared" si="340"/>
        <v>41</v>
      </c>
      <c r="H2552">
        <f t="shared" si="341"/>
        <v>4</v>
      </c>
      <c r="I2552" t="str">
        <f t="shared" si="339"/>
        <v>Wednesday</v>
      </c>
      <c r="L2552">
        <f t="shared" si="342"/>
        <v>0</v>
      </c>
    </row>
    <row r="2553" spans="1:12" x14ac:dyDescent="0.25">
      <c r="A2553">
        <v>218467300</v>
      </c>
      <c r="B2553" s="1">
        <v>45119</v>
      </c>
      <c r="C2553" s="1">
        <v>45151</v>
      </c>
      <c r="D2553" t="s">
        <v>7</v>
      </c>
      <c r="E2553">
        <v>39</v>
      </c>
      <c r="F2553" t="s">
        <v>6</v>
      </c>
      <c r="G2553" s="8">
        <f t="shared" si="340"/>
        <v>32</v>
      </c>
      <c r="H2553">
        <f t="shared" si="341"/>
        <v>4</v>
      </c>
      <c r="I2553" t="str">
        <f t="shared" si="339"/>
        <v>Wednesday</v>
      </c>
      <c r="L2553">
        <f t="shared" si="342"/>
        <v>0</v>
      </c>
    </row>
    <row r="2554" spans="1:12" x14ac:dyDescent="0.25">
      <c r="A2554">
        <v>218509554</v>
      </c>
      <c r="B2554" s="1">
        <v>45119</v>
      </c>
      <c r="C2554" s="1">
        <v>45129</v>
      </c>
      <c r="D2554" t="s">
        <v>7</v>
      </c>
      <c r="E2554">
        <v>39</v>
      </c>
      <c r="F2554" t="s">
        <v>6</v>
      </c>
      <c r="G2554" s="8">
        <f t="shared" si="340"/>
        <v>10</v>
      </c>
      <c r="H2554">
        <f t="shared" si="341"/>
        <v>4</v>
      </c>
      <c r="I2554" t="str">
        <f t="shared" si="339"/>
        <v>Wednesday</v>
      </c>
      <c r="L2554">
        <f t="shared" si="342"/>
        <v>0</v>
      </c>
    </row>
    <row r="2555" spans="1:12" x14ac:dyDescent="0.25">
      <c r="A2555">
        <v>218257588</v>
      </c>
      <c r="B2555" s="1">
        <v>45120</v>
      </c>
      <c r="C2555" s="1">
        <f t="shared" ref="C2555:C2559" ca="1" si="347">TODAY()</f>
        <v>45938</v>
      </c>
      <c r="D2555" t="s">
        <v>7</v>
      </c>
      <c r="E2555">
        <v>39</v>
      </c>
      <c r="F2555" t="s">
        <v>6</v>
      </c>
      <c r="G2555" s="8">
        <f t="shared" ca="1" si="340"/>
        <v>818</v>
      </c>
      <c r="H2555">
        <f t="shared" si="341"/>
        <v>5</v>
      </c>
      <c r="I2555" t="str">
        <f t="shared" si="339"/>
        <v>Thursday</v>
      </c>
      <c r="L2555">
        <f t="shared" ca="1" si="342"/>
        <v>0</v>
      </c>
    </row>
    <row r="2556" spans="1:12" x14ac:dyDescent="0.25">
      <c r="A2556">
        <v>218114325</v>
      </c>
      <c r="B2556" s="1">
        <v>45120</v>
      </c>
      <c r="C2556" s="1">
        <f t="shared" ca="1" si="347"/>
        <v>45938</v>
      </c>
      <c r="D2556" t="s">
        <v>7</v>
      </c>
      <c r="E2556">
        <v>39</v>
      </c>
      <c r="F2556" t="s">
        <v>6</v>
      </c>
      <c r="G2556" s="8">
        <f t="shared" ca="1" si="340"/>
        <v>818</v>
      </c>
      <c r="H2556">
        <f t="shared" si="341"/>
        <v>5</v>
      </c>
      <c r="I2556" t="str">
        <f t="shared" si="339"/>
        <v>Thursday</v>
      </c>
      <c r="L2556">
        <f t="shared" ca="1" si="342"/>
        <v>0</v>
      </c>
    </row>
    <row r="2557" spans="1:12" x14ac:dyDescent="0.25">
      <c r="A2557">
        <v>218325441</v>
      </c>
      <c r="B2557" s="1">
        <v>45120</v>
      </c>
      <c r="C2557" s="1">
        <f t="shared" ca="1" si="347"/>
        <v>45938</v>
      </c>
      <c r="D2557" t="s">
        <v>7</v>
      </c>
      <c r="E2557">
        <v>39</v>
      </c>
      <c r="F2557" t="s">
        <v>6</v>
      </c>
      <c r="G2557" s="8">
        <f t="shared" ca="1" si="340"/>
        <v>818</v>
      </c>
      <c r="H2557">
        <f t="shared" si="341"/>
        <v>5</v>
      </c>
      <c r="I2557" t="str">
        <f t="shared" si="339"/>
        <v>Thursday</v>
      </c>
      <c r="L2557">
        <f t="shared" ca="1" si="342"/>
        <v>0</v>
      </c>
    </row>
    <row r="2558" spans="1:12" x14ac:dyDescent="0.25">
      <c r="A2558">
        <v>218235047</v>
      </c>
      <c r="B2558" s="1">
        <v>45120</v>
      </c>
      <c r="C2558" s="1">
        <f t="shared" ca="1" si="347"/>
        <v>45938</v>
      </c>
      <c r="D2558" t="s">
        <v>7</v>
      </c>
      <c r="E2558">
        <v>39</v>
      </c>
      <c r="F2558" t="s">
        <v>6</v>
      </c>
      <c r="G2558" s="8">
        <f t="shared" ca="1" si="340"/>
        <v>818</v>
      </c>
      <c r="H2558">
        <f t="shared" si="341"/>
        <v>5</v>
      </c>
      <c r="I2558" t="str">
        <f t="shared" si="339"/>
        <v>Thursday</v>
      </c>
      <c r="L2558">
        <f t="shared" ca="1" si="342"/>
        <v>0</v>
      </c>
    </row>
    <row r="2559" spans="1:12" x14ac:dyDescent="0.25">
      <c r="A2559">
        <v>218598866</v>
      </c>
      <c r="B2559" s="1">
        <v>45120</v>
      </c>
      <c r="C2559" s="1">
        <f t="shared" ca="1" si="347"/>
        <v>45938</v>
      </c>
      <c r="D2559" t="s">
        <v>7</v>
      </c>
      <c r="E2559">
        <v>39</v>
      </c>
      <c r="F2559" t="s">
        <v>6</v>
      </c>
      <c r="G2559" s="8">
        <f t="shared" ca="1" si="340"/>
        <v>818</v>
      </c>
      <c r="H2559">
        <f t="shared" si="341"/>
        <v>5</v>
      </c>
      <c r="I2559" t="str">
        <f t="shared" si="339"/>
        <v>Thursday</v>
      </c>
      <c r="L2559">
        <f t="shared" ca="1" si="342"/>
        <v>0</v>
      </c>
    </row>
    <row r="2560" spans="1:12" x14ac:dyDescent="0.25">
      <c r="A2560">
        <v>218644881</v>
      </c>
      <c r="B2560" s="1">
        <v>45120</v>
      </c>
      <c r="C2560" s="1">
        <v>45154</v>
      </c>
      <c r="D2560" t="s">
        <v>7</v>
      </c>
      <c r="E2560">
        <v>39</v>
      </c>
      <c r="F2560" t="s">
        <v>6</v>
      </c>
      <c r="G2560" s="8">
        <f t="shared" si="340"/>
        <v>34</v>
      </c>
      <c r="H2560">
        <f t="shared" si="341"/>
        <v>5</v>
      </c>
      <c r="I2560" t="str">
        <f t="shared" si="339"/>
        <v>Thursday</v>
      </c>
      <c r="L2560">
        <f t="shared" si="342"/>
        <v>0</v>
      </c>
    </row>
    <row r="2561" spans="1:12" x14ac:dyDescent="0.25">
      <c r="A2561">
        <v>218509727</v>
      </c>
      <c r="B2561" s="1">
        <v>45120</v>
      </c>
      <c r="C2561" s="1">
        <v>45147</v>
      </c>
      <c r="D2561" t="s">
        <v>7</v>
      </c>
      <c r="E2561">
        <v>39</v>
      </c>
      <c r="F2561" t="s">
        <v>6</v>
      </c>
      <c r="G2561" s="8">
        <f t="shared" si="340"/>
        <v>27</v>
      </c>
      <c r="H2561">
        <f t="shared" si="341"/>
        <v>5</v>
      </c>
      <c r="I2561" t="str">
        <f t="shared" si="339"/>
        <v>Thursday</v>
      </c>
      <c r="L2561">
        <f t="shared" si="342"/>
        <v>0</v>
      </c>
    </row>
    <row r="2562" spans="1:12" x14ac:dyDescent="0.25">
      <c r="A2562">
        <v>150623785</v>
      </c>
      <c r="B2562" s="1">
        <v>45120</v>
      </c>
      <c r="C2562" s="1">
        <v>45152</v>
      </c>
      <c r="D2562" t="s">
        <v>7</v>
      </c>
      <c r="E2562">
        <v>39</v>
      </c>
      <c r="F2562" t="s">
        <v>6</v>
      </c>
      <c r="G2562" s="8">
        <f t="shared" si="340"/>
        <v>32</v>
      </c>
      <c r="H2562">
        <f t="shared" si="341"/>
        <v>5</v>
      </c>
      <c r="I2562" t="str">
        <f t="shared" ref="I2562:I2625" si="348">TEXT(B2562,"DDDD")</f>
        <v>Thursday</v>
      </c>
      <c r="L2562">
        <f t="shared" si="342"/>
        <v>0</v>
      </c>
    </row>
    <row r="2563" spans="1:12" x14ac:dyDescent="0.25">
      <c r="A2563">
        <v>218586552</v>
      </c>
      <c r="B2563" s="1">
        <v>45120</v>
      </c>
      <c r="C2563" s="1">
        <v>45152</v>
      </c>
      <c r="D2563" t="s">
        <v>7</v>
      </c>
      <c r="E2563">
        <v>39</v>
      </c>
      <c r="F2563" t="s">
        <v>6</v>
      </c>
      <c r="G2563" s="8">
        <f t="shared" ref="G2563:G2626" si="349">IFERROR(DATEDIF(B2563,C2563,"D"),"0")</f>
        <v>32</v>
      </c>
      <c r="H2563">
        <f t="shared" ref="H2563:H2626" si="350">WEEKDAY(B2563,1)</f>
        <v>5</v>
      </c>
      <c r="I2563" t="str">
        <f t="shared" si="348"/>
        <v>Thursday</v>
      </c>
      <c r="L2563">
        <f t="shared" ref="L2563:L2626" si="351">IF( OR($G2563=0,$G2563 = 1, $G2563 = 2), 1, 0 )</f>
        <v>0</v>
      </c>
    </row>
    <row r="2564" spans="1:12" x14ac:dyDescent="0.25">
      <c r="A2564">
        <v>218514844</v>
      </c>
      <c r="B2564" s="1">
        <v>45120</v>
      </c>
      <c r="C2564" s="1">
        <v>45124</v>
      </c>
      <c r="D2564" t="s">
        <v>7</v>
      </c>
      <c r="E2564">
        <v>39</v>
      </c>
      <c r="F2564" t="s">
        <v>6</v>
      </c>
      <c r="G2564" s="8">
        <f t="shared" si="349"/>
        <v>4</v>
      </c>
      <c r="H2564">
        <f t="shared" si="350"/>
        <v>5</v>
      </c>
      <c r="I2564" t="str">
        <f t="shared" si="348"/>
        <v>Thursday</v>
      </c>
      <c r="L2564">
        <f t="shared" si="351"/>
        <v>0</v>
      </c>
    </row>
    <row r="2565" spans="1:12" x14ac:dyDescent="0.25">
      <c r="A2565">
        <v>218694806</v>
      </c>
      <c r="B2565" s="1">
        <v>45121</v>
      </c>
      <c r="C2565" s="1">
        <f t="shared" ref="C2565:C2566" ca="1" si="352">TODAY()</f>
        <v>45938</v>
      </c>
      <c r="D2565" t="s">
        <v>7</v>
      </c>
      <c r="E2565">
        <v>39</v>
      </c>
      <c r="F2565" t="s">
        <v>6</v>
      </c>
      <c r="G2565" s="8">
        <f t="shared" ca="1" si="349"/>
        <v>817</v>
      </c>
      <c r="H2565">
        <f t="shared" si="350"/>
        <v>6</v>
      </c>
      <c r="I2565" t="str">
        <f t="shared" si="348"/>
        <v>Friday</v>
      </c>
      <c r="L2565">
        <f t="shared" ca="1" si="351"/>
        <v>0</v>
      </c>
    </row>
    <row r="2566" spans="1:12" x14ac:dyDescent="0.25">
      <c r="A2566">
        <v>218678174</v>
      </c>
      <c r="B2566" s="1">
        <v>45121</v>
      </c>
      <c r="C2566" s="1">
        <f t="shared" ca="1" si="352"/>
        <v>45938</v>
      </c>
      <c r="D2566" t="s">
        <v>7</v>
      </c>
      <c r="E2566">
        <v>39</v>
      </c>
      <c r="F2566" t="s">
        <v>6</v>
      </c>
      <c r="G2566" s="8">
        <f t="shared" ca="1" si="349"/>
        <v>817</v>
      </c>
      <c r="H2566">
        <f t="shared" si="350"/>
        <v>6</v>
      </c>
      <c r="I2566" t="str">
        <f t="shared" si="348"/>
        <v>Friday</v>
      </c>
      <c r="L2566">
        <f t="shared" ca="1" si="351"/>
        <v>0</v>
      </c>
    </row>
    <row r="2567" spans="1:12" x14ac:dyDescent="0.25">
      <c r="A2567">
        <v>218695487</v>
      </c>
      <c r="B2567" s="1">
        <v>45121</v>
      </c>
      <c r="C2567" s="1">
        <v>45177</v>
      </c>
      <c r="D2567" t="s">
        <v>7</v>
      </c>
      <c r="E2567">
        <v>39</v>
      </c>
      <c r="F2567" t="s">
        <v>6</v>
      </c>
      <c r="G2567" s="8">
        <f t="shared" si="349"/>
        <v>56</v>
      </c>
      <c r="H2567">
        <f t="shared" si="350"/>
        <v>6</v>
      </c>
      <c r="I2567" t="str">
        <f t="shared" si="348"/>
        <v>Friday</v>
      </c>
      <c r="L2567">
        <f t="shared" si="351"/>
        <v>0</v>
      </c>
    </row>
    <row r="2568" spans="1:12" x14ac:dyDescent="0.25">
      <c r="A2568">
        <v>218678790</v>
      </c>
      <c r="B2568" s="1">
        <v>45121</v>
      </c>
      <c r="C2568" s="1">
        <v>45159</v>
      </c>
      <c r="D2568" t="s">
        <v>7</v>
      </c>
      <c r="E2568">
        <v>39</v>
      </c>
      <c r="F2568" t="s">
        <v>6</v>
      </c>
      <c r="G2568" s="8">
        <f t="shared" si="349"/>
        <v>38</v>
      </c>
      <c r="H2568">
        <f t="shared" si="350"/>
        <v>6</v>
      </c>
      <c r="I2568" t="str">
        <f t="shared" si="348"/>
        <v>Friday</v>
      </c>
      <c r="L2568">
        <f t="shared" si="351"/>
        <v>0</v>
      </c>
    </row>
    <row r="2569" spans="1:12" x14ac:dyDescent="0.25">
      <c r="A2569">
        <v>217499098</v>
      </c>
      <c r="B2569" s="1">
        <v>45121</v>
      </c>
      <c r="C2569" s="1">
        <v>45159</v>
      </c>
      <c r="D2569" t="s">
        <v>7</v>
      </c>
      <c r="E2569">
        <v>39</v>
      </c>
      <c r="F2569" t="s">
        <v>6</v>
      </c>
      <c r="G2569" s="8">
        <f t="shared" si="349"/>
        <v>38</v>
      </c>
      <c r="H2569">
        <f t="shared" si="350"/>
        <v>6</v>
      </c>
      <c r="I2569" t="str">
        <f t="shared" si="348"/>
        <v>Friday</v>
      </c>
      <c r="L2569">
        <f t="shared" si="351"/>
        <v>0</v>
      </c>
    </row>
    <row r="2570" spans="1:12" x14ac:dyDescent="0.25">
      <c r="A2570">
        <v>217976753</v>
      </c>
      <c r="B2570" s="1">
        <v>45121</v>
      </c>
      <c r="C2570" s="1">
        <v>45159</v>
      </c>
      <c r="D2570" t="s">
        <v>7</v>
      </c>
      <c r="E2570">
        <v>39</v>
      </c>
      <c r="F2570" t="s">
        <v>6</v>
      </c>
      <c r="G2570" s="8">
        <f t="shared" si="349"/>
        <v>38</v>
      </c>
      <c r="H2570">
        <f t="shared" si="350"/>
        <v>6</v>
      </c>
      <c r="I2570" t="str">
        <f t="shared" si="348"/>
        <v>Friday</v>
      </c>
      <c r="L2570">
        <f t="shared" si="351"/>
        <v>0</v>
      </c>
    </row>
    <row r="2571" spans="1:12" x14ac:dyDescent="0.25">
      <c r="A2571">
        <v>199359226</v>
      </c>
      <c r="B2571" s="1">
        <v>45121</v>
      </c>
      <c r="C2571" s="1">
        <v>45122</v>
      </c>
      <c r="D2571" t="s">
        <v>7</v>
      </c>
      <c r="E2571">
        <v>39</v>
      </c>
      <c r="F2571" t="s">
        <v>6</v>
      </c>
      <c r="G2571" s="8">
        <f t="shared" si="349"/>
        <v>1</v>
      </c>
      <c r="H2571">
        <f t="shared" si="350"/>
        <v>6</v>
      </c>
      <c r="I2571" t="str">
        <f t="shared" si="348"/>
        <v>Friday</v>
      </c>
      <c r="L2571">
        <f t="shared" si="351"/>
        <v>1</v>
      </c>
    </row>
    <row r="2572" spans="1:12" x14ac:dyDescent="0.25">
      <c r="A2572">
        <v>121814098</v>
      </c>
      <c r="B2572" s="1">
        <v>45122</v>
      </c>
      <c r="C2572" s="1">
        <f t="shared" ref="C2572:C2576" ca="1" si="353">TODAY()</f>
        <v>45938</v>
      </c>
      <c r="D2572" t="s">
        <v>7</v>
      </c>
      <c r="E2572">
        <v>39</v>
      </c>
      <c r="F2572" t="s">
        <v>6</v>
      </c>
      <c r="G2572" s="8">
        <f t="shared" ca="1" si="349"/>
        <v>816</v>
      </c>
      <c r="H2572">
        <f t="shared" si="350"/>
        <v>7</v>
      </c>
      <c r="I2572" t="str">
        <f t="shared" si="348"/>
        <v>Saturday</v>
      </c>
      <c r="L2572">
        <f t="shared" ca="1" si="351"/>
        <v>0</v>
      </c>
    </row>
    <row r="2573" spans="1:12" x14ac:dyDescent="0.25">
      <c r="A2573">
        <v>215605718</v>
      </c>
      <c r="B2573" s="1">
        <v>45122</v>
      </c>
      <c r="C2573" s="1">
        <f t="shared" ca="1" si="353"/>
        <v>45938</v>
      </c>
      <c r="D2573" t="s">
        <v>7</v>
      </c>
      <c r="E2573">
        <v>39</v>
      </c>
      <c r="F2573" t="s">
        <v>6</v>
      </c>
      <c r="G2573" s="8">
        <f t="shared" ca="1" si="349"/>
        <v>816</v>
      </c>
      <c r="H2573">
        <f t="shared" si="350"/>
        <v>7</v>
      </c>
      <c r="I2573" t="str">
        <f t="shared" si="348"/>
        <v>Saturday</v>
      </c>
      <c r="L2573">
        <f t="shared" ca="1" si="351"/>
        <v>0</v>
      </c>
    </row>
    <row r="2574" spans="1:12" x14ac:dyDescent="0.25">
      <c r="A2574">
        <v>218325705</v>
      </c>
      <c r="B2574" s="1">
        <v>45122</v>
      </c>
      <c r="C2574" s="1">
        <f t="shared" ca="1" si="353"/>
        <v>45938</v>
      </c>
      <c r="D2574" t="s">
        <v>7</v>
      </c>
      <c r="E2574">
        <v>39</v>
      </c>
      <c r="F2574" t="s">
        <v>6</v>
      </c>
      <c r="G2574" s="8">
        <f t="shared" ca="1" si="349"/>
        <v>816</v>
      </c>
      <c r="H2574">
        <f t="shared" si="350"/>
        <v>7</v>
      </c>
      <c r="I2574" t="str">
        <f t="shared" si="348"/>
        <v>Saturday</v>
      </c>
      <c r="L2574">
        <f t="shared" ca="1" si="351"/>
        <v>0</v>
      </c>
    </row>
    <row r="2575" spans="1:12" x14ac:dyDescent="0.25">
      <c r="A2575">
        <v>208598253</v>
      </c>
      <c r="B2575" s="1">
        <v>45122</v>
      </c>
      <c r="C2575" s="1">
        <f t="shared" ca="1" si="353"/>
        <v>45938</v>
      </c>
      <c r="D2575" t="s">
        <v>7</v>
      </c>
      <c r="E2575">
        <v>39</v>
      </c>
      <c r="F2575" t="s">
        <v>6</v>
      </c>
      <c r="G2575" s="8">
        <f t="shared" ca="1" si="349"/>
        <v>816</v>
      </c>
      <c r="H2575">
        <f t="shared" si="350"/>
        <v>7</v>
      </c>
      <c r="I2575" t="str">
        <f t="shared" si="348"/>
        <v>Saturday</v>
      </c>
      <c r="L2575">
        <f t="shared" ca="1" si="351"/>
        <v>0</v>
      </c>
    </row>
    <row r="2576" spans="1:12" x14ac:dyDescent="0.25">
      <c r="A2576">
        <v>218655628</v>
      </c>
      <c r="B2576" s="1">
        <v>45122</v>
      </c>
      <c r="C2576" s="1">
        <f t="shared" ca="1" si="353"/>
        <v>45938</v>
      </c>
      <c r="D2576" t="s">
        <v>7</v>
      </c>
      <c r="E2576">
        <v>39</v>
      </c>
      <c r="F2576" t="s">
        <v>6</v>
      </c>
      <c r="G2576" s="8">
        <f t="shared" ca="1" si="349"/>
        <v>816</v>
      </c>
      <c r="H2576">
        <f t="shared" si="350"/>
        <v>7</v>
      </c>
      <c r="I2576" t="str">
        <f t="shared" si="348"/>
        <v>Saturday</v>
      </c>
      <c r="L2576">
        <f t="shared" ca="1" si="351"/>
        <v>0</v>
      </c>
    </row>
    <row r="2577" spans="1:12" x14ac:dyDescent="0.25">
      <c r="A2577">
        <v>185602413</v>
      </c>
      <c r="B2577" s="1">
        <v>45122</v>
      </c>
      <c r="C2577" s="1">
        <v>45123</v>
      </c>
      <c r="D2577" t="s">
        <v>7</v>
      </c>
      <c r="E2577">
        <v>39</v>
      </c>
      <c r="F2577" t="s">
        <v>6</v>
      </c>
      <c r="G2577" s="8">
        <f t="shared" si="349"/>
        <v>1</v>
      </c>
      <c r="H2577">
        <f t="shared" si="350"/>
        <v>7</v>
      </c>
      <c r="I2577" t="str">
        <f t="shared" si="348"/>
        <v>Saturday</v>
      </c>
      <c r="L2577">
        <f t="shared" si="351"/>
        <v>1</v>
      </c>
    </row>
    <row r="2578" spans="1:12" x14ac:dyDescent="0.25">
      <c r="A2578">
        <v>154082747</v>
      </c>
      <c r="B2578" s="1">
        <v>45122</v>
      </c>
      <c r="C2578" s="1">
        <v>45130</v>
      </c>
      <c r="D2578" t="s">
        <v>7</v>
      </c>
      <c r="E2578">
        <v>39</v>
      </c>
      <c r="F2578" t="s">
        <v>6</v>
      </c>
      <c r="G2578" s="8">
        <f t="shared" si="349"/>
        <v>8</v>
      </c>
      <c r="H2578">
        <f t="shared" si="350"/>
        <v>7</v>
      </c>
      <c r="I2578" t="str">
        <f t="shared" si="348"/>
        <v>Saturday</v>
      </c>
      <c r="L2578">
        <f t="shared" si="351"/>
        <v>0</v>
      </c>
    </row>
    <row r="2579" spans="1:12" x14ac:dyDescent="0.25">
      <c r="A2579">
        <v>218017402</v>
      </c>
      <c r="B2579" s="1">
        <v>45122</v>
      </c>
      <c r="C2579" s="1">
        <v>45160</v>
      </c>
      <c r="D2579" t="s">
        <v>7</v>
      </c>
      <c r="E2579">
        <v>39</v>
      </c>
      <c r="F2579" t="s">
        <v>6</v>
      </c>
      <c r="G2579" s="8">
        <f t="shared" si="349"/>
        <v>38</v>
      </c>
      <c r="H2579">
        <f t="shared" si="350"/>
        <v>7</v>
      </c>
      <c r="I2579" t="str">
        <f t="shared" si="348"/>
        <v>Saturday</v>
      </c>
      <c r="L2579">
        <f t="shared" si="351"/>
        <v>0</v>
      </c>
    </row>
    <row r="2580" spans="1:12" x14ac:dyDescent="0.25">
      <c r="A2580">
        <v>218792880</v>
      </c>
      <c r="B2580" s="1">
        <v>45123</v>
      </c>
      <c r="C2580" s="1">
        <f t="shared" ref="C2580:C2584" ca="1" si="354">TODAY()</f>
        <v>45938</v>
      </c>
      <c r="D2580" t="s">
        <v>7</v>
      </c>
      <c r="E2580">
        <v>39</v>
      </c>
      <c r="F2580" t="s">
        <v>6</v>
      </c>
      <c r="G2580" s="8">
        <f t="shared" ca="1" si="349"/>
        <v>815</v>
      </c>
      <c r="H2580">
        <f t="shared" si="350"/>
        <v>1</v>
      </c>
      <c r="I2580" t="str">
        <f t="shared" si="348"/>
        <v>Sunday</v>
      </c>
      <c r="L2580">
        <f t="shared" ca="1" si="351"/>
        <v>0</v>
      </c>
    </row>
    <row r="2581" spans="1:12" x14ac:dyDescent="0.25">
      <c r="A2581">
        <v>218761808</v>
      </c>
      <c r="B2581" s="1">
        <v>45123</v>
      </c>
      <c r="C2581" s="1">
        <f t="shared" ca="1" si="354"/>
        <v>45938</v>
      </c>
      <c r="D2581" t="s">
        <v>7</v>
      </c>
      <c r="E2581">
        <v>39</v>
      </c>
      <c r="F2581" t="s">
        <v>6</v>
      </c>
      <c r="G2581" s="8">
        <f t="shared" ca="1" si="349"/>
        <v>815</v>
      </c>
      <c r="H2581">
        <f t="shared" si="350"/>
        <v>1</v>
      </c>
      <c r="I2581" t="str">
        <f t="shared" si="348"/>
        <v>Sunday</v>
      </c>
      <c r="L2581">
        <f t="shared" ca="1" si="351"/>
        <v>0</v>
      </c>
    </row>
    <row r="2582" spans="1:12" x14ac:dyDescent="0.25">
      <c r="A2582">
        <v>149303812</v>
      </c>
      <c r="B2582" s="1">
        <v>45123</v>
      </c>
      <c r="C2582" s="1">
        <f t="shared" ca="1" si="354"/>
        <v>45938</v>
      </c>
      <c r="D2582" t="s">
        <v>7</v>
      </c>
      <c r="E2582">
        <v>39</v>
      </c>
      <c r="F2582" t="s">
        <v>6</v>
      </c>
      <c r="G2582" s="8">
        <f t="shared" ca="1" si="349"/>
        <v>815</v>
      </c>
      <c r="H2582">
        <f t="shared" si="350"/>
        <v>1</v>
      </c>
      <c r="I2582" t="str">
        <f t="shared" si="348"/>
        <v>Sunday</v>
      </c>
      <c r="L2582">
        <f t="shared" ca="1" si="351"/>
        <v>0</v>
      </c>
    </row>
    <row r="2583" spans="1:12" x14ac:dyDescent="0.25">
      <c r="A2583">
        <v>216144261</v>
      </c>
      <c r="B2583" s="1">
        <v>45123</v>
      </c>
      <c r="C2583" s="1">
        <f t="shared" ca="1" si="354"/>
        <v>45938</v>
      </c>
      <c r="D2583" t="s">
        <v>7</v>
      </c>
      <c r="E2583">
        <v>39</v>
      </c>
      <c r="F2583" t="s">
        <v>6</v>
      </c>
      <c r="G2583" s="8">
        <f t="shared" ca="1" si="349"/>
        <v>815</v>
      </c>
      <c r="H2583">
        <f t="shared" si="350"/>
        <v>1</v>
      </c>
      <c r="I2583" t="str">
        <f t="shared" si="348"/>
        <v>Sunday</v>
      </c>
      <c r="L2583">
        <f t="shared" ca="1" si="351"/>
        <v>0</v>
      </c>
    </row>
    <row r="2584" spans="1:12" x14ac:dyDescent="0.25">
      <c r="A2584">
        <v>215976742</v>
      </c>
      <c r="B2584" s="1">
        <v>45123</v>
      </c>
      <c r="C2584" s="1">
        <f t="shared" ca="1" si="354"/>
        <v>45938</v>
      </c>
      <c r="D2584" t="s">
        <v>7</v>
      </c>
      <c r="E2584">
        <v>39</v>
      </c>
      <c r="F2584" t="s">
        <v>6</v>
      </c>
      <c r="G2584" s="8">
        <f t="shared" ca="1" si="349"/>
        <v>815</v>
      </c>
      <c r="H2584">
        <f t="shared" si="350"/>
        <v>1</v>
      </c>
      <c r="I2584" t="str">
        <f t="shared" si="348"/>
        <v>Sunday</v>
      </c>
      <c r="L2584">
        <f t="shared" ca="1" si="351"/>
        <v>0</v>
      </c>
    </row>
    <row r="2585" spans="1:12" x14ac:dyDescent="0.25">
      <c r="A2585">
        <v>218617631</v>
      </c>
      <c r="B2585" s="1">
        <v>45123</v>
      </c>
      <c r="C2585" s="1">
        <v>45161</v>
      </c>
      <c r="D2585" t="s">
        <v>7</v>
      </c>
      <c r="E2585">
        <v>39</v>
      </c>
      <c r="F2585" t="s">
        <v>6</v>
      </c>
      <c r="G2585" s="8">
        <f t="shared" si="349"/>
        <v>38</v>
      </c>
      <c r="H2585">
        <f t="shared" si="350"/>
        <v>1</v>
      </c>
      <c r="I2585" t="str">
        <f t="shared" si="348"/>
        <v>Sunday</v>
      </c>
      <c r="L2585">
        <f t="shared" si="351"/>
        <v>0</v>
      </c>
    </row>
    <row r="2586" spans="1:12" x14ac:dyDescent="0.25">
      <c r="A2586">
        <v>218770458</v>
      </c>
      <c r="B2586" s="1">
        <v>45123</v>
      </c>
      <c r="C2586" s="1">
        <v>45141</v>
      </c>
      <c r="D2586" t="s">
        <v>7</v>
      </c>
      <c r="E2586">
        <v>39</v>
      </c>
      <c r="F2586" t="s">
        <v>6</v>
      </c>
      <c r="G2586" s="8">
        <f t="shared" si="349"/>
        <v>18</v>
      </c>
      <c r="H2586">
        <f t="shared" si="350"/>
        <v>1</v>
      </c>
      <c r="I2586" t="str">
        <f t="shared" si="348"/>
        <v>Sunday</v>
      </c>
      <c r="L2586">
        <f t="shared" si="351"/>
        <v>0</v>
      </c>
    </row>
    <row r="2587" spans="1:12" x14ac:dyDescent="0.25">
      <c r="A2587">
        <v>218720472</v>
      </c>
      <c r="B2587" s="1">
        <v>45123</v>
      </c>
      <c r="C2587" s="1">
        <v>45157</v>
      </c>
      <c r="D2587" t="s">
        <v>7</v>
      </c>
      <c r="E2587">
        <v>39</v>
      </c>
      <c r="F2587" t="s">
        <v>6</v>
      </c>
      <c r="G2587" s="8">
        <f t="shared" si="349"/>
        <v>34</v>
      </c>
      <c r="H2587">
        <f t="shared" si="350"/>
        <v>1</v>
      </c>
      <c r="I2587" t="str">
        <f t="shared" si="348"/>
        <v>Sunday</v>
      </c>
      <c r="L2587">
        <f t="shared" si="351"/>
        <v>0</v>
      </c>
    </row>
    <row r="2588" spans="1:12" x14ac:dyDescent="0.25">
      <c r="A2588">
        <v>218846909</v>
      </c>
      <c r="B2588" s="1">
        <v>45124</v>
      </c>
      <c r="C2588" s="1">
        <f t="shared" ref="C2588:C2594" ca="1" si="355">TODAY()</f>
        <v>45938</v>
      </c>
      <c r="D2588" t="s">
        <v>7</v>
      </c>
      <c r="E2588">
        <v>39</v>
      </c>
      <c r="F2588" t="s">
        <v>6</v>
      </c>
      <c r="G2588" s="8">
        <f t="shared" ca="1" si="349"/>
        <v>814</v>
      </c>
      <c r="H2588">
        <f t="shared" si="350"/>
        <v>2</v>
      </c>
      <c r="I2588" t="str">
        <f t="shared" si="348"/>
        <v>Monday</v>
      </c>
      <c r="L2588">
        <f t="shared" ca="1" si="351"/>
        <v>0</v>
      </c>
    </row>
    <row r="2589" spans="1:12" x14ac:dyDescent="0.25">
      <c r="A2589">
        <v>214714278</v>
      </c>
      <c r="B2589" s="1">
        <v>45124</v>
      </c>
      <c r="C2589" s="1">
        <f t="shared" ca="1" si="355"/>
        <v>45938</v>
      </c>
      <c r="D2589" t="s">
        <v>7</v>
      </c>
      <c r="E2589">
        <v>39</v>
      </c>
      <c r="F2589" t="s">
        <v>6</v>
      </c>
      <c r="G2589" s="8">
        <f t="shared" ca="1" si="349"/>
        <v>814</v>
      </c>
      <c r="H2589">
        <f t="shared" si="350"/>
        <v>2</v>
      </c>
      <c r="I2589" t="str">
        <f t="shared" si="348"/>
        <v>Monday</v>
      </c>
      <c r="L2589">
        <f t="shared" ca="1" si="351"/>
        <v>0</v>
      </c>
    </row>
    <row r="2590" spans="1:12" x14ac:dyDescent="0.25">
      <c r="A2590">
        <v>218529158</v>
      </c>
      <c r="B2590" s="1">
        <v>45124</v>
      </c>
      <c r="C2590" s="1">
        <f t="shared" ca="1" si="355"/>
        <v>45938</v>
      </c>
      <c r="D2590" t="s">
        <v>7</v>
      </c>
      <c r="E2590">
        <v>39</v>
      </c>
      <c r="F2590" t="s">
        <v>6</v>
      </c>
      <c r="G2590" s="8">
        <f t="shared" ca="1" si="349"/>
        <v>814</v>
      </c>
      <c r="H2590">
        <f t="shared" si="350"/>
        <v>2</v>
      </c>
      <c r="I2590" t="str">
        <f t="shared" si="348"/>
        <v>Monday</v>
      </c>
      <c r="L2590">
        <f t="shared" ca="1" si="351"/>
        <v>0</v>
      </c>
    </row>
    <row r="2591" spans="1:12" x14ac:dyDescent="0.25">
      <c r="A2591">
        <v>218837719</v>
      </c>
      <c r="B2591" s="1">
        <v>45124</v>
      </c>
      <c r="C2591" s="1">
        <f t="shared" ca="1" si="355"/>
        <v>45938</v>
      </c>
      <c r="D2591" t="s">
        <v>7</v>
      </c>
      <c r="E2591">
        <v>39</v>
      </c>
      <c r="F2591" t="s">
        <v>6</v>
      </c>
      <c r="G2591" s="8">
        <f t="shared" ca="1" si="349"/>
        <v>814</v>
      </c>
      <c r="H2591">
        <f t="shared" si="350"/>
        <v>2</v>
      </c>
      <c r="I2591" t="str">
        <f t="shared" si="348"/>
        <v>Monday</v>
      </c>
      <c r="L2591">
        <f t="shared" ca="1" si="351"/>
        <v>0</v>
      </c>
    </row>
    <row r="2592" spans="1:12" x14ac:dyDescent="0.25">
      <c r="A2592">
        <v>194367477</v>
      </c>
      <c r="B2592" s="1">
        <v>45124</v>
      </c>
      <c r="C2592" s="1">
        <f t="shared" ca="1" si="355"/>
        <v>45938</v>
      </c>
      <c r="D2592" t="s">
        <v>7</v>
      </c>
      <c r="E2592">
        <v>39</v>
      </c>
      <c r="F2592" t="s">
        <v>6</v>
      </c>
      <c r="G2592" s="8">
        <f t="shared" ca="1" si="349"/>
        <v>814</v>
      </c>
      <c r="H2592">
        <f t="shared" si="350"/>
        <v>2</v>
      </c>
      <c r="I2592" t="str">
        <f t="shared" si="348"/>
        <v>Monday</v>
      </c>
      <c r="L2592">
        <f t="shared" ca="1" si="351"/>
        <v>0</v>
      </c>
    </row>
    <row r="2593" spans="1:12" x14ac:dyDescent="0.25">
      <c r="A2593">
        <v>218300066</v>
      </c>
      <c r="B2593" s="1">
        <v>45124</v>
      </c>
      <c r="C2593" s="1">
        <f t="shared" ca="1" si="355"/>
        <v>45938</v>
      </c>
      <c r="D2593" t="s">
        <v>7</v>
      </c>
      <c r="E2593">
        <v>39</v>
      </c>
      <c r="F2593" t="s">
        <v>6</v>
      </c>
      <c r="G2593" s="8">
        <f t="shared" ca="1" si="349"/>
        <v>814</v>
      </c>
      <c r="H2593">
        <f t="shared" si="350"/>
        <v>2</v>
      </c>
      <c r="I2593" t="str">
        <f t="shared" si="348"/>
        <v>Monday</v>
      </c>
      <c r="L2593">
        <f t="shared" ca="1" si="351"/>
        <v>0</v>
      </c>
    </row>
    <row r="2594" spans="1:12" x14ac:dyDescent="0.25">
      <c r="A2594">
        <v>218553583</v>
      </c>
      <c r="B2594" s="1">
        <v>45124</v>
      </c>
      <c r="C2594" s="1">
        <f t="shared" ca="1" si="355"/>
        <v>45938</v>
      </c>
      <c r="D2594" t="s">
        <v>7</v>
      </c>
      <c r="E2594">
        <v>39</v>
      </c>
      <c r="F2594" t="s">
        <v>6</v>
      </c>
      <c r="G2594" s="8">
        <f t="shared" ca="1" si="349"/>
        <v>814</v>
      </c>
      <c r="H2594">
        <f t="shared" si="350"/>
        <v>2</v>
      </c>
      <c r="I2594" t="str">
        <f t="shared" si="348"/>
        <v>Monday</v>
      </c>
      <c r="L2594">
        <f t="shared" ca="1" si="351"/>
        <v>0</v>
      </c>
    </row>
    <row r="2595" spans="1:12" x14ac:dyDescent="0.25">
      <c r="A2595">
        <v>149657162</v>
      </c>
      <c r="B2595" s="1">
        <v>45124</v>
      </c>
      <c r="C2595" s="1">
        <v>45125</v>
      </c>
      <c r="D2595" t="s">
        <v>7</v>
      </c>
      <c r="E2595">
        <v>39</v>
      </c>
      <c r="F2595" t="s">
        <v>6</v>
      </c>
      <c r="G2595" s="8">
        <f t="shared" si="349"/>
        <v>1</v>
      </c>
      <c r="H2595">
        <f t="shared" si="350"/>
        <v>2</v>
      </c>
      <c r="I2595" t="str">
        <f t="shared" si="348"/>
        <v>Monday</v>
      </c>
      <c r="L2595">
        <f t="shared" si="351"/>
        <v>1</v>
      </c>
    </row>
    <row r="2596" spans="1:12" x14ac:dyDescent="0.25">
      <c r="A2596">
        <v>125920876</v>
      </c>
      <c r="B2596" s="1">
        <v>45124</v>
      </c>
      <c r="C2596" s="1">
        <v>45162</v>
      </c>
      <c r="D2596" t="s">
        <v>7</v>
      </c>
      <c r="E2596">
        <v>39</v>
      </c>
      <c r="F2596" t="s">
        <v>6</v>
      </c>
      <c r="G2596" s="8">
        <f t="shared" si="349"/>
        <v>38</v>
      </c>
      <c r="H2596">
        <f t="shared" si="350"/>
        <v>2</v>
      </c>
      <c r="I2596" t="str">
        <f t="shared" si="348"/>
        <v>Monday</v>
      </c>
      <c r="L2596">
        <f t="shared" si="351"/>
        <v>0</v>
      </c>
    </row>
    <row r="2597" spans="1:12" x14ac:dyDescent="0.25">
      <c r="A2597">
        <v>217403566</v>
      </c>
      <c r="B2597" s="1">
        <v>45124</v>
      </c>
      <c r="C2597" s="1">
        <v>45152</v>
      </c>
      <c r="D2597" t="s">
        <v>7</v>
      </c>
      <c r="E2597">
        <v>39</v>
      </c>
      <c r="F2597" t="s">
        <v>6</v>
      </c>
      <c r="G2597" s="8">
        <f t="shared" si="349"/>
        <v>28</v>
      </c>
      <c r="H2597">
        <f t="shared" si="350"/>
        <v>2</v>
      </c>
      <c r="I2597" t="str">
        <f t="shared" si="348"/>
        <v>Monday</v>
      </c>
      <c r="L2597">
        <f t="shared" si="351"/>
        <v>0</v>
      </c>
    </row>
    <row r="2598" spans="1:12" x14ac:dyDescent="0.25">
      <c r="A2598">
        <v>218677370</v>
      </c>
      <c r="B2598" s="1">
        <v>45124</v>
      </c>
      <c r="C2598" s="1">
        <v>45153</v>
      </c>
      <c r="D2598" t="s">
        <v>7</v>
      </c>
      <c r="E2598">
        <v>39</v>
      </c>
      <c r="F2598" t="s">
        <v>6</v>
      </c>
      <c r="G2598" s="8">
        <f t="shared" si="349"/>
        <v>29</v>
      </c>
      <c r="H2598">
        <f t="shared" si="350"/>
        <v>2</v>
      </c>
      <c r="I2598" t="str">
        <f t="shared" si="348"/>
        <v>Monday</v>
      </c>
      <c r="L2598">
        <f t="shared" si="351"/>
        <v>0</v>
      </c>
    </row>
    <row r="2599" spans="1:12" x14ac:dyDescent="0.25">
      <c r="A2599">
        <v>218598875</v>
      </c>
      <c r="B2599" s="1">
        <v>45124</v>
      </c>
      <c r="C2599" s="1">
        <v>45162</v>
      </c>
      <c r="D2599" t="s">
        <v>7</v>
      </c>
      <c r="E2599">
        <v>39</v>
      </c>
      <c r="F2599" t="s">
        <v>6</v>
      </c>
      <c r="G2599" s="8">
        <f t="shared" si="349"/>
        <v>38</v>
      </c>
      <c r="H2599">
        <f t="shared" si="350"/>
        <v>2</v>
      </c>
      <c r="I2599" t="str">
        <f t="shared" si="348"/>
        <v>Monday</v>
      </c>
      <c r="L2599">
        <f t="shared" si="351"/>
        <v>0</v>
      </c>
    </row>
    <row r="2600" spans="1:12" x14ac:dyDescent="0.25">
      <c r="A2600">
        <v>203116529</v>
      </c>
      <c r="B2600" s="1">
        <v>45124</v>
      </c>
      <c r="C2600" s="1">
        <v>45124</v>
      </c>
      <c r="D2600" t="s">
        <v>7</v>
      </c>
      <c r="E2600">
        <v>39</v>
      </c>
      <c r="F2600" t="s">
        <v>6</v>
      </c>
      <c r="G2600" s="8">
        <f t="shared" si="349"/>
        <v>0</v>
      </c>
      <c r="H2600">
        <f t="shared" si="350"/>
        <v>2</v>
      </c>
      <c r="I2600" t="str">
        <f t="shared" si="348"/>
        <v>Monday</v>
      </c>
      <c r="L2600">
        <f t="shared" si="351"/>
        <v>1</v>
      </c>
    </row>
    <row r="2601" spans="1:12" x14ac:dyDescent="0.25">
      <c r="A2601">
        <v>218808831</v>
      </c>
      <c r="B2601" s="1">
        <v>45124</v>
      </c>
      <c r="C2601" s="1">
        <v>45170</v>
      </c>
      <c r="D2601" t="s">
        <v>7</v>
      </c>
      <c r="E2601">
        <v>39</v>
      </c>
      <c r="F2601" t="s">
        <v>6</v>
      </c>
      <c r="G2601" s="8">
        <f t="shared" si="349"/>
        <v>46</v>
      </c>
      <c r="H2601">
        <f t="shared" si="350"/>
        <v>2</v>
      </c>
      <c r="I2601" t="str">
        <f t="shared" si="348"/>
        <v>Monday</v>
      </c>
      <c r="L2601">
        <f t="shared" si="351"/>
        <v>0</v>
      </c>
    </row>
    <row r="2602" spans="1:12" x14ac:dyDescent="0.25">
      <c r="A2602">
        <v>218844240</v>
      </c>
      <c r="B2602" s="1">
        <v>45125</v>
      </c>
      <c r="C2602" s="1">
        <f t="shared" ref="C2602:C2607" ca="1" si="356">TODAY()</f>
        <v>45938</v>
      </c>
      <c r="D2602" t="s">
        <v>7</v>
      </c>
      <c r="E2602">
        <v>39</v>
      </c>
      <c r="F2602" t="s">
        <v>6</v>
      </c>
      <c r="G2602" s="8">
        <f t="shared" ca="1" si="349"/>
        <v>813</v>
      </c>
      <c r="H2602">
        <f t="shared" si="350"/>
        <v>3</v>
      </c>
      <c r="I2602" t="str">
        <f t="shared" si="348"/>
        <v>Tuesday</v>
      </c>
      <c r="L2602">
        <f t="shared" ca="1" si="351"/>
        <v>0</v>
      </c>
    </row>
    <row r="2603" spans="1:12" x14ac:dyDescent="0.25">
      <c r="A2603">
        <v>218863419</v>
      </c>
      <c r="B2603" s="1">
        <v>45125</v>
      </c>
      <c r="C2603" s="1">
        <f t="shared" ca="1" si="356"/>
        <v>45938</v>
      </c>
      <c r="D2603" t="s">
        <v>7</v>
      </c>
      <c r="E2603">
        <v>39</v>
      </c>
      <c r="F2603" t="s">
        <v>6</v>
      </c>
      <c r="G2603" s="8">
        <f t="shared" ca="1" si="349"/>
        <v>813</v>
      </c>
      <c r="H2603">
        <f t="shared" si="350"/>
        <v>3</v>
      </c>
      <c r="I2603" t="str">
        <f t="shared" si="348"/>
        <v>Tuesday</v>
      </c>
      <c r="L2603">
        <f t="shared" ca="1" si="351"/>
        <v>0</v>
      </c>
    </row>
    <row r="2604" spans="1:12" x14ac:dyDescent="0.25">
      <c r="A2604">
        <v>218445704</v>
      </c>
      <c r="B2604" s="1">
        <v>45125</v>
      </c>
      <c r="C2604" s="1">
        <f t="shared" ca="1" si="356"/>
        <v>45938</v>
      </c>
      <c r="D2604" t="s">
        <v>7</v>
      </c>
      <c r="E2604">
        <v>39</v>
      </c>
      <c r="F2604" t="s">
        <v>6</v>
      </c>
      <c r="G2604" s="8">
        <f t="shared" ca="1" si="349"/>
        <v>813</v>
      </c>
      <c r="H2604">
        <f t="shared" si="350"/>
        <v>3</v>
      </c>
      <c r="I2604" t="str">
        <f t="shared" si="348"/>
        <v>Tuesday</v>
      </c>
      <c r="L2604">
        <f t="shared" ca="1" si="351"/>
        <v>0</v>
      </c>
    </row>
    <row r="2605" spans="1:12" x14ac:dyDescent="0.25">
      <c r="A2605">
        <v>149411976</v>
      </c>
      <c r="B2605" s="1">
        <v>45125</v>
      </c>
      <c r="C2605" s="1">
        <f t="shared" ca="1" si="356"/>
        <v>45938</v>
      </c>
      <c r="D2605" t="s">
        <v>7</v>
      </c>
      <c r="E2605">
        <v>39</v>
      </c>
      <c r="F2605" t="s">
        <v>6</v>
      </c>
      <c r="G2605" s="8">
        <f t="shared" ca="1" si="349"/>
        <v>813</v>
      </c>
      <c r="H2605">
        <f t="shared" si="350"/>
        <v>3</v>
      </c>
      <c r="I2605" t="str">
        <f t="shared" si="348"/>
        <v>Tuesday</v>
      </c>
      <c r="L2605">
        <f t="shared" ca="1" si="351"/>
        <v>0</v>
      </c>
    </row>
    <row r="2606" spans="1:12" x14ac:dyDescent="0.25">
      <c r="A2606">
        <v>218862674</v>
      </c>
      <c r="B2606" s="1">
        <v>45125</v>
      </c>
      <c r="C2606" s="1">
        <f t="shared" ca="1" si="356"/>
        <v>45938</v>
      </c>
      <c r="D2606" t="s">
        <v>7</v>
      </c>
      <c r="E2606">
        <v>39</v>
      </c>
      <c r="F2606" t="s">
        <v>6</v>
      </c>
      <c r="G2606" s="8">
        <f t="shared" ca="1" si="349"/>
        <v>813</v>
      </c>
      <c r="H2606">
        <f t="shared" si="350"/>
        <v>3</v>
      </c>
      <c r="I2606" t="str">
        <f t="shared" si="348"/>
        <v>Tuesday</v>
      </c>
      <c r="L2606">
        <f t="shared" ca="1" si="351"/>
        <v>0</v>
      </c>
    </row>
    <row r="2607" spans="1:12" x14ac:dyDescent="0.25">
      <c r="A2607">
        <v>218851122</v>
      </c>
      <c r="B2607" s="1">
        <v>45125</v>
      </c>
      <c r="C2607" s="1">
        <f t="shared" ca="1" si="356"/>
        <v>45938</v>
      </c>
      <c r="D2607" t="s">
        <v>7</v>
      </c>
      <c r="E2607">
        <v>39</v>
      </c>
      <c r="F2607" t="s">
        <v>6</v>
      </c>
      <c r="G2607" s="8">
        <f t="shared" ca="1" si="349"/>
        <v>813</v>
      </c>
      <c r="H2607">
        <f t="shared" si="350"/>
        <v>3</v>
      </c>
      <c r="I2607" t="str">
        <f t="shared" si="348"/>
        <v>Tuesday</v>
      </c>
      <c r="L2607">
        <f t="shared" ca="1" si="351"/>
        <v>0</v>
      </c>
    </row>
    <row r="2608" spans="1:12" x14ac:dyDescent="0.25">
      <c r="A2608">
        <v>153402484</v>
      </c>
      <c r="B2608" s="1">
        <v>45125</v>
      </c>
      <c r="C2608" s="1">
        <v>45170</v>
      </c>
      <c r="D2608" t="s">
        <v>7</v>
      </c>
      <c r="E2608">
        <v>39</v>
      </c>
      <c r="F2608" t="s">
        <v>6</v>
      </c>
      <c r="G2608" s="8">
        <f t="shared" si="349"/>
        <v>45</v>
      </c>
      <c r="H2608">
        <f t="shared" si="350"/>
        <v>3</v>
      </c>
      <c r="I2608" t="str">
        <f t="shared" si="348"/>
        <v>Tuesday</v>
      </c>
      <c r="L2608">
        <f t="shared" si="351"/>
        <v>0</v>
      </c>
    </row>
    <row r="2609" spans="1:12" x14ac:dyDescent="0.25">
      <c r="A2609">
        <v>218848831</v>
      </c>
      <c r="B2609" s="1">
        <v>45125</v>
      </c>
      <c r="C2609" s="1">
        <v>45164</v>
      </c>
      <c r="D2609" t="s">
        <v>7</v>
      </c>
      <c r="E2609">
        <v>39</v>
      </c>
      <c r="F2609" t="s">
        <v>6</v>
      </c>
      <c r="G2609" s="8">
        <f t="shared" si="349"/>
        <v>39</v>
      </c>
      <c r="H2609">
        <f t="shared" si="350"/>
        <v>3</v>
      </c>
      <c r="I2609" t="str">
        <f t="shared" si="348"/>
        <v>Tuesday</v>
      </c>
      <c r="L2609">
        <f t="shared" si="351"/>
        <v>0</v>
      </c>
    </row>
    <row r="2610" spans="1:12" x14ac:dyDescent="0.25">
      <c r="A2610">
        <v>159639128</v>
      </c>
      <c r="B2610" s="1">
        <v>45125</v>
      </c>
      <c r="C2610" s="1">
        <v>45125</v>
      </c>
      <c r="D2610" t="s">
        <v>7</v>
      </c>
      <c r="E2610">
        <v>39</v>
      </c>
      <c r="F2610" t="s">
        <v>6</v>
      </c>
      <c r="G2610" s="8">
        <f t="shared" si="349"/>
        <v>0</v>
      </c>
      <c r="H2610">
        <f t="shared" si="350"/>
        <v>3</v>
      </c>
      <c r="I2610" t="str">
        <f t="shared" si="348"/>
        <v>Tuesday</v>
      </c>
      <c r="L2610">
        <f t="shared" si="351"/>
        <v>1</v>
      </c>
    </row>
    <row r="2611" spans="1:12" x14ac:dyDescent="0.25">
      <c r="A2611">
        <v>214638700</v>
      </c>
      <c r="B2611" s="1">
        <v>45125</v>
      </c>
      <c r="C2611" s="1">
        <v>45126</v>
      </c>
      <c r="D2611" t="s">
        <v>8</v>
      </c>
      <c r="E2611">
        <v>39</v>
      </c>
      <c r="F2611" t="s">
        <v>6</v>
      </c>
      <c r="G2611" s="8">
        <f t="shared" si="349"/>
        <v>1</v>
      </c>
      <c r="H2611">
        <f t="shared" si="350"/>
        <v>3</v>
      </c>
      <c r="I2611" t="str">
        <f t="shared" si="348"/>
        <v>Tuesday</v>
      </c>
      <c r="L2611">
        <f t="shared" si="351"/>
        <v>1</v>
      </c>
    </row>
    <row r="2612" spans="1:12" x14ac:dyDescent="0.25">
      <c r="A2612">
        <v>218850789</v>
      </c>
      <c r="B2612" s="1">
        <v>45125</v>
      </c>
      <c r="C2612" s="1">
        <v>45156</v>
      </c>
      <c r="D2612" t="s">
        <v>7</v>
      </c>
      <c r="E2612">
        <v>39</v>
      </c>
      <c r="F2612" t="s">
        <v>6</v>
      </c>
      <c r="G2612" s="8">
        <f t="shared" si="349"/>
        <v>31</v>
      </c>
      <c r="H2612">
        <f t="shared" si="350"/>
        <v>3</v>
      </c>
      <c r="I2612" t="str">
        <f t="shared" si="348"/>
        <v>Tuesday</v>
      </c>
      <c r="L2612">
        <f t="shared" si="351"/>
        <v>0</v>
      </c>
    </row>
    <row r="2613" spans="1:12" x14ac:dyDescent="0.25">
      <c r="A2613">
        <v>155510287</v>
      </c>
      <c r="B2613" s="1">
        <v>45125</v>
      </c>
      <c r="C2613" s="1">
        <v>45150</v>
      </c>
      <c r="D2613" t="s">
        <v>7</v>
      </c>
      <c r="E2613">
        <v>39</v>
      </c>
      <c r="F2613" t="s">
        <v>6</v>
      </c>
      <c r="G2613" s="8">
        <f t="shared" si="349"/>
        <v>25</v>
      </c>
      <c r="H2613">
        <f t="shared" si="350"/>
        <v>3</v>
      </c>
      <c r="I2613" t="str">
        <f t="shared" si="348"/>
        <v>Tuesday</v>
      </c>
      <c r="L2613">
        <f t="shared" si="351"/>
        <v>0</v>
      </c>
    </row>
    <row r="2614" spans="1:12" x14ac:dyDescent="0.25">
      <c r="A2614">
        <v>218677703</v>
      </c>
      <c r="B2614" s="1">
        <v>45125</v>
      </c>
      <c r="C2614" s="1">
        <v>45131</v>
      </c>
      <c r="D2614" t="s">
        <v>7</v>
      </c>
      <c r="E2614">
        <v>39</v>
      </c>
      <c r="F2614" t="s">
        <v>6</v>
      </c>
      <c r="G2614" s="8">
        <f t="shared" si="349"/>
        <v>6</v>
      </c>
      <c r="H2614">
        <f t="shared" si="350"/>
        <v>3</v>
      </c>
      <c r="I2614" t="str">
        <f t="shared" si="348"/>
        <v>Tuesday</v>
      </c>
      <c r="L2614">
        <f t="shared" si="351"/>
        <v>0</v>
      </c>
    </row>
    <row r="2615" spans="1:12" x14ac:dyDescent="0.25">
      <c r="A2615">
        <v>218878930</v>
      </c>
      <c r="B2615" s="1">
        <v>45125</v>
      </c>
      <c r="C2615" s="1">
        <v>45127</v>
      </c>
      <c r="D2615" t="s">
        <v>7</v>
      </c>
      <c r="E2615">
        <v>39</v>
      </c>
      <c r="F2615" t="s">
        <v>6</v>
      </c>
      <c r="G2615" s="8">
        <f t="shared" si="349"/>
        <v>2</v>
      </c>
      <c r="H2615">
        <f t="shared" si="350"/>
        <v>3</v>
      </c>
      <c r="I2615" t="str">
        <f t="shared" si="348"/>
        <v>Tuesday</v>
      </c>
      <c r="L2615">
        <f t="shared" si="351"/>
        <v>1</v>
      </c>
    </row>
    <row r="2616" spans="1:12" x14ac:dyDescent="0.25">
      <c r="A2616">
        <v>218935022</v>
      </c>
      <c r="B2616" s="1">
        <v>45126</v>
      </c>
      <c r="C2616" s="1">
        <f t="shared" ref="C2616:C2625" ca="1" si="357">TODAY()</f>
        <v>45938</v>
      </c>
      <c r="D2616" t="s">
        <v>7</v>
      </c>
      <c r="E2616">
        <v>39</v>
      </c>
      <c r="F2616" t="s">
        <v>6</v>
      </c>
      <c r="G2616" s="8">
        <f t="shared" ca="1" si="349"/>
        <v>812</v>
      </c>
      <c r="H2616">
        <f t="shared" si="350"/>
        <v>4</v>
      </c>
      <c r="I2616" t="str">
        <f t="shared" si="348"/>
        <v>Wednesday</v>
      </c>
      <c r="L2616">
        <f t="shared" ca="1" si="351"/>
        <v>0</v>
      </c>
    </row>
    <row r="2617" spans="1:12" x14ac:dyDescent="0.25">
      <c r="A2617">
        <v>218925198</v>
      </c>
      <c r="B2617" s="1">
        <v>45126</v>
      </c>
      <c r="C2617" s="1">
        <f t="shared" ca="1" si="357"/>
        <v>45938</v>
      </c>
      <c r="D2617" t="s">
        <v>7</v>
      </c>
      <c r="E2617">
        <v>39</v>
      </c>
      <c r="F2617" t="s">
        <v>6</v>
      </c>
      <c r="G2617" s="8">
        <f t="shared" ca="1" si="349"/>
        <v>812</v>
      </c>
      <c r="H2617">
        <f t="shared" si="350"/>
        <v>4</v>
      </c>
      <c r="I2617" t="str">
        <f t="shared" si="348"/>
        <v>Wednesday</v>
      </c>
      <c r="L2617">
        <f t="shared" ca="1" si="351"/>
        <v>0</v>
      </c>
    </row>
    <row r="2618" spans="1:12" x14ac:dyDescent="0.25">
      <c r="A2618">
        <v>218927120</v>
      </c>
      <c r="B2618" s="1">
        <v>45126</v>
      </c>
      <c r="C2618" s="1">
        <f t="shared" ca="1" si="357"/>
        <v>45938</v>
      </c>
      <c r="D2618" t="s">
        <v>7</v>
      </c>
      <c r="E2618">
        <v>39</v>
      </c>
      <c r="F2618" t="s">
        <v>6</v>
      </c>
      <c r="G2618" s="8">
        <f t="shared" ca="1" si="349"/>
        <v>812</v>
      </c>
      <c r="H2618">
        <f t="shared" si="350"/>
        <v>4</v>
      </c>
      <c r="I2618" t="str">
        <f t="shared" si="348"/>
        <v>Wednesday</v>
      </c>
      <c r="L2618">
        <f t="shared" ca="1" si="351"/>
        <v>0</v>
      </c>
    </row>
    <row r="2619" spans="1:12" x14ac:dyDescent="0.25">
      <c r="A2619">
        <v>218930176</v>
      </c>
      <c r="B2619" s="1">
        <v>45126</v>
      </c>
      <c r="C2619" s="1">
        <f t="shared" ca="1" si="357"/>
        <v>45938</v>
      </c>
      <c r="D2619" t="s">
        <v>7</v>
      </c>
      <c r="E2619">
        <v>39</v>
      </c>
      <c r="F2619" t="s">
        <v>6</v>
      </c>
      <c r="G2619" s="8">
        <f t="shared" ca="1" si="349"/>
        <v>812</v>
      </c>
      <c r="H2619">
        <f t="shared" si="350"/>
        <v>4</v>
      </c>
      <c r="I2619" t="str">
        <f t="shared" si="348"/>
        <v>Wednesday</v>
      </c>
      <c r="L2619">
        <f t="shared" ca="1" si="351"/>
        <v>0</v>
      </c>
    </row>
    <row r="2620" spans="1:12" x14ac:dyDescent="0.25">
      <c r="A2620">
        <v>216185482</v>
      </c>
      <c r="B2620" s="1">
        <v>45126</v>
      </c>
      <c r="C2620" s="1">
        <f t="shared" ca="1" si="357"/>
        <v>45938</v>
      </c>
      <c r="D2620" t="s">
        <v>7</v>
      </c>
      <c r="E2620">
        <v>39</v>
      </c>
      <c r="F2620" t="s">
        <v>6</v>
      </c>
      <c r="G2620" s="8">
        <f t="shared" ca="1" si="349"/>
        <v>812</v>
      </c>
      <c r="H2620">
        <f t="shared" si="350"/>
        <v>4</v>
      </c>
      <c r="I2620" t="str">
        <f t="shared" si="348"/>
        <v>Wednesday</v>
      </c>
      <c r="L2620">
        <f t="shared" ca="1" si="351"/>
        <v>0</v>
      </c>
    </row>
    <row r="2621" spans="1:12" x14ac:dyDescent="0.25">
      <c r="A2621">
        <v>218814342</v>
      </c>
      <c r="B2621" s="1">
        <v>45126</v>
      </c>
      <c r="C2621" s="1">
        <f t="shared" ca="1" si="357"/>
        <v>45938</v>
      </c>
      <c r="D2621" t="s">
        <v>7</v>
      </c>
      <c r="E2621">
        <v>39</v>
      </c>
      <c r="F2621" t="s">
        <v>6</v>
      </c>
      <c r="G2621" s="8">
        <f t="shared" ca="1" si="349"/>
        <v>812</v>
      </c>
      <c r="H2621">
        <f t="shared" si="350"/>
        <v>4</v>
      </c>
      <c r="I2621" t="str">
        <f t="shared" si="348"/>
        <v>Wednesday</v>
      </c>
      <c r="L2621">
        <f t="shared" ca="1" si="351"/>
        <v>0</v>
      </c>
    </row>
    <row r="2622" spans="1:12" x14ac:dyDescent="0.25">
      <c r="A2622">
        <v>218764310</v>
      </c>
      <c r="B2622" s="1">
        <v>45126</v>
      </c>
      <c r="C2622" s="1">
        <f t="shared" ca="1" si="357"/>
        <v>45938</v>
      </c>
      <c r="D2622" t="s">
        <v>7</v>
      </c>
      <c r="E2622">
        <v>39</v>
      </c>
      <c r="F2622" t="s">
        <v>6</v>
      </c>
      <c r="G2622" s="8">
        <f t="shared" ca="1" si="349"/>
        <v>812</v>
      </c>
      <c r="H2622">
        <f t="shared" si="350"/>
        <v>4</v>
      </c>
      <c r="I2622" t="str">
        <f t="shared" si="348"/>
        <v>Wednesday</v>
      </c>
      <c r="L2622">
        <f t="shared" ca="1" si="351"/>
        <v>0</v>
      </c>
    </row>
    <row r="2623" spans="1:12" x14ac:dyDescent="0.25">
      <c r="A2623">
        <v>218814328</v>
      </c>
      <c r="B2623" s="1">
        <v>45126</v>
      </c>
      <c r="C2623" s="1">
        <f t="shared" ca="1" si="357"/>
        <v>45938</v>
      </c>
      <c r="D2623" t="s">
        <v>7</v>
      </c>
      <c r="E2623">
        <v>39</v>
      </c>
      <c r="F2623" t="s">
        <v>6</v>
      </c>
      <c r="G2623" s="8">
        <f t="shared" ca="1" si="349"/>
        <v>812</v>
      </c>
      <c r="H2623">
        <f t="shared" si="350"/>
        <v>4</v>
      </c>
      <c r="I2623" t="str">
        <f t="shared" si="348"/>
        <v>Wednesday</v>
      </c>
      <c r="L2623">
        <f t="shared" ca="1" si="351"/>
        <v>0</v>
      </c>
    </row>
    <row r="2624" spans="1:12" x14ac:dyDescent="0.25">
      <c r="A2624">
        <v>149144586</v>
      </c>
      <c r="B2624" s="1">
        <v>45126</v>
      </c>
      <c r="C2624" s="1">
        <f t="shared" ca="1" si="357"/>
        <v>45938</v>
      </c>
      <c r="D2624" t="s">
        <v>7</v>
      </c>
      <c r="E2624">
        <v>39</v>
      </c>
      <c r="F2624" t="s">
        <v>6</v>
      </c>
      <c r="G2624" s="8">
        <f t="shared" ca="1" si="349"/>
        <v>812</v>
      </c>
      <c r="H2624">
        <f t="shared" si="350"/>
        <v>4</v>
      </c>
      <c r="I2624" t="str">
        <f t="shared" si="348"/>
        <v>Wednesday</v>
      </c>
      <c r="L2624">
        <f t="shared" ca="1" si="351"/>
        <v>0</v>
      </c>
    </row>
    <row r="2625" spans="1:12" x14ac:dyDescent="0.25">
      <c r="A2625">
        <v>217635511</v>
      </c>
      <c r="B2625" s="1">
        <v>45126</v>
      </c>
      <c r="C2625" s="1">
        <f t="shared" ca="1" si="357"/>
        <v>45938</v>
      </c>
      <c r="D2625" t="s">
        <v>7</v>
      </c>
      <c r="E2625">
        <v>39</v>
      </c>
      <c r="F2625" t="s">
        <v>6</v>
      </c>
      <c r="G2625" s="8">
        <f t="shared" ca="1" si="349"/>
        <v>812</v>
      </c>
      <c r="H2625">
        <f t="shared" si="350"/>
        <v>4</v>
      </c>
      <c r="I2625" t="str">
        <f t="shared" si="348"/>
        <v>Wednesday</v>
      </c>
      <c r="L2625">
        <f t="shared" ca="1" si="351"/>
        <v>0</v>
      </c>
    </row>
    <row r="2626" spans="1:12" x14ac:dyDescent="0.25">
      <c r="A2626">
        <v>218924256</v>
      </c>
      <c r="B2626" s="1">
        <v>45126</v>
      </c>
      <c r="C2626" s="1">
        <v>45152</v>
      </c>
      <c r="D2626" t="s">
        <v>7</v>
      </c>
      <c r="E2626">
        <v>39</v>
      </c>
      <c r="F2626" t="s">
        <v>6</v>
      </c>
      <c r="G2626" s="8">
        <f t="shared" si="349"/>
        <v>26</v>
      </c>
      <c r="H2626">
        <f t="shared" si="350"/>
        <v>4</v>
      </c>
      <c r="I2626" t="str">
        <f t="shared" ref="I2626:I2689" si="358">TEXT(B2626,"DDDD")</f>
        <v>Wednesday</v>
      </c>
      <c r="L2626">
        <f t="shared" si="351"/>
        <v>0</v>
      </c>
    </row>
    <row r="2627" spans="1:12" x14ac:dyDescent="0.25">
      <c r="A2627">
        <v>218898552</v>
      </c>
      <c r="B2627" s="1">
        <v>45126</v>
      </c>
      <c r="C2627" s="1">
        <v>45155</v>
      </c>
      <c r="D2627" t="s">
        <v>7</v>
      </c>
      <c r="E2627">
        <v>39</v>
      </c>
      <c r="F2627" t="s">
        <v>6</v>
      </c>
      <c r="G2627" s="8">
        <f t="shared" ref="G2627:G2690" si="359">IFERROR(DATEDIF(B2627,C2627,"D"),"0")</f>
        <v>29</v>
      </c>
      <c r="H2627">
        <f t="shared" ref="H2627:H2690" si="360">WEEKDAY(B2627,1)</f>
        <v>4</v>
      </c>
      <c r="I2627" t="str">
        <f t="shared" si="358"/>
        <v>Wednesday</v>
      </c>
      <c r="L2627">
        <f t="shared" ref="L2627:L2690" si="361">IF( OR($G2627=0,$G2627 = 1, $G2627 = 2), 1, 0 )</f>
        <v>0</v>
      </c>
    </row>
    <row r="2628" spans="1:12" x14ac:dyDescent="0.25">
      <c r="A2628">
        <v>149657162</v>
      </c>
      <c r="B2628" s="1">
        <v>45126</v>
      </c>
      <c r="C2628" s="1">
        <v>45172</v>
      </c>
      <c r="D2628" t="s">
        <v>7</v>
      </c>
      <c r="E2628">
        <v>39</v>
      </c>
      <c r="F2628" t="s">
        <v>6</v>
      </c>
      <c r="G2628" s="8">
        <f t="shared" si="359"/>
        <v>46</v>
      </c>
      <c r="H2628">
        <f t="shared" si="360"/>
        <v>4</v>
      </c>
      <c r="I2628" t="str">
        <f t="shared" si="358"/>
        <v>Wednesday</v>
      </c>
      <c r="L2628">
        <f t="shared" si="361"/>
        <v>0</v>
      </c>
    </row>
    <row r="2629" spans="1:12" x14ac:dyDescent="0.25">
      <c r="A2629">
        <v>218581958</v>
      </c>
      <c r="B2629" s="1">
        <v>45126</v>
      </c>
      <c r="C2629" s="1">
        <v>45133</v>
      </c>
      <c r="D2629" t="s">
        <v>7</v>
      </c>
      <c r="E2629">
        <v>39</v>
      </c>
      <c r="F2629" t="s">
        <v>6</v>
      </c>
      <c r="G2629" s="8">
        <f t="shared" si="359"/>
        <v>7</v>
      </c>
      <c r="H2629">
        <f t="shared" si="360"/>
        <v>4</v>
      </c>
      <c r="I2629" t="str">
        <f t="shared" si="358"/>
        <v>Wednesday</v>
      </c>
      <c r="L2629">
        <f t="shared" si="361"/>
        <v>0</v>
      </c>
    </row>
    <row r="2630" spans="1:12" x14ac:dyDescent="0.25">
      <c r="A2630">
        <v>214943384</v>
      </c>
      <c r="B2630" s="1">
        <v>45127</v>
      </c>
      <c r="C2630" s="1">
        <f t="shared" ref="C2630:C2634" ca="1" si="362">TODAY()</f>
        <v>45938</v>
      </c>
      <c r="D2630" t="s">
        <v>7</v>
      </c>
      <c r="E2630">
        <v>39</v>
      </c>
      <c r="F2630" t="s">
        <v>6</v>
      </c>
      <c r="G2630" s="8">
        <f t="shared" ca="1" si="359"/>
        <v>811</v>
      </c>
      <c r="H2630">
        <f t="shared" si="360"/>
        <v>5</v>
      </c>
      <c r="I2630" t="str">
        <f t="shared" si="358"/>
        <v>Thursday</v>
      </c>
      <c r="L2630">
        <f t="shared" ca="1" si="361"/>
        <v>0</v>
      </c>
    </row>
    <row r="2631" spans="1:12" x14ac:dyDescent="0.25">
      <c r="A2631">
        <v>147832373</v>
      </c>
      <c r="B2631" s="1">
        <v>45127</v>
      </c>
      <c r="C2631" s="1">
        <f t="shared" ca="1" si="362"/>
        <v>45938</v>
      </c>
      <c r="D2631" t="s">
        <v>7</v>
      </c>
      <c r="E2631">
        <v>39</v>
      </c>
      <c r="F2631" t="s">
        <v>6</v>
      </c>
      <c r="G2631" s="8">
        <f t="shared" ca="1" si="359"/>
        <v>811</v>
      </c>
      <c r="H2631">
        <f t="shared" si="360"/>
        <v>5</v>
      </c>
      <c r="I2631" t="str">
        <f t="shared" si="358"/>
        <v>Thursday</v>
      </c>
      <c r="L2631">
        <f t="shared" ca="1" si="361"/>
        <v>0</v>
      </c>
    </row>
    <row r="2632" spans="1:12" x14ac:dyDescent="0.25">
      <c r="A2632">
        <v>204362311</v>
      </c>
      <c r="B2632" s="1">
        <v>45127</v>
      </c>
      <c r="C2632" s="1">
        <f t="shared" ca="1" si="362"/>
        <v>45938</v>
      </c>
      <c r="D2632" t="s">
        <v>7</v>
      </c>
      <c r="E2632">
        <v>39</v>
      </c>
      <c r="F2632" t="s">
        <v>6</v>
      </c>
      <c r="G2632" s="8">
        <f t="shared" ca="1" si="359"/>
        <v>811</v>
      </c>
      <c r="H2632">
        <f t="shared" si="360"/>
        <v>5</v>
      </c>
      <c r="I2632" t="str">
        <f t="shared" si="358"/>
        <v>Thursday</v>
      </c>
      <c r="L2632">
        <f t="shared" ca="1" si="361"/>
        <v>0</v>
      </c>
    </row>
    <row r="2633" spans="1:12" x14ac:dyDescent="0.25">
      <c r="A2633">
        <v>217137211</v>
      </c>
      <c r="B2633" s="1">
        <v>45127</v>
      </c>
      <c r="C2633" s="1">
        <f t="shared" ca="1" si="362"/>
        <v>45938</v>
      </c>
      <c r="D2633" t="s">
        <v>7</v>
      </c>
      <c r="E2633">
        <v>39</v>
      </c>
      <c r="F2633" t="s">
        <v>6</v>
      </c>
      <c r="G2633" s="8">
        <f t="shared" ca="1" si="359"/>
        <v>811</v>
      </c>
      <c r="H2633">
        <f t="shared" si="360"/>
        <v>5</v>
      </c>
      <c r="I2633" t="str">
        <f t="shared" si="358"/>
        <v>Thursday</v>
      </c>
      <c r="L2633">
        <f t="shared" ca="1" si="361"/>
        <v>0</v>
      </c>
    </row>
    <row r="2634" spans="1:12" x14ac:dyDescent="0.25">
      <c r="A2634">
        <v>218942852</v>
      </c>
      <c r="B2634" s="1">
        <v>45127</v>
      </c>
      <c r="C2634" s="1">
        <f t="shared" ca="1" si="362"/>
        <v>45938</v>
      </c>
      <c r="D2634" t="s">
        <v>7</v>
      </c>
      <c r="E2634">
        <v>39</v>
      </c>
      <c r="F2634" t="s">
        <v>6</v>
      </c>
      <c r="G2634" s="8">
        <f t="shared" ca="1" si="359"/>
        <v>811</v>
      </c>
      <c r="H2634">
        <f t="shared" si="360"/>
        <v>5</v>
      </c>
      <c r="I2634" t="str">
        <f t="shared" si="358"/>
        <v>Thursday</v>
      </c>
      <c r="L2634">
        <f t="shared" ca="1" si="361"/>
        <v>0</v>
      </c>
    </row>
    <row r="2635" spans="1:12" x14ac:dyDescent="0.25">
      <c r="A2635">
        <v>218715020</v>
      </c>
      <c r="B2635" s="1">
        <v>45127</v>
      </c>
      <c r="C2635" s="1">
        <v>45174</v>
      </c>
      <c r="D2635" t="s">
        <v>7</v>
      </c>
      <c r="E2635">
        <v>39</v>
      </c>
      <c r="F2635" t="s">
        <v>6</v>
      </c>
      <c r="G2635" s="8">
        <f t="shared" si="359"/>
        <v>47</v>
      </c>
      <c r="H2635">
        <f t="shared" si="360"/>
        <v>5</v>
      </c>
      <c r="I2635" t="str">
        <f t="shared" si="358"/>
        <v>Thursday</v>
      </c>
      <c r="L2635">
        <f t="shared" si="361"/>
        <v>0</v>
      </c>
    </row>
    <row r="2636" spans="1:12" x14ac:dyDescent="0.25">
      <c r="A2636">
        <v>218701308</v>
      </c>
      <c r="B2636" s="1">
        <v>45127</v>
      </c>
      <c r="C2636" s="1">
        <v>45128</v>
      </c>
      <c r="D2636" t="s">
        <v>7</v>
      </c>
      <c r="E2636">
        <v>39</v>
      </c>
      <c r="F2636" t="s">
        <v>6</v>
      </c>
      <c r="G2636" s="8">
        <f t="shared" si="359"/>
        <v>1</v>
      </c>
      <c r="H2636">
        <f t="shared" si="360"/>
        <v>5</v>
      </c>
      <c r="I2636" t="str">
        <f t="shared" si="358"/>
        <v>Thursday</v>
      </c>
      <c r="L2636">
        <f t="shared" si="361"/>
        <v>1</v>
      </c>
    </row>
    <row r="2637" spans="1:12" x14ac:dyDescent="0.25">
      <c r="A2637">
        <v>218979443</v>
      </c>
      <c r="B2637" s="1">
        <v>45127</v>
      </c>
      <c r="C2637" s="1">
        <v>45153</v>
      </c>
      <c r="D2637" t="s">
        <v>7</v>
      </c>
      <c r="E2637">
        <v>39</v>
      </c>
      <c r="F2637" t="s">
        <v>6</v>
      </c>
      <c r="G2637" s="8">
        <f t="shared" si="359"/>
        <v>26</v>
      </c>
      <c r="H2637">
        <f t="shared" si="360"/>
        <v>5</v>
      </c>
      <c r="I2637" t="str">
        <f t="shared" si="358"/>
        <v>Thursday</v>
      </c>
      <c r="L2637">
        <f t="shared" si="361"/>
        <v>0</v>
      </c>
    </row>
    <row r="2638" spans="1:12" x14ac:dyDescent="0.25">
      <c r="A2638">
        <v>218543315</v>
      </c>
      <c r="B2638" s="1">
        <v>45127</v>
      </c>
      <c r="C2638" s="1">
        <v>45173</v>
      </c>
      <c r="D2638" t="s">
        <v>7</v>
      </c>
      <c r="E2638">
        <v>39</v>
      </c>
      <c r="F2638" t="s">
        <v>6</v>
      </c>
      <c r="G2638" s="8">
        <f t="shared" si="359"/>
        <v>46</v>
      </c>
      <c r="H2638">
        <f t="shared" si="360"/>
        <v>5</v>
      </c>
      <c r="I2638" t="str">
        <f t="shared" si="358"/>
        <v>Thursday</v>
      </c>
      <c r="L2638">
        <f t="shared" si="361"/>
        <v>0</v>
      </c>
    </row>
    <row r="2639" spans="1:12" x14ac:dyDescent="0.25">
      <c r="A2639">
        <v>218281726</v>
      </c>
      <c r="B2639" s="1">
        <v>45128</v>
      </c>
      <c r="C2639" s="1">
        <f t="shared" ref="C2639:C2643" ca="1" si="363">TODAY()</f>
        <v>45938</v>
      </c>
      <c r="D2639" t="s">
        <v>7</v>
      </c>
      <c r="E2639">
        <v>39</v>
      </c>
      <c r="F2639" t="s">
        <v>6</v>
      </c>
      <c r="G2639" s="8">
        <f t="shared" ca="1" si="359"/>
        <v>810</v>
      </c>
      <c r="H2639">
        <f t="shared" si="360"/>
        <v>6</v>
      </c>
      <c r="I2639" t="str">
        <f t="shared" si="358"/>
        <v>Friday</v>
      </c>
      <c r="L2639">
        <f t="shared" ca="1" si="361"/>
        <v>0</v>
      </c>
    </row>
    <row r="2640" spans="1:12" x14ac:dyDescent="0.25">
      <c r="A2640">
        <v>144972422</v>
      </c>
      <c r="B2640" s="1">
        <v>45128</v>
      </c>
      <c r="C2640" s="1">
        <f t="shared" ca="1" si="363"/>
        <v>45938</v>
      </c>
      <c r="D2640" t="s">
        <v>7</v>
      </c>
      <c r="E2640">
        <v>39</v>
      </c>
      <c r="F2640" t="s">
        <v>6</v>
      </c>
      <c r="G2640" s="8">
        <f t="shared" ca="1" si="359"/>
        <v>810</v>
      </c>
      <c r="H2640">
        <f t="shared" si="360"/>
        <v>6</v>
      </c>
      <c r="I2640" t="str">
        <f t="shared" si="358"/>
        <v>Friday</v>
      </c>
      <c r="L2640">
        <f t="shared" ca="1" si="361"/>
        <v>0</v>
      </c>
    </row>
    <row r="2641" spans="1:12" x14ac:dyDescent="0.25">
      <c r="A2641">
        <v>219017513</v>
      </c>
      <c r="B2641" s="1">
        <v>45128</v>
      </c>
      <c r="C2641" s="1">
        <f t="shared" ca="1" si="363"/>
        <v>45938</v>
      </c>
      <c r="D2641" t="s">
        <v>7</v>
      </c>
      <c r="E2641">
        <v>39</v>
      </c>
      <c r="F2641" t="s">
        <v>6</v>
      </c>
      <c r="G2641" s="8">
        <f t="shared" ca="1" si="359"/>
        <v>810</v>
      </c>
      <c r="H2641">
        <f t="shared" si="360"/>
        <v>6</v>
      </c>
      <c r="I2641" t="str">
        <f t="shared" si="358"/>
        <v>Friday</v>
      </c>
      <c r="L2641">
        <f t="shared" ca="1" si="361"/>
        <v>0</v>
      </c>
    </row>
    <row r="2642" spans="1:12" x14ac:dyDescent="0.25">
      <c r="A2642">
        <v>218096762</v>
      </c>
      <c r="B2642" s="1">
        <v>45128</v>
      </c>
      <c r="C2642" s="1">
        <f t="shared" ca="1" si="363"/>
        <v>45938</v>
      </c>
      <c r="D2642" t="s">
        <v>7</v>
      </c>
      <c r="E2642">
        <v>39</v>
      </c>
      <c r="F2642" t="s">
        <v>6</v>
      </c>
      <c r="G2642" s="8">
        <f t="shared" ca="1" si="359"/>
        <v>810</v>
      </c>
      <c r="H2642">
        <f t="shared" si="360"/>
        <v>6</v>
      </c>
      <c r="I2642" t="str">
        <f t="shared" si="358"/>
        <v>Friday</v>
      </c>
      <c r="L2642">
        <f t="shared" ca="1" si="361"/>
        <v>0</v>
      </c>
    </row>
    <row r="2643" spans="1:12" x14ac:dyDescent="0.25">
      <c r="A2643">
        <v>134289850</v>
      </c>
      <c r="B2643" s="1">
        <v>45128</v>
      </c>
      <c r="C2643" s="1">
        <f t="shared" ca="1" si="363"/>
        <v>45938</v>
      </c>
      <c r="D2643" t="s">
        <v>7</v>
      </c>
      <c r="E2643">
        <v>39</v>
      </c>
      <c r="F2643" t="s">
        <v>6</v>
      </c>
      <c r="G2643" s="8">
        <f t="shared" ca="1" si="359"/>
        <v>810</v>
      </c>
      <c r="H2643">
        <f t="shared" si="360"/>
        <v>6</v>
      </c>
      <c r="I2643" t="str">
        <f t="shared" si="358"/>
        <v>Friday</v>
      </c>
      <c r="L2643">
        <f t="shared" ca="1" si="361"/>
        <v>0</v>
      </c>
    </row>
    <row r="2644" spans="1:12" x14ac:dyDescent="0.25">
      <c r="A2644">
        <v>205210815</v>
      </c>
      <c r="B2644" s="1">
        <v>45128</v>
      </c>
      <c r="C2644" s="1">
        <v>45129</v>
      </c>
      <c r="D2644" t="s">
        <v>7</v>
      </c>
      <c r="E2644">
        <v>39</v>
      </c>
      <c r="F2644" t="s">
        <v>6</v>
      </c>
      <c r="G2644" s="8">
        <f t="shared" si="359"/>
        <v>1</v>
      </c>
      <c r="H2644">
        <f t="shared" si="360"/>
        <v>6</v>
      </c>
      <c r="I2644" t="str">
        <f t="shared" si="358"/>
        <v>Friday</v>
      </c>
      <c r="L2644">
        <f t="shared" si="361"/>
        <v>1</v>
      </c>
    </row>
    <row r="2645" spans="1:12" x14ac:dyDescent="0.25">
      <c r="A2645">
        <v>218684970</v>
      </c>
      <c r="B2645" s="1">
        <v>45128</v>
      </c>
      <c r="C2645" s="1">
        <v>45166</v>
      </c>
      <c r="D2645" t="s">
        <v>7</v>
      </c>
      <c r="E2645">
        <v>39</v>
      </c>
      <c r="F2645" t="s">
        <v>6</v>
      </c>
      <c r="G2645" s="8">
        <f t="shared" si="359"/>
        <v>38</v>
      </c>
      <c r="H2645">
        <f t="shared" si="360"/>
        <v>6</v>
      </c>
      <c r="I2645" t="str">
        <f t="shared" si="358"/>
        <v>Friday</v>
      </c>
      <c r="L2645">
        <f t="shared" si="361"/>
        <v>0</v>
      </c>
    </row>
    <row r="2646" spans="1:12" x14ac:dyDescent="0.25">
      <c r="A2646">
        <v>219045318</v>
      </c>
      <c r="B2646" s="1">
        <v>45129</v>
      </c>
      <c r="C2646" s="1">
        <f t="shared" ref="C2646:C2647" ca="1" si="364">TODAY()</f>
        <v>45938</v>
      </c>
      <c r="D2646" t="s">
        <v>7</v>
      </c>
      <c r="E2646">
        <v>39</v>
      </c>
      <c r="F2646" t="s">
        <v>6</v>
      </c>
      <c r="G2646" s="8">
        <f t="shared" ca="1" si="359"/>
        <v>809</v>
      </c>
      <c r="H2646">
        <f t="shared" si="360"/>
        <v>7</v>
      </c>
      <c r="I2646" t="str">
        <f t="shared" si="358"/>
        <v>Saturday</v>
      </c>
      <c r="L2646">
        <f t="shared" ca="1" si="361"/>
        <v>0</v>
      </c>
    </row>
    <row r="2647" spans="1:12" x14ac:dyDescent="0.25">
      <c r="A2647">
        <v>218428977</v>
      </c>
      <c r="B2647" s="1">
        <v>45129</v>
      </c>
      <c r="C2647" s="1">
        <f t="shared" ca="1" si="364"/>
        <v>45938</v>
      </c>
      <c r="D2647" t="s">
        <v>7</v>
      </c>
      <c r="E2647">
        <v>39</v>
      </c>
      <c r="F2647" t="s">
        <v>6</v>
      </c>
      <c r="G2647" s="8">
        <f t="shared" ca="1" si="359"/>
        <v>809</v>
      </c>
      <c r="H2647">
        <f t="shared" si="360"/>
        <v>7</v>
      </c>
      <c r="I2647" t="str">
        <f t="shared" si="358"/>
        <v>Saturday</v>
      </c>
      <c r="L2647">
        <f t="shared" ca="1" si="361"/>
        <v>0</v>
      </c>
    </row>
    <row r="2648" spans="1:12" x14ac:dyDescent="0.25">
      <c r="A2648">
        <v>156587706</v>
      </c>
      <c r="B2648" s="1">
        <v>45129</v>
      </c>
      <c r="C2648" s="1">
        <v>45130</v>
      </c>
      <c r="D2648" t="s">
        <v>8</v>
      </c>
      <c r="E2648">
        <v>39</v>
      </c>
      <c r="F2648" t="s">
        <v>6</v>
      </c>
      <c r="G2648" s="8">
        <f t="shared" si="359"/>
        <v>1</v>
      </c>
      <c r="H2648">
        <f t="shared" si="360"/>
        <v>7</v>
      </c>
      <c r="I2648" t="str">
        <f t="shared" si="358"/>
        <v>Saturday</v>
      </c>
      <c r="L2648">
        <f t="shared" si="361"/>
        <v>1</v>
      </c>
    </row>
    <row r="2649" spans="1:12" x14ac:dyDescent="0.25">
      <c r="A2649">
        <v>219034826</v>
      </c>
      <c r="B2649" s="1">
        <v>45129</v>
      </c>
      <c r="C2649" s="1">
        <v>45130</v>
      </c>
      <c r="D2649" t="s">
        <v>8</v>
      </c>
      <c r="E2649">
        <v>39</v>
      </c>
      <c r="F2649" t="s">
        <v>6</v>
      </c>
      <c r="G2649" s="8">
        <f t="shared" si="359"/>
        <v>1</v>
      </c>
      <c r="H2649">
        <f t="shared" si="360"/>
        <v>7</v>
      </c>
      <c r="I2649" t="str">
        <f t="shared" si="358"/>
        <v>Saturday</v>
      </c>
      <c r="L2649">
        <f t="shared" si="361"/>
        <v>1</v>
      </c>
    </row>
    <row r="2650" spans="1:12" x14ac:dyDescent="0.25">
      <c r="A2650">
        <v>204380751</v>
      </c>
      <c r="B2650" s="1">
        <v>45129</v>
      </c>
      <c r="C2650" s="1">
        <v>45159</v>
      </c>
      <c r="D2650" t="s">
        <v>7</v>
      </c>
      <c r="E2650">
        <v>39</v>
      </c>
      <c r="F2650" t="s">
        <v>6</v>
      </c>
      <c r="G2650" s="8">
        <f t="shared" si="359"/>
        <v>30</v>
      </c>
      <c r="H2650">
        <f t="shared" si="360"/>
        <v>7</v>
      </c>
      <c r="I2650" t="str">
        <f t="shared" si="358"/>
        <v>Saturday</v>
      </c>
      <c r="L2650">
        <f t="shared" si="361"/>
        <v>0</v>
      </c>
    </row>
    <row r="2651" spans="1:12" x14ac:dyDescent="0.25">
      <c r="A2651">
        <v>215315438</v>
      </c>
      <c r="B2651" s="1">
        <v>45129</v>
      </c>
      <c r="C2651" s="1">
        <v>45160</v>
      </c>
      <c r="D2651" t="s">
        <v>7</v>
      </c>
      <c r="E2651">
        <v>39</v>
      </c>
      <c r="F2651" t="s">
        <v>6</v>
      </c>
      <c r="G2651" s="8">
        <f t="shared" si="359"/>
        <v>31</v>
      </c>
      <c r="H2651">
        <f t="shared" si="360"/>
        <v>7</v>
      </c>
      <c r="I2651" t="str">
        <f t="shared" si="358"/>
        <v>Saturday</v>
      </c>
      <c r="L2651">
        <f t="shared" si="361"/>
        <v>0</v>
      </c>
    </row>
    <row r="2652" spans="1:12" x14ac:dyDescent="0.25">
      <c r="A2652">
        <v>213774184</v>
      </c>
      <c r="B2652" s="1">
        <v>45129</v>
      </c>
      <c r="C2652" s="1">
        <v>45167</v>
      </c>
      <c r="D2652" t="s">
        <v>7</v>
      </c>
      <c r="E2652">
        <v>39</v>
      </c>
      <c r="F2652" t="s">
        <v>6</v>
      </c>
      <c r="G2652" s="8">
        <f t="shared" si="359"/>
        <v>38</v>
      </c>
      <c r="H2652">
        <f t="shared" si="360"/>
        <v>7</v>
      </c>
      <c r="I2652" t="str">
        <f t="shared" si="358"/>
        <v>Saturday</v>
      </c>
      <c r="L2652">
        <f t="shared" si="361"/>
        <v>0</v>
      </c>
    </row>
    <row r="2653" spans="1:12" x14ac:dyDescent="0.25">
      <c r="A2653">
        <v>206121650</v>
      </c>
      <c r="B2653" s="1">
        <v>45130</v>
      </c>
      <c r="C2653" s="1">
        <f t="shared" ref="C2653:C2654" ca="1" si="365">TODAY()</f>
        <v>45938</v>
      </c>
      <c r="D2653" t="s">
        <v>7</v>
      </c>
      <c r="E2653">
        <v>39</v>
      </c>
      <c r="F2653" t="s">
        <v>6</v>
      </c>
      <c r="G2653" s="8">
        <f t="shared" ca="1" si="359"/>
        <v>808</v>
      </c>
      <c r="H2653">
        <f t="shared" si="360"/>
        <v>1</v>
      </c>
      <c r="I2653" t="str">
        <f t="shared" si="358"/>
        <v>Sunday</v>
      </c>
      <c r="L2653">
        <f t="shared" ca="1" si="361"/>
        <v>0</v>
      </c>
    </row>
    <row r="2654" spans="1:12" x14ac:dyDescent="0.25">
      <c r="A2654">
        <v>219059958</v>
      </c>
      <c r="B2654" s="1">
        <v>45130</v>
      </c>
      <c r="C2654" s="1">
        <f t="shared" ca="1" si="365"/>
        <v>45938</v>
      </c>
      <c r="D2654" t="s">
        <v>7</v>
      </c>
      <c r="E2654">
        <v>39</v>
      </c>
      <c r="F2654" t="s">
        <v>6</v>
      </c>
      <c r="G2654" s="8">
        <f t="shared" ca="1" si="359"/>
        <v>808</v>
      </c>
      <c r="H2654">
        <f t="shared" si="360"/>
        <v>1</v>
      </c>
      <c r="I2654" t="str">
        <f t="shared" si="358"/>
        <v>Sunday</v>
      </c>
      <c r="L2654">
        <f t="shared" ca="1" si="361"/>
        <v>0</v>
      </c>
    </row>
    <row r="2655" spans="1:12" x14ac:dyDescent="0.25">
      <c r="A2655">
        <v>204639997</v>
      </c>
      <c r="B2655" s="1">
        <v>45130</v>
      </c>
      <c r="C2655" s="1">
        <v>45130</v>
      </c>
      <c r="D2655" t="s">
        <v>7</v>
      </c>
      <c r="E2655">
        <v>39</v>
      </c>
      <c r="F2655" t="s">
        <v>6</v>
      </c>
      <c r="G2655" s="8">
        <f t="shared" si="359"/>
        <v>0</v>
      </c>
      <c r="H2655">
        <f t="shared" si="360"/>
        <v>1</v>
      </c>
      <c r="I2655" t="str">
        <f t="shared" si="358"/>
        <v>Sunday</v>
      </c>
      <c r="L2655">
        <f t="shared" si="361"/>
        <v>1</v>
      </c>
    </row>
    <row r="2656" spans="1:12" x14ac:dyDescent="0.25">
      <c r="A2656">
        <v>201817514</v>
      </c>
      <c r="B2656" s="1">
        <v>45130</v>
      </c>
      <c r="C2656" s="1">
        <v>45160</v>
      </c>
      <c r="D2656" t="s">
        <v>7</v>
      </c>
      <c r="E2656">
        <v>39</v>
      </c>
      <c r="F2656" t="s">
        <v>6</v>
      </c>
      <c r="G2656" s="8">
        <f t="shared" si="359"/>
        <v>30</v>
      </c>
      <c r="H2656">
        <f t="shared" si="360"/>
        <v>1</v>
      </c>
      <c r="I2656" t="str">
        <f t="shared" si="358"/>
        <v>Sunday</v>
      </c>
      <c r="L2656">
        <f t="shared" si="361"/>
        <v>0</v>
      </c>
    </row>
    <row r="2657" spans="1:12" x14ac:dyDescent="0.25">
      <c r="A2657">
        <v>219065931</v>
      </c>
      <c r="B2657" s="1">
        <v>45130</v>
      </c>
      <c r="C2657" s="1">
        <v>45168</v>
      </c>
      <c r="D2657" t="s">
        <v>7</v>
      </c>
      <c r="E2657">
        <v>39</v>
      </c>
      <c r="F2657" t="s">
        <v>6</v>
      </c>
      <c r="G2657" s="8">
        <f t="shared" si="359"/>
        <v>38</v>
      </c>
      <c r="H2657">
        <f t="shared" si="360"/>
        <v>1</v>
      </c>
      <c r="I2657" t="str">
        <f t="shared" si="358"/>
        <v>Sunday</v>
      </c>
      <c r="L2657">
        <f t="shared" si="361"/>
        <v>0</v>
      </c>
    </row>
    <row r="2658" spans="1:12" x14ac:dyDescent="0.25">
      <c r="A2658">
        <v>143627373</v>
      </c>
      <c r="B2658" s="1">
        <v>45131</v>
      </c>
      <c r="C2658" s="1">
        <f t="shared" ref="C2658:C2664" ca="1" si="366">TODAY()</f>
        <v>45938</v>
      </c>
      <c r="D2658" t="s">
        <v>7</v>
      </c>
      <c r="E2658">
        <v>39</v>
      </c>
      <c r="F2658" t="s">
        <v>6</v>
      </c>
      <c r="G2658" s="8">
        <f t="shared" ca="1" si="359"/>
        <v>807</v>
      </c>
      <c r="H2658">
        <f t="shared" si="360"/>
        <v>2</v>
      </c>
      <c r="I2658" t="str">
        <f t="shared" si="358"/>
        <v>Monday</v>
      </c>
      <c r="L2658">
        <f t="shared" ca="1" si="361"/>
        <v>0</v>
      </c>
    </row>
    <row r="2659" spans="1:12" x14ac:dyDescent="0.25">
      <c r="A2659">
        <v>218675428</v>
      </c>
      <c r="B2659" s="1">
        <v>45131</v>
      </c>
      <c r="C2659" s="1">
        <f t="shared" ca="1" si="366"/>
        <v>45938</v>
      </c>
      <c r="D2659" t="s">
        <v>7</v>
      </c>
      <c r="E2659">
        <v>39</v>
      </c>
      <c r="F2659" t="s">
        <v>6</v>
      </c>
      <c r="G2659" s="8">
        <f t="shared" ca="1" si="359"/>
        <v>807</v>
      </c>
      <c r="H2659">
        <f t="shared" si="360"/>
        <v>2</v>
      </c>
      <c r="I2659" t="str">
        <f t="shared" si="358"/>
        <v>Monday</v>
      </c>
      <c r="L2659">
        <f t="shared" ca="1" si="361"/>
        <v>0</v>
      </c>
    </row>
    <row r="2660" spans="1:12" x14ac:dyDescent="0.25">
      <c r="A2660">
        <v>219057820</v>
      </c>
      <c r="B2660" s="1">
        <v>45131</v>
      </c>
      <c r="C2660" s="1">
        <f t="shared" ca="1" si="366"/>
        <v>45938</v>
      </c>
      <c r="D2660" t="s">
        <v>7</v>
      </c>
      <c r="E2660">
        <v>39</v>
      </c>
      <c r="F2660" t="s">
        <v>6</v>
      </c>
      <c r="G2660" s="8">
        <f t="shared" ca="1" si="359"/>
        <v>807</v>
      </c>
      <c r="H2660">
        <f t="shared" si="360"/>
        <v>2</v>
      </c>
      <c r="I2660" t="str">
        <f t="shared" si="358"/>
        <v>Monday</v>
      </c>
      <c r="L2660">
        <f t="shared" ca="1" si="361"/>
        <v>0</v>
      </c>
    </row>
    <row r="2661" spans="1:12" x14ac:dyDescent="0.25">
      <c r="A2661">
        <v>219115854</v>
      </c>
      <c r="B2661" s="1">
        <v>45131</v>
      </c>
      <c r="C2661" s="1">
        <f t="shared" ca="1" si="366"/>
        <v>45938</v>
      </c>
      <c r="D2661" t="s">
        <v>7</v>
      </c>
      <c r="E2661">
        <v>39</v>
      </c>
      <c r="F2661" t="s">
        <v>6</v>
      </c>
      <c r="G2661" s="8">
        <f t="shared" ca="1" si="359"/>
        <v>807</v>
      </c>
      <c r="H2661">
        <f t="shared" si="360"/>
        <v>2</v>
      </c>
      <c r="I2661" t="str">
        <f t="shared" si="358"/>
        <v>Monday</v>
      </c>
      <c r="L2661">
        <f t="shared" ca="1" si="361"/>
        <v>0</v>
      </c>
    </row>
    <row r="2662" spans="1:12" x14ac:dyDescent="0.25">
      <c r="A2662">
        <v>204826054</v>
      </c>
      <c r="B2662" s="1">
        <v>45131</v>
      </c>
      <c r="C2662" s="1">
        <f t="shared" ca="1" si="366"/>
        <v>45938</v>
      </c>
      <c r="D2662" t="s">
        <v>7</v>
      </c>
      <c r="E2662">
        <v>39</v>
      </c>
      <c r="F2662" t="s">
        <v>6</v>
      </c>
      <c r="G2662" s="8">
        <f t="shared" ca="1" si="359"/>
        <v>807</v>
      </c>
      <c r="H2662">
        <f t="shared" si="360"/>
        <v>2</v>
      </c>
      <c r="I2662" t="str">
        <f t="shared" si="358"/>
        <v>Monday</v>
      </c>
      <c r="L2662">
        <f t="shared" ca="1" si="361"/>
        <v>0</v>
      </c>
    </row>
    <row r="2663" spans="1:12" x14ac:dyDescent="0.25">
      <c r="A2663">
        <v>219072554</v>
      </c>
      <c r="B2663" s="1">
        <v>45131</v>
      </c>
      <c r="C2663" s="1">
        <f t="shared" ca="1" si="366"/>
        <v>45938</v>
      </c>
      <c r="D2663" t="s">
        <v>7</v>
      </c>
      <c r="E2663">
        <v>39</v>
      </c>
      <c r="F2663" t="s">
        <v>6</v>
      </c>
      <c r="G2663" s="8">
        <f t="shared" ca="1" si="359"/>
        <v>807</v>
      </c>
      <c r="H2663">
        <f t="shared" si="360"/>
        <v>2</v>
      </c>
      <c r="I2663" t="str">
        <f t="shared" si="358"/>
        <v>Monday</v>
      </c>
      <c r="L2663">
        <f t="shared" ca="1" si="361"/>
        <v>0</v>
      </c>
    </row>
    <row r="2664" spans="1:12" x14ac:dyDescent="0.25">
      <c r="A2664">
        <v>219088631</v>
      </c>
      <c r="B2664" s="1">
        <v>45131</v>
      </c>
      <c r="C2664" s="1">
        <f t="shared" ca="1" si="366"/>
        <v>45938</v>
      </c>
      <c r="D2664" t="s">
        <v>7</v>
      </c>
      <c r="E2664">
        <v>39</v>
      </c>
      <c r="F2664" t="s">
        <v>6</v>
      </c>
      <c r="G2664" s="8">
        <f t="shared" ca="1" si="359"/>
        <v>807</v>
      </c>
      <c r="H2664">
        <f t="shared" si="360"/>
        <v>2</v>
      </c>
      <c r="I2664" t="str">
        <f t="shared" si="358"/>
        <v>Monday</v>
      </c>
      <c r="L2664">
        <f t="shared" ca="1" si="361"/>
        <v>0</v>
      </c>
    </row>
    <row r="2665" spans="1:12" x14ac:dyDescent="0.25">
      <c r="A2665">
        <v>218861750</v>
      </c>
      <c r="B2665" s="1">
        <v>45131</v>
      </c>
      <c r="C2665" s="1">
        <v>45169</v>
      </c>
      <c r="D2665" t="s">
        <v>7</v>
      </c>
      <c r="E2665">
        <v>39</v>
      </c>
      <c r="F2665" t="s">
        <v>6</v>
      </c>
      <c r="G2665" s="8">
        <f t="shared" si="359"/>
        <v>38</v>
      </c>
      <c r="H2665">
        <f t="shared" si="360"/>
        <v>2</v>
      </c>
      <c r="I2665" t="str">
        <f t="shared" si="358"/>
        <v>Monday</v>
      </c>
      <c r="L2665">
        <f t="shared" si="361"/>
        <v>0</v>
      </c>
    </row>
    <row r="2666" spans="1:12" x14ac:dyDescent="0.25">
      <c r="A2666">
        <v>217513777</v>
      </c>
      <c r="B2666" s="1">
        <v>45131</v>
      </c>
      <c r="C2666" s="1">
        <v>45140</v>
      </c>
      <c r="D2666" t="s">
        <v>7</v>
      </c>
      <c r="E2666">
        <v>39</v>
      </c>
      <c r="F2666" t="s">
        <v>6</v>
      </c>
      <c r="G2666" s="8">
        <f t="shared" si="359"/>
        <v>9</v>
      </c>
      <c r="H2666">
        <f t="shared" si="360"/>
        <v>2</v>
      </c>
      <c r="I2666" t="str">
        <f t="shared" si="358"/>
        <v>Monday</v>
      </c>
      <c r="L2666">
        <f t="shared" si="361"/>
        <v>0</v>
      </c>
    </row>
    <row r="2667" spans="1:12" x14ac:dyDescent="0.25">
      <c r="A2667">
        <v>218805370</v>
      </c>
      <c r="B2667" s="1">
        <v>45131</v>
      </c>
      <c r="C2667" s="1">
        <v>45146</v>
      </c>
      <c r="D2667" t="s">
        <v>7</v>
      </c>
      <c r="E2667">
        <v>39</v>
      </c>
      <c r="F2667" t="s">
        <v>6</v>
      </c>
      <c r="G2667" s="8">
        <f t="shared" si="359"/>
        <v>15</v>
      </c>
      <c r="H2667">
        <f t="shared" si="360"/>
        <v>2</v>
      </c>
      <c r="I2667" t="str">
        <f t="shared" si="358"/>
        <v>Monday</v>
      </c>
      <c r="L2667">
        <f t="shared" si="361"/>
        <v>0</v>
      </c>
    </row>
    <row r="2668" spans="1:12" x14ac:dyDescent="0.25">
      <c r="A2668">
        <v>219128709</v>
      </c>
      <c r="B2668" s="1">
        <v>45132</v>
      </c>
      <c r="C2668" s="1">
        <f t="shared" ref="C2668:C2677" ca="1" si="367">TODAY()</f>
        <v>45938</v>
      </c>
      <c r="D2668" t="s">
        <v>7</v>
      </c>
      <c r="E2668">
        <v>39</v>
      </c>
      <c r="F2668" t="s">
        <v>6</v>
      </c>
      <c r="G2668" s="8">
        <f t="shared" ca="1" si="359"/>
        <v>806</v>
      </c>
      <c r="H2668">
        <f t="shared" si="360"/>
        <v>3</v>
      </c>
      <c r="I2668" t="str">
        <f t="shared" si="358"/>
        <v>Tuesday</v>
      </c>
      <c r="L2668">
        <f t="shared" ca="1" si="361"/>
        <v>0</v>
      </c>
    </row>
    <row r="2669" spans="1:12" x14ac:dyDescent="0.25">
      <c r="A2669">
        <v>217998036</v>
      </c>
      <c r="B2669" s="1">
        <v>45132</v>
      </c>
      <c r="C2669" s="1">
        <f t="shared" ca="1" si="367"/>
        <v>45938</v>
      </c>
      <c r="D2669" t="s">
        <v>7</v>
      </c>
      <c r="E2669">
        <v>39</v>
      </c>
      <c r="F2669" t="s">
        <v>6</v>
      </c>
      <c r="G2669" s="8">
        <f t="shared" ca="1" si="359"/>
        <v>806</v>
      </c>
      <c r="H2669">
        <f t="shared" si="360"/>
        <v>3</v>
      </c>
      <c r="I2669" t="str">
        <f t="shared" si="358"/>
        <v>Tuesday</v>
      </c>
      <c r="L2669">
        <f t="shared" ca="1" si="361"/>
        <v>0</v>
      </c>
    </row>
    <row r="2670" spans="1:12" x14ac:dyDescent="0.25">
      <c r="A2670">
        <v>219100886</v>
      </c>
      <c r="B2670" s="1">
        <v>45132</v>
      </c>
      <c r="C2670" s="1">
        <f t="shared" ca="1" si="367"/>
        <v>45938</v>
      </c>
      <c r="D2670" t="s">
        <v>7</v>
      </c>
      <c r="E2670">
        <v>39</v>
      </c>
      <c r="F2670" t="s">
        <v>6</v>
      </c>
      <c r="G2670" s="8">
        <f t="shared" ca="1" si="359"/>
        <v>806</v>
      </c>
      <c r="H2670">
        <f t="shared" si="360"/>
        <v>3</v>
      </c>
      <c r="I2670" t="str">
        <f t="shared" si="358"/>
        <v>Tuesday</v>
      </c>
      <c r="L2670">
        <f t="shared" ca="1" si="361"/>
        <v>0</v>
      </c>
    </row>
    <row r="2671" spans="1:12" x14ac:dyDescent="0.25">
      <c r="A2671">
        <v>214586480</v>
      </c>
      <c r="B2671" s="1">
        <v>45132</v>
      </c>
      <c r="C2671" s="1">
        <f t="shared" ca="1" si="367"/>
        <v>45938</v>
      </c>
      <c r="D2671" t="s">
        <v>7</v>
      </c>
      <c r="E2671">
        <v>39</v>
      </c>
      <c r="F2671" t="s">
        <v>6</v>
      </c>
      <c r="G2671" s="8">
        <f t="shared" ca="1" si="359"/>
        <v>806</v>
      </c>
      <c r="H2671">
        <f t="shared" si="360"/>
        <v>3</v>
      </c>
      <c r="I2671" t="str">
        <f t="shared" si="358"/>
        <v>Tuesday</v>
      </c>
      <c r="L2671">
        <f t="shared" ca="1" si="361"/>
        <v>0</v>
      </c>
    </row>
    <row r="2672" spans="1:12" x14ac:dyDescent="0.25">
      <c r="A2672">
        <v>219110064</v>
      </c>
      <c r="B2672" s="1">
        <v>45132</v>
      </c>
      <c r="C2672" s="1">
        <f t="shared" ca="1" si="367"/>
        <v>45938</v>
      </c>
      <c r="D2672" t="s">
        <v>7</v>
      </c>
      <c r="E2672">
        <v>39</v>
      </c>
      <c r="F2672" t="s">
        <v>6</v>
      </c>
      <c r="G2672" s="8">
        <f t="shared" ca="1" si="359"/>
        <v>806</v>
      </c>
      <c r="H2672">
        <f t="shared" si="360"/>
        <v>3</v>
      </c>
      <c r="I2672" t="str">
        <f t="shared" si="358"/>
        <v>Tuesday</v>
      </c>
      <c r="L2672">
        <f t="shared" ca="1" si="361"/>
        <v>0</v>
      </c>
    </row>
    <row r="2673" spans="1:12" x14ac:dyDescent="0.25">
      <c r="A2673">
        <v>157374056</v>
      </c>
      <c r="B2673" s="1">
        <v>45132</v>
      </c>
      <c r="C2673" s="1">
        <f t="shared" ca="1" si="367"/>
        <v>45938</v>
      </c>
      <c r="D2673" t="s">
        <v>7</v>
      </c>
      <c r="E2673">
        <v>39</v>
      </c>
      <c r="F2673" t="s">
        <v>6</v>
      </c>
      <c r="G2673" s="8">
        <f t="shared" ca="1" si="359"/>
        <v>806</v>
      </c>
      <c r="H2673">
        <f t="shared" si="360"/>
        <v>3</v>
      </c>
      <c r="I2673" t="str">
        <f t="shared" si="358"/>
        <v>Tuesday</v>
      </c>
      <c r="L2673">
        <f t="shared" ca="1" si="361"/>
        <v>0</v>
      </c>
    </row>
    <row r="2674" spans="1:12" x14ac:dyDescent="0.25">
      <c r="A2674">
        <v>219058076</v>
      </c>
      <c r="B2674" s="1">
        <v>45132</v>
      </c>
      <c r="C2674" s="1">
        <f t="shared" ca="1" si="367"/>
        <v>45938</v>
      </c>
      <c r="D2674" t="s">
        <v>7</v>
      </c>
      <c r="E2674">
        <v>39</v>
      </c>
      <c r="F2674" t="s">
        <v>6</v>
      </c>
      <c r="G2674" s="8">
        <f t="shared" ca="1" si="359"/>
        <v>806</v>
      </c>
      <c r="H2674">
        <f t="shared" si="360"/>
        <v>3</v>
      </c>
      <c r="I2674" t="str">
        <f t="shared" si="358"/>
        <v>Tuesday</v>
      </c>
      <c r="L2674">
        <f t="shared" ca="1" si="361"/>
        <v>0</v>
      </c>
    </row>
    <row r="2675" spans="1:12" x14ac:dyDescent="0.25">
      <c r="A2675">
        <v>218011483</v>
      </c>
      <c r="B2675" s="1">
        <v>45132</v>
      </c>
      <c r="C2675" s="1">
        <f t="shared" ca="1" si="367"/>
        <v>45938</v>
      </c>
      <c r="D2675" t="s">
        <v>7</v>
      </c>
      <c r="E2675">
        <v>39</v>
      </c>
      <c r="F2675" t="s">
        <v>6</v>
      </c>
      <c r="G2675" s="8">
        <f t="shared" ca="1" si="359"/>
        <v>806</v>
      </c>
      <c r="H2675">
        <f t="shared" si="360"/>
        <v>3</v>
      </c>
      <c r="I2675" t="str">
        <f t="shared" si="358"/>
        <v>Tuesday</v>
      </c>
      <c r="L2675">
        <f t="shared" ca="1" si="361"/>
        <v>0</v>
      </c>
    </row>
    <row r="2676" spans="1:12" x14ac:dyDescent="0.25">
      <c r="A2676">
        <v>216543186</v>
      </c>
      <c r="B2676" s="1">
        <v>45132</v>
      </c>
      <c r="C2676" s="1">
        <f t="shared" ca="1" si="367"/>
        <v>45938</v>
      </c>
      <c r="D2676" t="s">
        <v>7</v>
      </c>
      <c r="E2676">
        <v>39</v>
      </c>
      <c r="F2676" t="s">
        <v>6</v>
      </c>
      <c r="G2676" s="8">
        <f t="shared" ca="1" si="359"/>
        <v>806</v>
      </c>
      <c r="H2676">
        <f t="shared" si="360"/>
        <v>3</v>
      </c>
      <c r="I2676" t="str">
        <f t="shared" si="358"/>
        <v>Tuesday</v>
      </c>
      <c r="L2676">
        <f t="shared" ca="1" si="361"/>
        <v>0</v>
      </c>
    </row>
    <row r="2677" spans="1:12" x14ac:dyDescent="0.25">
      <c r="A2677">
        <v>151239214</v>
      </c>
      <c r="B2677" s="1">
        <v>45132</v>
      </c>
      <c r="C2677" s="1">
        <f t="shared" ca="1" si="367"/>
        <v>45938</v>
      </c>
      <c r="D2677" t="s">
        <v>7</v>
      </c>
      <c r="E2677">
        <v>39</v>
      </c>
      <c r="F2677" t="s">
        <v>6</v>
      </c>
      <c r="G2677" s="8">
        <f t="shared" ca="1" si="359"/>
        <v>806</v>
      </c>
      <c r="H2677">
        <f t="shared" si="360"/>
        <v>3</v>
      </c>
      <c r="I2677" t="str">
        <f t="shared" si="358"/>
        <v>Tuesday</v>
      </c>
      <c r="L2677">
        <f t="shared" ca="1" si="361"/>
        <v>0</v>
      </c>
    </row>
    <row r="2678" spans="1:12" x14ac:dyDescent="0.25">
      <c r="A2678">
        <v>152760748</v>
      </c>
      <c r="B2678" s="1">
        <v>45132</v>
      </c>
      <c r="C2678" s="1">
        <v>45158</v>
      </c>
      <c r="D2678" t="s">
        <v>7</v>
      </c>
      <c r="E2678">
        <v>39</v>
      </c>
      <c r="F2678" t="s">
        <v>6</v>
      </c>
      <c r="G2678" s="8">
        <f t="shared" si="359"/>
        <v>26</v>
      </c>
      <c r="H2678">
        <f t="shared" si="360"/>
        <v>3</v>
      </c>
      <c r="I2678" t="str">
        <f t="shared" si="358"/>
        <v>Tuesday</v>
      </c>
      <c r="L2678">
        <f t="shared" si="361"/>
        <v>0</v>
      </c>
    </row>
    <row r="2679" spans="1:12" x14ac:dyDescent="0.25">
      <c r="A2679">
        <v>182102820</v>
      </c>
      <c r="B2679" s="1">
        <v>45132</v>
      </c>
      <c r="C2679" s="1">
        <v>45170</v>
      </c>
      <c r="D2679" t="s">
        <v>7</v>
      </c>
      <c r="E2679">
        <v>39</v>
      </c>
      <c r="F2679" t="s">
        <v>6</v>
      </c>
      <c r="G2679" s="8">
        <f t="shared" si="359"/>
        <v>38</v>
      </c>
      <c r="H2679">
        <f t="shared" si="360"/>
        <v>3</v>
      </c>
      <c r="I2679" t="str">
        <f t="shared" si="358"/>
        <v>Tuesday</v>
      </c>
      <c r="L2679">
        <f t="shared" si="361"/>
        <v>0</v>
      </c>
    </row>
    <row r="2680" spans="1:12" x14ac:dyDescent="0.25">
      <c r="A2680">
        <v>215005163</v>
      </c>
      <c r="B2680" s="1">
        <v>45132</v>
      </c>
      <c r="C2680" s="1">
        <v>45155</v>
      </c>
      <c r="D2680" t="s">
        <v>7</v>
      </c>
      <c r="E2680">
        <v>39</v>
      </c>
      <c r="F2680" t="s">
        <v>6</v>
      </c>
      <c r="G2680" s="8">
        <f t="shared" si="359"/>
        <v>23</v>
      </c>
      <c r="H2680">
        <f t="shared" si="360"/>
        <v>3</v>
      </c>
      <c r="I2680" t="str">
        <f t="shared" si="358"/>
        <v>Tuesday</v>
      </c>
      <c r="L2680">
        <f t="shared" si="361"/>
        <v>0</v>
      </c>
    </row>
    <row r="2681" spans="1:12" x14ac:dyDescent="0.25">
      <c r="A2681">
        <v>219136846</v>
      </c>
      <c r="B2681" s="1">
        <v>45132</v>
      </c>
      <c r="C2681" s="1">
        <v>45140</v>
      </c>
      <c r="D2681" t="s">
        <v>7</v>
      </c>
      <c r="E2681">
        <v>39</v>
      </c>
      <c r="F2681" t="s">
        <v>6</v>
      </c>
      <c r="G2681" s="8">
        <f t="shared" si="359"/>
        <v>8</v>
      </c>
      <c r="H2681">
        <f t="shared" si="360"/>
        <v>3</v>
      </c>
      <c r="I2681" t="str">
        <f t="shared" si="358"/>
        <v>Tuesday</v>
      </c>
      <c r="L2681">
        <f t="shared" si="361"/>
        <v>0</v>
      </c>
    </row>
    <row r="2682" spans="1:12" x14ac:dyDescent="0.25">
      <c r="A2682">
        <v>218795222</v>
      </c>
      <c r="B2682" s="1">
        <v>45132</v>
      </c>
      <c r="C2682" s="1">
        <v>45161</v>
      </c>
      <c r="D2682" t="s">
        <v>7</v>
      </c>
      <c r="E2682">
        <v>39</v>
      </c>
      <c r="F2682" t="s">
        <v>6</v>
      </c>
      <c r="G2682" s="8">
        <f t="shared" si="359"/>
        <v>29</v>
      </c>
      <c r="H2682">
        <f t="shared" si="360"/>
        <v>3</v>
      </c>
      <c r="I2682" t="str">
        <f t="shared" si="358"/>
        <v>Tuesday</v>
      </c>
      <c r="L2682">
        <f t="shared" si="361"/>
        <v>0</v>
      </c>
    </row>
    <row r="2683" spans="1:12" x14ac:dyDescent="0.25">
      <c r="A2683">
        <v>208706876</v>
      </c>
      <c r="B2683" s="1">
        <v>45132</v>
      </c>
      <c r="C2683" s="1">
        <v>45159</v>
      </c>
      <c r="D2683" t="s">
        <v>7</v>
      </c>
      <c r="E2683">
        <v>39</v>
      </c>
      <c r="F2683" t="s">
        <v>6</v>
      </c>
      <c r="G2683" s="8">
        <f t="shared" si="359"/>
        <v>27</v>
      </c>
      <c r="H2683">
        <f t="shared" si="360"/>
        <v>3</v>
      </c>
      <c r="I2683" t="str">
        <f t="shared" si="358"/>
        <v>Tuesday</v>
      </c>
      <c r="L2683">
        <f t="shared" si="361"/>
        <v>0</v>
      </c>
    </row>
    <row r="2684" spans="1:12" x14ac:dyDescent="0.25">
      <c r="A2684">
        <v>218701308</v>
      </c>
      <c r="B2684" s="1">
        <v>45132</v>
      </c>
      <c r="C2684" s="1">
        <v>45170</v>
      </c>
      <c r="D2684" t="s">
        <v>7</v>
      </c>
      <c r="E2684">
        <v>39</v>
      </c>
      <c r="F2684" t="s">
        <v>6</v>
      </c>
      <c r="G2684" s="8">
        <f t="shared" si="359"/>
        <v>38</v>
      </c>
      <c r="H2684">
        <f t="shared" si="360"/>
        <v>3</v>
      </c>
      <c r="I2684" t="str">
        <f t="shared" si="358"/>
        <v>Tuesday</v>
      </c>
      <c r="L2684">
        <f t="shared" si="361"/>
        <v>0</v>
      </c>
    </row>
    <row r="2685" spans="1:12" x14ac:dyDescent="0.25">
      <c r="A2685">
        <v>219136623</v>
      </c>
      <c r="B2685" s="1">
        <v>45132</v>
      </c>
      <c r="C2685" s="1">
        <v>45170</v>
      </c>
      <c r="D2685" t="s">
        <v>7</v>
      </c>
      <c r="E2685">
        <v>39</v>
      </c>
      <c r="F2685" t="s">
        <v>6</v>
      </c>
      <c r="G2685" s="8">
        <f t="shared" si="359"/>
        <v>38</v>
      </c>
      <c r="H2685">
        <f t="shared" si="360"/>
        <v>3</v>
      </c>
      <c r="I2685" t="str">
        <f t="shared" si="358"/>
        <v>Tuesday</v>
      </c>
      <c r="L2685">
        <f t="shared" si="361"/>
        <v>0</v>
      </c>
    </row>
    <row r="2686" spans="1:12" x14ac:dyDescent="0.25">
      <c r="A2686">
        <v>219153922</v>
      </c>
      <c r="B2686" s="1">
        <v>45133</v>
      </c>
      <c r="C2686" s="1">
        <f t="shared" ref="C2686:C2690" ca="1" si="368">TODAY()</f>
        <v>45938</v>
      </c>
      <c r="D2686" t="s">
        <v>7</v>
      </c>
      <c r="E2686">
        <v>39</v>
      </c>
      <c r="F2686" t="s">
        <v>6</v>
      </c>
      <c r="G2686" s="8">
        <f t="shared" ca="1" si="359"/>
        <v>805</v>
      </c>
      <c r="H2686">
        <f t="shared" si="360"/>
        <v>4</v>
      </c>
      <c r="I2686" t="str">
        <f t="shared" si="358"/>
        <v>Wednesday</v>
      </c>
      <c r="L2686">
        <f t="shared" ca="1" si="361"/>
        <v>0</v>
      </c>
    </row>
    <row r="2687" spans="1:12" x14ac:dyDescent="0.25">
      <c r="A2687">
        <v>165529460</v>
      </c>
      <c r="B2687" s="1">
        <v>45133</v>
      </c>
      <c r="C2687" s="1">
        <f t="shared" ca="1" si="368"/>
        <v>45938</v>
      </c>
      <c r="D2687" t="s">
        <v>7</v>
      </c>
      <c r="E2687">
        <v>39</v>
      </c>
      <c r="F2687" t="s">
        <v>6</v>
      </c>
      <c r="G2687" s="8">
        <f t="shared" ca="1" si="359"/>
        <v>805</v>
      </c>
      <c r="H2687">
        <f t="shared" si="360"/>
        <v>4</v>
      </c>
      <c r="I2687" t="str">
        <f t="shared" si="358"/>
        <v>Wednesday</v>
      </c>
      <c r="L2687">
        <f t="shared" ca="1" si="361"/>
        <v>0</v>
      </c>
    </row>
    <row r="2688" spans="1:12" x14ac:dyDescent="0.25">
      <c r="A2688">
        <v>218715792</v>
      </c>
      <c r="B2688" s="1">
        <v>45133</v>
      </c>
      <c r="C2688" s="1">
        <f t="shared" ca="1" si="368"/>
        <v>45938</v>
      </c>
      <c r="D2688" t="s">
        <v>7</v>
      </c>
      <c r="E2688">
        <v>39</v>
      </c>
      <c r="F2688" t="s">
        <v>6</v>
      </c>
      <c r="G2688" s="8">
        <f t="shared" ca="1" si="359"/>
        <v>805</v>
      </c>
      <c r="H2688">
        <f t="shared" si="360"/>
        <v>4</v>
      </c>
      <c r="I2688" t="str">
        <f t="shared" si="358"/>
        <v>Wednesday</v>
      </c>
      <c r="L2688">
        <f t="shared" ca="1" si="361"/>
        <v>0</v>
      </c>
    </row>
    <row r="2689" spans="1:12" x14ac:dyDescent="0.25">
      <c r="A2689">
        <v>218985028</v>
      </c>
      <c r="B2689" s="1">
        <v>45133</v>
      </c>
      <c r="C2689" s="1">
        <f t="shared" ca="1" si="368"/>
        <v>45938</v>
      </c>
      <c r="D2689" t="s">
        <v>7</v>
      </c>
      <c r="E2689">
        <v>39</v>
      </c>
      <c r="F2689" t="s">
        <v>6</v>
      </c>
      <c r="G2689" s="8">
        <f t="shared" ca="1" si="359"/>
        <v>805</v>
      </c>
      <c r="H2689">
        <f t="shared" si="360"/>
        <v>4</v>
      </c>
      <c r="I2689" t="str">
        <f t="shared" si="358"/>
        <v>Wednesday</v>
      </c>
      <c r="L2689">
        <f t="shared" ca="1" si="361"/>
        <v>0</v>
      </c>
    </row>
    <row r="2690" spans="1:12" x14ac:dyDescent="0.25">
      <c r="A2690">
        <v>218986352</v>
      </c>
      <c r="B2690" s="1">
        <v>45133</v>
      </c>
      <c r="C2690" s="1">
        <f t="shared" ca="1" si="368"/>
        <v>45938</v>
      </c>
      <c r="D2690" t="s">
        <v>7</v>
      </c>
      <c r="E2690">
        <v>39</v>
      </c>
      <c r="F2690" t="s">
        <v>6</v>
      </c>
      <c r="G2690" s="8">
        <f t="shared" ca="1" si="359"/>
        <v>805</v>
      </c>
      <c r="H2690">
        <f t="shared" si="360"/>
        <v>4</v>
      </c>
      <c r="I2690" t="str">
        <f t="shared" ref="I2690:I2753" si="369">TEXT(B2690,"DDDD")</f>
        <v>Wednesday</v>
      </c>
      <c r="L2690">
        <f t="shared" ca="1" si="361"/>
        <v>0</v>
      </c>
    </row>
    <row r="2691" spans="1:12" x14ac:dyDescent="0.25">
      <c r="A2691">
        <v>219152822</v>
      </c>
      <c r="B2691" s="1">
        <v>45133</v>
      </c>
      <c r="C2691" s="1">
        <v>45174</v>
      </c>
      <c r="D2691" t="s">
        <v>7</v>
      </c>
      <c r="E2691">
        <v>39</v>
      </c>
      <c r="F2691" t="s">
        <v>6</v>
      </c>
      <c r="G2691" s="8">
        <f t="shared" ref="G2691:G2754" si="370">IFERROR(DATEDIF(B2691,C2691,"D"),"0")</f>
        <v>41</v>
      </c>
      <c r="H2691">
        <f t="shared" ref="H2691:H2754" si="371">WEEKDAY(B2691,1)</f>
        <v>4</v>
      </c>
      <c r="I2691" t="str">
        <f t="shared" si="369"/>
        <v>Wednesday</v>
      </c>
      <c r="L2691">
        <f t="shared" ref="L2691:L2754" si="372">IF( OR($G2691=0,$G2691 = 1, $G2691 = 2), 1, 0 )</f>
        <v>0</v>
      </c>
    </row>
    <row r="2692" spans="1:12" x14ac:dyDescent="0.25">
      <c r="A2692">
        <v>219084587</v>
      </c>
      <c r="B2692" s="1">
        <v>45133</v>
      </c>
      <c r="C2692" s="1">
        <v>45134</v>
      </c>
      <c r="D2692" t="s">
        <v>8</v>
      </c>
      <c r="E2692">
        <v>39</v>
      </c>
      <c r="F2692" t="s">
        <v>6</v>
      </c>
      <c r="G2692" s="8">
        <f t="shared" si="370"/>
        <v>1</v>
      </c>
      <c r="H2692">
        <f t="shared" si="371"/>
        <v>4</v>
      </c>
      <c r="I2692" t="str">
        <f t="shared" si="369"/>
        <v>Wednesday</v>
      </c>
      <c r="L2692">
        <f t="shared" si="372"/>
        <v>1</v>
      </c>
    </row>
    <row r="2693" spans="1:12" x14ac:dyDescent="0.25">
      <c r="A2693">
        <v>219200064</v>
      </c>
      <c r="B2693" s="1">
        <v>45133</v>
      </c>
      <c r="C2693" s="1">
        <v>45171</v>
      </c>
      <c r="D2693" t="s">
        <v>7</v>
      </c>
      <c r="E2693">
        <v>39</v>
      </c>
      <c r="F2693" t="s">
        <v>6</v>
      </c>
      <c r="G2693" s="8">
        <f t="shared" si="370"/>
        <v>38</v>
      </c>
      <c r="H2693">
        <f t="shared" si="371"/>
        <v>4</v>
      </c>
      <c r="I2693" t="str">
        <f t="shared" si="369"/>
        <v>Wednesday</v>
      </c>
      <c r="L2693">
        <f t="shared" si="372"/>
        <v>0</v>
      </c>
    </row>
    <row r="2694" spans="1:12" x14ac:dyDescent="0.25">
      <c r="A2694">
        <v>219224963</v>
      </c>
      <c r="B2694" s="1">
        <v>45134</v>
      </c>
      <c r="C2694" s="1">
        <f t="shared" ref="C2694:C2701" ca="1" si="373">TODAY()</f>
        <v>45938</v>
      </c>
      <c r="D2694" t="s">
        <v>7</v>
      </c>
      <c r="E2694">
        <v>39</v>
      </c>
      <c r="F2694" t="s">
        <v>6</v>
      </c>
      <c r="G2694" s="8">
        <f t="shared" ca="1" si="370"/>
        <v>804</v>
      </c>
      <c r="H2694">
        <f t="shared" si="371"/>
        <v>5</v>
      </c>
      <c r="I2694" t="str">
        <f t="shared" si="369"/>
        <v>Thursday</v>
      </c>
      <c r="L2694">
        <f t="shared" ca="1" si="372"/>
        <v>0</v>
      </c>
    </row>
    <row r="2695" spans="1:12" x14ac:dyDescent="0.25">
      <c r="A2695">
        <v>219172302</v>
      </c>
      <c r="B2695" s="1">
        <v>45134</v>
      </c>
      <c r="C2695" s="1">
        <f t="shared" ca="1" si="373"/>
        <v>45938</v>
      </c>
      <c r="D2695" t="s">
        <v>7</v>
      </c>
      <c r="E2695">
        <v>39</v>
      </c>
      <c r="F2695" t="s">
        <v>6</v>
      </c>
      <c r="G2695" s="8">
        <f t="shared" ca="1" si="370"/>
        <v>804</v>
      </c>
      <c r="H2695">
        <f t="shared" si="371"/>
        <v>5</v>
      </c>
      <c r="I2695" t="str">
        <f t="shared" si="369"/>
        <v>Thursday</v>
      </c>
      <c r="L2695">
        <f t="shared" ca="1" si="372"/>
        <v>0</v>
      </c>
    </row>
    <row r="2696" spans="1:12" x14ac:dyDescent="0.25">
      <c r="A2696">
        <v>219244336</v>
      </c>
      <c r="B2696" s="1">
        <v>45134</v>
      </c>
      <c r="C2696" s="1">
        <f t="shared" ca="1" si="373"/>
        <v>45938</v>
      </c>
      <c r="D2696" t="s">
        <v>7</v>
      </c>
      <c r="E2696">
        <v>39</v>
      </c>
      <c r="F2696" t="s">
        <v>6</v>
      </c>
      <c r="G2696" s="8">
        <f t="shared" ca="1" si="370"/>
        <v>804</v>
      </c>
      <c r="H2696">
        <f t="shared" si="371"/>
        <v>5</v>
      </c>
      <c r="I2696" t="str">
        <f t="shared" si="369"/>
        <v>Thursday</v>
      </c>
      <c r="L2696">
        <f t="shared" ca="1" si="372"/>
        <v>0</v>
      </c>
    </row>
    <row r="2697" spans="1:12" x14ac:dyDescent="0.25">
      <c r="A2697">
        <v>150342446</v>
      </c>
      <c r="B2697" s="1">
        <v>45134</v>
      </c>
      <c r="C2697" s="1">
        <f t="shared" ca="1" si="373"/>
        <v>45938</v>
      </c>
      <c r="D2697" t="s">
        <v>7</v>
      </c>
      <c r="E2697">
        <v>39</v>
      </c>
      <c r="F2697" t="s">
        <v>6</v>
      </c>
      <c r="G2697" s="8">
        <f t="shared" ca="1" si="370"/>
        <v>804</v>
      </c>
      <c r="H2697">
        <f t="shared" si="371"/>
        <v>5</v>
      </c>
      <c r="I2697" t="str">
        <f t="shared" si="369"/>
        <v>Thursday</v>
      </c>
      <c r="L2697">
        <f t="shared" ca="1" si="372"/>
        <v>0</v>
      </c>
    </row>
    <row r="2698" spans="1:12" x14ac:dyDescent="0.25">
      <c r="A2698">
        <v>210432172</v>
      </c>
      <c r="B2698" s="1">
        <v>45134</v>
      </c>
      <c r="C2698" s="1">
        <f t="shared" ca="1" si="373"/>
        <v>45938</v>
      </c>
      <c r="D2698" t="s">
        <v>7</v>
      </c>
      <c r="E2698">
        <v>39</v>
      </c>
      <c r="F2698" t="s">
        <v>6</v>
      </c>
      <c r="G2698" s="8">
        <f t="shared" ca="1" si="370"/>
        <v>804</v>
      </c>
      <c r="H2698">
        <f t="shared" si="371"/>
        <v>5</v>
      </c>
      <c r="I2698" t="str">
        <f t="shared" si="369"/>
        <v>Thursday</v>
      </c>
      <c r="L2698">
        <f t="shared" ca="1" si="372"/>
        <v>0</v>
      </c>
    </row>
    <row r="2699" spans="1:12" x14ac:dyDescent="0.25">
      <c r="A2699">
        <v>145614180</v>
      </c>
      <c r="B2699" s="1">
        <v>45134</v>
      </c>
      <c r="C2699" s="1">
        <f t="shared" ca="1" si="373"/>
        <v>45938</v>
      </c>
      <c r="D2699" t="s">
        <v>7</v>
      </c>
      <c r="E2699">
        <v>39</v>
      </c>
      <c r="F2699" t="s">
        <v>6</v>
      </c>
      <c r="G2699" s="8">
        <f t="shared" ca="1" si="370"/>
        <v>804</v>
      </c>
      <c r="H2699">
        <f t="shared" si="371"/>
        <v>5</v>
      </c>
      <c r="I2699" t="str">
        <f t="shared" si="369"/>
        <v>Thursday</v>
      </c>
      <c r="L2699">
        <f t="shared" ca="1" si="372"/>
        <v>0</v>
      </c>
    </row>
    <row r="2700" spans="1:12" x14ac:dyDescent="0.25">
      <c r="A2700">
        <v>218318466</v>
      </c>
      <c r="B2700" s="1">
        <v>45134</v>
      </c>
      <c r="C2700" s="1">
        <f t="shared" ca="1" si="373"/>
        <v>45938</v>
      </c>
      <c r="D2700" t="s">
        <v>7</v>
      </c>
      <c r="E2700">
        <v>39</v>
      </c>
      <c r="F2700" t="s">
        <v>6</v>
      </c>
      <c r="G2700" s="8">
        <f t="shared" ca="1" si="370"/>
        <v>804</v>
      </c>
      <c r="H2700">
        <f t="shared" si="371"/>
        <v>5</v>
      </c>
      <c r="I2700" t="str">
        <f t="shared" si="369"/>
        <v>Thursday</v>
      </c>
      <c r="L2700">
        <f t="shared" ca="1" si="372"/>
        <v>0</v>
      </c>
    </row>
    <row r="2701" spans="1:12" x14ac:dyDescent="0.25">
      <c r="A2701">
        <v>131984682</v>
      </c>
      <c r="B2701" s="1">
        <v>45134</v>
      </c>
      <c r="C2701" s="1">
        <f t="shared" ca="1" si="373"/>
        <v>45938</v>
      </c>
      <c r="D2701" t="s">
        <v>7</v>
      </c>
      <c r="E2701">
        <v>39</v>
      </c>
      <c r="F2701" t="s">
        <v>6</v>
      </c>
      <c r="G2701" s="8">
        <f t="shared" ca="1" si="370"/>
        <v>804</v>
      </c>
      <c r="H2701">
        <f t="shared" si="371"/>
        <v>5</v>
      </c>
      <c r="I2701" t="str">
        <f t="shared" si="369"/>
        <v>Thursday</v>
      </c>
      <c r="L2701">
        <f t="shared" ca="1" si="372"/>
        <v>0</v>
      </c>
    </row>
    <row r="2702" spans="1:12" x14ac:dyDescent="0.25">
      <c r="A2702">
        <v>219243156</v>
      </c>
      <c r="B2702" s="1">
        <v>45134</v>
      </c>
      <c r="C2702" s="1">
        <v>45134</v>
      </c>
      <c r="D2702" t="s">
        <v>7</v>
      </c>
      <c r="E2702">
        <v>39</v>
      </c>
      <c r="F2702" t="s">
        <v>6</v>
      </c>
      <c r="G2702" s="8">
        <f t="shared" si="370"/>
        <v>0</v>
      </c>
      <c r="H2702">
        <f t="shared" si="371"/>
        <v>5</v>
      </c>
      <c r="I2702" t="str">
        <f t="shared" si="369"/>
        <v>Thursday</v>
      </c>
      <c r="L2702">
        <f t="shared" si="372"/>
        <v>1</v>
      </c>
    </row>
    <row r="2703" spans="1:12" x14ac:dyDescent="0.25">
      <c r="A2703">
        <v>219301778</v>
      </c>
      <c r="B2703" s="1">
        <v>45135</v>
      </c>
      <c r="C2703" s="1">
        <f t="shared" ref="C2703:C2714" ca="1" si="374">TODAY()</f>
        <v>45938</v>
      </c>
      <c r="D2703" t="s">
        <v>7</v>
      </c>
      <c r="E2703">
        <v>39</v>
      </c>
      <c r="F2703" t="s">
        <v>6</v>
      </c>
      <c r="G2703" s="8">
        <f t="shared" ca="1" si="370"/>
        <v>803</v>
      </c>
      <c r="H2703">
        <f t="shared" si="371"/>
        <v>6</v>
      </c>
      <c r="I2703" t="str">
        <f t="shared" si="369"/>
        <v>Friday</v>
      </c>
      <c r="L2703">
        <f t="shared" ca="1" si="372"/>
        <v>0</v>
      </c>
    </row>
    <row r="2704" spans="1:12" x14ac:dyDescent="0.25">
      <c r="A2704">
        <v>153004062</v>
      </c>
      <c r="B2704" s="1">
        <v>45135</v>
      </c>
      <c r="C2704" s="1">
        <f t="shared" ca="1" si="374"/>
        <v>45938</v>
      </c>
      <c r="D2704" t="s">
        <v>7</v>
      </c>
      <c r="E2704">
        <v>39</v>
      </c>
      <c r="F2704" t="s">
        <v>6</v>
      </c>
      <c r="G2704" s="8">
        <f t="shared" ca="1" si="370"/>
        <v>803</v>
      </c>
      <c r="H2704">
        <f t="shared" si="371"/>
        <v>6</v>
      </c>
      <c r="I2704" t="str">
        <f t="shared" si="369"/>
        <v>Friday</v>
      </c>
      <c r="L2704">
        <f t="shared" ca="1" si="372"/>
        <v>0</v>
      </c>
    </row>
    <row r="2705" spans="1:12" x14ac:dyDescent="0.25">
      <c r="A2705">
        <v>151015350</v>
      </c>
      <c r="B2705" s="1">
        <v>45135</v>
      </c>
      <c r="C2705" s="1">
        <f t="shared" ca="1" si="374"/>
        <v>45938</v>
      </c>
      <c r="D2705" t="s">
        <v>7</v>
      </c>
      <c r="E2705">
        <v>39</v>
      </c>
      <c r="F2705" t="s">
        <v>6</v>
      </c>
      <c r="G2705" s="8">
        <f t="shared" ca="1" si="370"/>
        <v>803</v>
      </c>
      <c r="H2705">
        <f t="shared" si="371"/>
        <v>6</v>
      </c>
      <c r="I2705" t="str">
        <f t="shared" si="369"/>
        <v>Friday</v>
      </c>
      <c r="L2705">
        <f t="shared" ca="1" si="372"/>
        <v>0</v>
      </c>
    </row>
    <row r="2706" spans="1:12" x14ac:dyDescent="0.25">
      <c r="A2706">
        <v>147696294</v>
      </c>
      <c r="B2706" s="1">
        <v>45135</v>
      </c>
      <c r="C2706" s="1">
        <f t="shared" ca="1" si="374"/>
        <v>45938</v>
      </c>
      <c r="D2706" t="s">
        <v>7</v>
      </c>
      <c r="E2706">
        <v>39</v>
      </c>
      <c r="F2706" t="s">
        <v>6</v>
      </c>
      <c r="G2706" s="8">
        <f t="shared" ca="1" si="370"/>
        <v>803</v>
      </c>
      <c r="H2706">
        <f t="shared" si="371"/>
        <v>6</v>
      </c>
      <c r="I2706" t="str">
        <f t="shared" si="369"/>
        <v>Friday</v>
      </c>
      <c r="L2706">
        <f t="shared" ca="1" si="372"/>
        <v>0</v>
      </c>
    </row>
    <row r="2707" spans="1:12" x14ac:dyDescent="0.25">
      <c r="A2707">
        <v>218255956</v>
      </c>
      <c r="B2707" s="1">
        <v>45135</v>
      </c>
      <c r="C2707" s="1">
        <f t="shared" ca="1" si="374"/>
        <v>45938</v>
      </c>
      <c r="D2707" t="s">
        <v>7</v>
      </c>
      <c r="E2707">
        <v>39</v>
      </c>
      <c r="F2707" t="s">
        <v>6</v>
      </c>
      <c r="G2707" s="8">
        <f t="shared" ca="1" si="370"/>
        <v>803</v>
      </c>
      <c r="H2707">
        <f t="shared" si="371"/>
        <v>6</v>
      </c>
      <c r="I2707" t="str">
        <f t="shared" si="369"/>
        <v>Friday</v>
      </c>
      <c r="L2707">
        <f t="shared" ca="1" si="372"/>
        <v>0</v>
      </c>
    </row>
    <row r="2708" spans="1:12" x14ac:dyDescent="0.25">
      <c r="A2708">
        <v>218510841</v>
      </c>
      <c r="B2708" s="1">
        <v>45135</v>
      </c>
      <c r="C2708" s="1">
        <f t="shared" ca="1" si="374"/>
        <v>45938</v>
      </c>
      <c r="D2708" t="s">
        <v>7</v>
      </c>
      <c r="E2708">
        <v>39</v>
      </c>
      <c r="F2708" t="s">
        <v>6</v>
      </c>
      <c r="G2708" s="8">
        <f t="shared" ca="1" si="370"/>
        <v>803</v>
      </c>
      <c r="H2708">
        <f t="shared" si="371"/>
        <v>6</v>
      </c>
      <c r="I2708" t="str">
        <f t="shared" si="369"/>
        <v>Friday</v>
      </c>
      <c r="L2708">
        <f t="shared" ca="1" si="372"/>
        <v>0</v>
      </c>
    </row>
    <row r="2709" spans="1:12" x14ac:dyDescent="0.25">
      <c r="A2709">
        <v>130864124</v>
      </c>
      <c r="B2709" s="1">
        <v>45135</v>
      </c>
      <c r="C2709" s="1">
        <f t="shared" ca="1" si="374"/>
        <v>45938</v>
      </c>
      <c r="D2709" t="s">
        <v>7</v>
      </c>
      <c r="E2709">
        <v>39</v>
      </c>
      <c r="F2709" t="s">
        <v>6</v>
      </c>
      <c r="G2709" s="8">
        <f t="shared" ca="1" si="370"/>
        <v>803</v>
      </c>
      <c r="H2709">
        <f t="shared" si="371"/>
        <v>6</v>
      </c>
      <c r="I2709" t="str">
        <f t="shared" si="369"/>
        <v>Friday</v>
      </c>
      <c r="L2709">
        <f t="shared" ca="1" si="372"/>
        <v>0</v>
      </c>
    </row>
    <row r="2710" spans="1:12" x14ac:dyDescent="0.25">
      <c r="A2710">
        <v>219194059</v>
      </c>
      <c r="B2710" s="1">
        <v>45135</v>
      </c>
      <c r="C2710" s="1">
        <f t="shared" ca="1" si="374"/>
        <v>45938</v>
      </c>
      <c r="D2710" t="s">
        <v>7</v>
      </c>
      <c r="E2710">
        <v>39</v>
      </c>
      <c r="F2710" t="s">
        <v>6</v>
      </c>
      <c r="G2710" s="8">
        <f t="shared" ca="1" si="370"/>
        <v>803</v>
      </c>
      <c r="H2710">
        <f t="shared" si="371"/>
        <v>6</v>
      </c>
      <c r="I2710" t="str">
        <f t="shared" si="369"/>
        <v>Friday</v>
      </c>
      <c r="L2710">
        <f t="shared" ca="1" si="372"/>
        <v>0</v>
      </c>
    </row>
    <row r="2711" spans="1:12" x14ac:dyDescent="0.25">
      <c r="A2711">
        <v>219254134</v>
      </c>
      <c r="B2711" s="1">
        <v>45135</v>
      </c>
      <c r="C2711" s="1">
        <f t="shared" ca="1" si="374"/>
        <v>45938</v>
      </c>
      <c r="D2711" t="s">
        <v>7</v>
      </c>
      <c r="E2711">
        <v>39</v>
      </c>
      <c r="F2711" t="s">
        <v>6</v>
      </c>
      <c r="G2711" s="8">
        <f t="shared" ca="1" si="370"/>
        <v>803</v>
      </c>
      <c r="H2711">
        <f t="shared" si="371"/>
        <v>6</v>
      </c>
      <c r="I2711" t="str">
        <f t="shared" si="369"/>
        <v>Friday</v>
      </c>
      <c r="L2711">
        <f t="shared" ca="1" si="372"/>
        <v>0</v>
      </c>
    </row>
    <row r="2712" spans="1:12" x14ac:dyDescent="0.25">
      <c r="A2712">
        <v>215881016</v>
      </c>
      <c r="B2712" s="1">
        <v>45135</v>
      </c>
      <c r="C2712" s="1">
        <f t="shared" ca="1" si="374"/>
        <v>45938</v>
      </c>
      <c r="D2712" t="s">
        <v>7</v>
      </c>
      <c r="E2712">
        <v>39</v>
      </c>
      <c r="F2712" t="s">
        <v>6</v>
      </c>
      <c r="G2712" s="8">
        <f t="shared" ca="1" si="370"/>
        <v>803</v>
      </c>
      <c r="H2712">
        <f t="shared" si="371"/>
        <v>6</v>
      </c>
      <c r="I2712" t="str">
        <f t="shared" si="369"/>
        <v>Friday</v>
      </c>
      <c r="L2712">
        <f t="shared" ca="1" si="372"/>
        <v>0</v>
      </c>
    </row>
    <row r="2713" spans="1:12" x14ac:dyDescent="0.25">
      <c r="A2713">
        <v>217361520</v>
      </c>
      <c r="B2713" s="1">
        <v>45135</v>
      </c>
      <c r="C2713" s="1">
        <f t="shared" ca="1" si="374"/>
        <v>45938</v>
      </c>
      <c r="D2713" t="s">
        <v>7</v>
      </c>
      <c r="E2713">
        <v>39</v>
      </c>
      <c r="F2713" t="s">
        <v>6</v>
      </c>
      <c r="G2713" s="8">
        <f t="shared" ca="1" si="370"/>
        <v>803</v>
      </c>
      <c r="H2713">
        <f t="shared" si="371"/>
        <v>6</v>
      </c>
      <c r="I2713" t="str">
        <f t="shared" si="369"/>
        <v>Friday</v>
      </c>
      <c r="L2713">
        <f t="shared" ca="1" si="372"/>
        <v>0</v>
      </c>
    </row>
    <row r="2714" spans="1:12" x14ac:dyDescent="0.25">
      <c r="A2714">
        <v>219265654</v>
      </c>
      <c r="B2714" s="1">
        <v>45135</v>
      </c>
      <c r="C2714" s="1">
        <f t="shared" ca="1" si="374"/>
        <v>45938</v>
      </c>
      <c r="D2714" t="s">
        <v>7</v>
      </c>
      <c r="E2714">
        <v>39</v>
      </c>
      <c r="F2714" t="s">
        <v>6</v>
      </c>
      <c r="G2714" s="8">
        <f t="shared" ca="1" si="370"/>
        <v>803</v>
      </c>
      <c r="H2714">
        <f t="shared" si="371"/>
        <v>6</v>
      </c>
      <c r="I2714" t="str">
        <f t="shared" si="369"/>
        <v>Friday</v>
      </c>
      <c r="L2714">
        <f t="shared" ca="1" si="372"/>
        <v>0</v>
      </c>
    </row>
    <row r="2715" spans="1:12" x14ac:dyDescent="0.25">
      <c r="A2715">
        <v>175491846</v>
      </c>
      <c r="B2715" s="1">
        <v>45135</v>
      </c>
      <c r="C2715" s="1">
        <v>45136</v>
      </c>
      <c r="D2715" t="s">
        <v>7</v>
      </c>
      <c r="E2715">
        <v>39</v>
      </c>
      <c r="F2715" t="s">
        <v>6</v>
      </c>
      <c r="G2715" s="8">
        <f t="shared" si="370"/>
        <v>1</v>
      </c>
      <c r="H2715">
        <f t="shared" si="371"/>
        <v>6</v>
      </c>
      <c r="I2715" t="str">
        <f t="shared" si="369"/>
        <v>Friday</v>
      </c>
      <c r="L2715">
        <f t="shared" si="372"/>
        <v>1</v>
      </c>
    </row>
    <row r="2716" spans="1:12" x14ac:dyDescent="0.25">
      <c r="A2716">
        <v>212603850</v>
      </c>
      <c r="B2716" s="1">
        <v>45135</v>
      </c>
      <c r="C2716" s="1">
        <v>45164</v>
      </c>
      <c r="D2716" t="s">
        <v>7</v>
      </c>
      <c r="E2716">
        <v>39</v>
      </c>
      <c r="F2716" t="s">
        <v>6</v>
      </c>
      <c r="G2716" s="8">
        <f t="shared" si="370"/>
        <v>29</v>
      </c>
      <c r="H2716">
        <f t="shared" si="371"/>
        <v>6</v>
      </c>
      <c r="I2716" t="str">
        <f t="shared" si="369"/>
        <v>Friday</v>
      </c>
      <c r="L2716">
        <f t="shared" si="372"/>
        <v>0</v>
      </c>
    </row>
    <row r="2717" spans="1:12" x14ac:dyDescent="0.25">
      <c r="A2717">
        <v>219307145</v>
      </c>
      <c r="B2717" s="1">
        <v>45136</v>
      </c>
      <c r="C2717" s="1">
        <f t="shared" ref="C2717" ca="1" si="375">TODAY()</f>
        <v>45938</v>
      </c>
      <c r="D2717" t="s">
        <v>7</v>
      </c>
      <c r="E2717">
        <v>39</v>
      </c>
      <c r="F2717" t="s">
        <v>6</v>
      </c>
      <c r="G2717" s="8">
        <f t="shared" ca="1" si="370"/>
        <v>802</v>
      </c>
      <c r="H2717">
        <f t="shared" si="371"/>
        <v>7</v>
      </c>
      <c r="I2717" t="str">
        <f t="shared" si="369"/>
        <v>Saturday</v>
      </c>
      <c r="L2717">
        <f t="shared" ca="1" si="372"/>
        <v>0</v>
      </c>
    </row>
    <row r="2718" spans="1:12" x14ac:dyDescent="0.25">
      <c r="A2718">
        <v>212937420</v>
      </c>
      <c r="B2718" s="1">
        <v>45136</v>
      </c>
      <c r="C2718" s="1">
        <v>45174</v>
      </c>
      <c r="D2718" t="s">
        <v>7</v>
      </c>
      <c r="E2718">
        <v>39</v>
      </c>
      <c r="F2718" t="s">
        <v>6</v>
      </c>
      <c r="G2718" s="8">
        <f t="shared" si="370"/>
        <v>38</v>
      </c>
      <c r="H2718">
        <f t="shared" si="371"/>
        <v>7</v>
      </c>
      <c r="I2718" t="str">
        <f t="shared" si="369"/>
        <v>Saturday</v>
      </c>
      <c r="L2718">
        <f t="shared" si="372"/>
        <v>0</v>
      </c>
    </row>
    <row r="2719" spans="1:12" x14ac:dyDescent="0.25">
      <c r="A2719">
        <v>219318511</v>
      </c>
      <c r="B2719" s="1">
        <v>45136</v>
      </c>
      <c r="C2719" s="1">
        <v>45156</v>
      </c>
      <c r="D2719" t="s">
        <v>7</v>
      </c>
      <c r="E2719">
        <v>39</v>
      </c>
      <c r="F2719" t="s">
        <v>6</v>
      </c>
      <c r="G2719" s="8">
        <f t="shared" si="370"/>
        <v>20</v>
      </c>
      <c r="H2719">
        <f t="shared" si="371"/>
        <v>7</v>
      </c>
      <c r="I2719" t="str">
        <f t="shared" si="369"/>
        <v>Saturday</v>
      </c>
      <c r="L2719">
        <f t="shared" si="372"/>
        <v>0</v>
      </c>
    </row>
    <row r="2720" spans="1:12" x14ac:dyDescent="0.25">
      <c r="A2720">
        <v>218513479</v>
      </c>
      <c r="B2720" s="1">
        <v>45136</v>
      </c>
      <c r="C2720" s="1">
        <v>45163</v>
      </c>
      <c r="D2720" t="s">
        <v>7</v>
      </c>
      <c r="E2720">
        <v>39</v>
      </c>
      <c r="F2720" t="s">
        <v>6</v>
      </c>
      <c r="G2720" s="8">
        <f t="shared" si="370"/>
        <v>27</v>
      </c>
      <c r="H2720">
        <f t="shared" si="371"/>
        <v>7</v>
      </c>
      <c r="I2720" t="str">
        <f t="shared" si="369"/>
        <v>Saturday</v>
      </c>
      <c r="L2720">
        <f t="shared" si="372"/>
        <v>0</v>
      </c>
    </row>
    <row r="2721" spans="1:12" x14ac:dyDescent="0.25">
      <c r="A2721">
        <v>219301764</v>
      </c>
      <c r="B2721" s="1">
        <v>45136</v>
      </c>
      <c r="C2721" s="1">
        <v>45165</v>
      </c>
      <c r="D2721" t="s">
        <v>7</v>
      </c>
      <c r="E2721">
        <v>39</v>
      </c>
      <c r="F2721" t="s">
        <v>6</v>
      </c>
      <c r="G2721" s="8">
        <f t="shared" si="370"/>
        <v>29</v>
      </c>
      <c r="H2721">
        <f t="shared" si="371"/>
        <v>7</v>
      </c>
      <c r="I2721" t="str">
        <f t="shared" si="369"/>
        <v>Saturday</v>
      </c>
      <c r="L2721">
        <f t="shared" si="372"/>
        <v>0</v>
      </c>
    </row>
    <row r="2722" spans="1:12" x14ac:dyDescent="0.25">
      <c r="A2722">
        <v>125038257</v>
      </c>
      <c r="B2722" s="1">
        <v>45137</v>
      </c>
      <c r="C2722" s="1">
        <f t="shared" ref="C2722:C2723" ca="1" si="376">TODAY()</f>
        <v>45938</v>
      </c>
      <c r="D2722" t="s">
        <v>7</v>
      </c>
      <c r="E2722">
        <v>39</v>
      </c>
      <c r="F2722" t="s">
        <v>6</v>
      </c>
      <c r="G2722" s="8">
        <f t="shared" ca="1" si="370"/>
        <v>801</v>
      </c>
      <c r="H2722">
        <f t="shared" si="371"/>
        <v>1</v>
      </c>
      <c r="I2722" t="str">
        <f t="shared" si="369"/>
        <v>Sunday</v>
      </c>
      <c r="L2722">
        <f t="shared" ca="1" si="372"/>
        <v>0</v>
      </c>
    </row>
    <row r="2723" spans="1:12" x14ac:dyDescent="0.25">
      <c r="A2723">
        <v>217813451</v>
      </c>
      <c r="B2723" s="1">
        <v>45137</v>
      </c>
      <c r="C2723" s="1">
        <f t="shared" ca="1" si="376"/>
        <v>45938</v>
      </c>
      <c r="D2723" t="s">
        <v>7</v>
      </c>
      <c r="E2723">
        <v>39</v>
      </c>
      <c r="F2723" t="s">
        <v>6</v>
      </c>
      <c r="G2723" s="8">
        <f t="shared" ca="1" si="370"/>
        <v>801</v>
      </c>
      <c r="H2723">
        <f t="shared" si="371"/>
        <v>1</v>
      </c>
      <c r="I2723" t="str">
        <f t="shared" si="369"/>
        <v>Sunday</v>
      </c>
      <c r="L2723">
        <f t="shared" ca="1" si="372"/>
        <v>0</v>
      </c>
    </row>
    <row r="2724" spans="1:12" x14ac:dyDescent="0.25">
      <c r="A2724">
        <v>162859352</v>
      </c>
      <c r="B2724" s="1">
        <v>45137</v>
      </c>
      <c r="C2724" s="1">
        <v>45138</v>
      </c>
      <c r="D2724" t="s">
        <v>8</v>
      </c>
      <c r="E2724">
        <v>39</v>
      </c>
      <c r="F2724" t="s">
        <v>6</v>
      </c>
      <c r="G2724" s="8">
        <f t="shared" si="370"/>
        <v>1</v>
      </c>
      <c r="H2724">
        <f t="shared" si="371"/>
        <v>1</v>
      </c>
      <c r="I2724" t="str">
        <f t="shared" si="369"/>
        <v>Sunday</v>
      </c>
      <c r="L2724">
        <f t="shared" si="372"/>
        <v>1</v>
      </c>
    </row>
    <row r="2725" spans="1:12" x14ac:dyDescent="0.25">
      <c r="A2725">
        <v>146923161</v>
      </c>
      <c r="B2725" s="1">
        <v>45137</v>
      </c>
      <c r="C2725" s="1">
        <v>45175</v>
      </c>
      <c r="D2725" t="s">
        <v>7</v>
      </c>
      <c r="E2725">
        <v>39</v>
      </c>
      <c r="F2725" t="s">
        <v>6</v>
      </c>
      <c r="G2725" s="8">
        <f t="shared" si="370"/>
        <v>38</v>
      </c>
      <c r="H2725">
        <f t="shared" si="371"/>
        <v>1</v>
      </c>
      <c r="I2725" t="str">
        <f t="shared" si="369"/>
        <v>Sunday</v>
      </c>
      <c r="L2725">
        <f t="shared" si="372"/>
        <v>0</v>
      </c>
    </row>
    <row r="2726" spans="1:12" x14ac:dyDescent="0.25">
      <c r="A2726">
        <v>206699284</v>
      </c>
      <c r="B2726" s="1">
        <v>45137</v>
      </c>
      <c r="C2726" s="1">
        <v>45166</v>
      </c>
      <c r="D2726" t="s">
        <v>7</v>
      </c>
      <c r="E2726">
        <v>39</v>
      </c>
      <c r="F2726" t="s">
        <v>6</v>
      </c>
      <c r="G2726" s="8">
        <f t="shared" si="370"/>
        <v>29</v>
      </c>
      <c r="H2726">
        <f t="shared" si="371"/>
        <v>1</v>
      </c>
      <c r="I2726" t="str">
        <f t="shared" si="369"/>
        <v>Sunday</v>
      </c>
      <c r="L2726">
        <f t="shared" si="372"/>
        <v>0</v>
      </c>
    </row>
    <row r="2727" spans="1:12" x14ac:dyDescent="0.25">
      <c r="A2727">
        <v>219330169</v>
      </c>
      <c r="B2727" s="1">
        <v>45137</v>
      </c>
      <c r="C2727" s="1">
        <v>45166</v>
      </c>
      <c r="D2727" t="s">
        <v>7</v>
      </c>
      <c r="E2727">
        <v>39</v>
      </c>
      <c r="F2727" t="s">
        <v>6</v>
      </c>
      <c r="G2727" s="8">
        <f t="shared" si="370"/>
        <v>29</v>
      </c>
      <c r="H2727">
        <f t="shared" si="371"/>
        <v>1</v>
      </c>
      <c r="I2727" t="str">
        <f t="shared" si="369"/>
        <v>Sunday</v>
      </c>
      <c r="L2727">
        <f t="shared" si="372"/>
        <v>0</v>
      </c>
    </row>
    <row r="2728" spans="1:12" x14ac:dyDescent="0.25">
      <c r="A2728">
        <v>219404710</v>
      </c>
      <c r="B2728" s="1">
        <v>45138</v>
      </c>
      <c r="C2728" s="1">
        <f t="shared" ref="C2728:C2734" ca="1" si="377">TODAY()</f>
        <v>45938</v>
      </c>
      <c r="D2728" t="s">
        <v>7</v>
      </c>
      <c r="E2728">
        <v>39</v>
      </c>
      <c r="F2728" t="s">
        <v>6</v>
      </c>
      <c r="G2728" s="8">
        <f t="shared" ca="1" si="370"/>
        <v>800</v>
      </c>
      <c r="H2728">
        <f t="shared" si="371"/>
        <v>2</v>
      </c>
      <c r="I2728" t="str">
        <f t="shared" si="369"/>
        <v>Monday</v>
      </c>
      <c r="L2728">
        <f t="shared" ca="1" si="372"/>
        <v>0</v>
      </c>
    </row>
    <row r="2729" spans="1:12" x14ac:dyDescent="0.25">
      <c r="A2729">
        <v>219402896</v>
      </c>
      <c r="B2729" s="1">
        <v>45138</v>
      </c>
      <c r="C2729" s="1">
        <f t="shared" ca="1" si="377"/>
        <v>45938</v>
      </c>
      <c r="D2729" t="s">
        <v>7</v>
      </c>
      <c r="E2729">
        <v>39</v>
      </c>
      <c r="F2729" t="s">
        <v>6</v>
      </c>
      <c r="G2729" s="8">
        <f t="shared" ca="1" si="370"/>
        <v>800</v>
      </c>
      <c r="H2729">
        <f t="shared" si="371"/>
        <v>2</v>
      </c>
      <c r="I2729" t="str">
        <f t="shared" si="369"/>
        <v>Monday</v>
      </c>
      <c r="L2729">
        <f t="shared" ca="1" si="372"/>
        <v>0</v>
      </c>
    </row>
    <row r="2730" spans="1:12" x14ac:dyDescent="0.25">
      <c r="A2730">
        <v>214129448</v>
      </c>
      <c r="B2730" s="1">
        <v>45138</v>
      </c>
      <c r="C2730" s="1">
        <f t="shared" ca="1" si="377"/>
        <v>45938</v>
      </c>
      <c r="D2730" t="s">
        <v>7</v>
      </c>
      <c r="E2730">
        <v>39</v>
      </c>
      <c r="F2730" t="s">
        <v>6</v>
      </c>
      <c r="G2730" s="8">
        <f t="shared" ca="1" si="370"/>
        <v>800</v>
      </c>
      <c r="H2730">
        <f t="shared" si="371"/>
        <v>2</v>
      </c>
      <c r="I2730" t="str">
        <f t="shared" si="369"/>
        <v>Monday</v>
      </c>
      <c r="L2730">
        <f t="shared" ca="1" si="372"/>
        <v>0</v>
      </c>
    </row>
    <row r="2731" spans="1:12" x14ac:dyDescent="0.25">
      <c r="A2731">
        <v>219218929</v>
      </c>
      <c r="B2731" s="1">
        <v>45138</v>
      </c>
      <c r="C2731" s="1">
        <f t="shared" ca="1" si="377"/>
        <v>45938</v>
      </c>
      <c r="D2731" t="s">
        <v>7</v>
      </c>
      <c r="E2731">
        <v>39</v>
      </c>
      <c r="F2731" t="s">
        <v>6</v>
      </c>
      <c r="G2731" s="8">
        <f t="shared" ca="1" si="370"/>
        <v>800</v>
      </c>
      <c r="H2731">
        <f t="shared" si="371"/>
        <v>2</v>
      </c>
      <c r="I2731" t="str">
        <f t="shared" si="369"/>
        <v>Monday</v>
      </c>
      <c r="L2731">
        <f t="shared" ca="1" si="372"/>
        <v>0</v>
      </c>
    </row>
    <row r="2732" spans="1:12" x14ac:dyDescent="0.25">
      <c r="A2732">
        <v>219385880</v>
      </c>
      <c r="B2732" s="1">
        <v>45138</v>
      </c>
      <c r="C2732" s="1">
        <f t="shared" ca="1" si="377"/>
        <v>45938</v>
      </c>
      <c r="D2732" t="s">
        <v>7</v>
      </c>
      <c r="E2732">
        <v>39</v>
      </c>
      <c r="F2732" t="s">
        <v>6</v>
      </c>
      <c r="G2732" s="8">
        <f t="shared" ca="1" si="370"/>
        <v>800</v>
      </c>
      <c r="H2732">
        <f t="shared" si="371"/>
        <v>2</v>
      </c>
      <c r="I2732" t="str">
        <f t="shared" si="369"/>
        <v>Monday</v>
      </c>
      <c r="L2732">
        <f t="shared" ca="1" si="372"/>
        <v>0</v>
      </c>
    </row>
    <row r="2733" spans="1:12" x14ac:dyDescent="0.25">
      <c r="A2733">
        <v>219368039</v>
      </c>
      <c r="B2733" s="1">
        <v>45138</v>
      </c>
      <c r="C2733" s="1">
        <f t="shared" ca="1" si="377"/>
        <v>45938</v>
      </c>
      <c r="D2733" t="s">
        <v>7</v>
      </c>
      <c r="E2733">
        <v>39</v>
      </c>
      <c r="F2733" t="s">
        <v>6</v>
      </c>
      <c r="G2733" s="8">
        <f t="shared" ca="1" si="370"/>
        <v>800</v>
      </c>
      <c r="H2733">
        <f t="shared" si="371"/>
        <v>2</v>
      </c>
      <c r="I2733" t="str">
        <f t="shared" si="369"/>
        <v>Monday</v>
      </c>
      <c r="L2733">
        <f t="shared" ca="1" si="372"/>
        <v>0</v>
      </c>
    </row>
    <row r="2734" spans="1:12" x14ac:dyDescent="0.25">
      <c r="A2734">
        <v>219328313</v>
      </c>
      <c r="B2734" s="1">
        <v>45138</v>
      </c>
      <c r="C2734" s="1">
        <f t="shared" ca="1" si="377"/>
        <v>45938</v>
      </c>
      <c r="D2734" t="s">
        <v>7</v>
      </c>
      <c r="E2734">
        <v>39</v>
      </c>
      <c r="F2734" t="s">
        <v>6</v>
      </c>
      <c r="G2734" s="8">
        <f t="shared" ca="1" si="370"/>
        <v>800</v>
      </c>
      <c r="H2734">
        <f t="shared" si="371"/>
        <v>2</v>
      </c>
      <c r="I2734" t="str">
        <f t="shared" si="369"/>
        <v>Monday</v>
      </c>
      <c r="L2734">
        <f t="shared" ca="1" si="372"/>
        <v>0</v>
      </c>
    </row>
    <row r="2735" spans="1:12" x14ac:dyDescent="0.25">
      <c r="A2735">
        <v>219185386</v>
      </c>
      <c r="B2735" s="1">
        <v>45138</v>
      </c>
      <c r="C2735" s="1">
        <v>45139</v>
      </c>
      <c r="D2735" t="s">
        <v>8</v>
      </c>
      <c r="E2735">
        <v>39</v>
      </c>
      <c r="F2735" t="s">
        <v>6</v>
      </c>
      <c r="G2735" s="8">
        <f t="shared" si="370"/>
        <v>1</v>
      </c>
      <c r="H2735">
        <f t="shared" si="371"/>
        <v>2</v>
      </c>
      <c r="I2735" t="str">
        <f t="shared" si="369"/>
        <v>Monday</v>
      </c>
      <c r="L2735">
        <f t="shared" si="372"/>
        <v>1</v>
      </c>
    </row>
    <row r="2736" spans="1:12" x14ac:dyDescent="0.25">
      <c r="A2736">
        <v>183712256</v>
      </c>
      <c r="B2736" s="1">
        <v>45138</v>
      </c>
      <c r="C2736" s="1">
        <v>45146</v>
      </c>
      <c r="D2736" t="s">
        <v>7</v>
      </c>
      <c r="E2736">
        <v>39</v>
      </c>
      <c r="F2736" t="s">
        <v>6</v>
      </c>
      <c r="G2736" s="8">
        <f t="shared" si="370"/>
        <v>8</v>
      </c>
      <c r="H2736">
        <f t="shared" si="371"/>
        <v>2</v>
      </c>
      <c r="I2736" t="str">
        <f t="shared" si="369"/>
        <v>Monday</v>
      </c>
      <c r="L2736">
        <f t="shared" si="372"/>
        <v>0</v>
      </c>
    </row>
    <row r="2737" spans="1:12" x14ac:dyDescent="0.25">
      <c r="A2737">
        <v>217624207</v>
      </c>
      <c r="B2737" s="1">
        <v>45139</v>
      </c>
      <c r="C2737" s="1">
        <f t="shared" ref="C2737:C2742" ca="1" si="378">TODAY()</f>
        <v>45938</v>
      </c>
      <c r="D2737" t="s">
        <v>7</v>
      </c>
      <c r="E2737">
        <v>39</v>
      </c>
      <c r="F2737" t="s">
        <v>6</v>
      </c>
      <c r="G2737" s="8">
        <f t="shared" ca="1" si="370"/>
        <v>799</v>
      </c>
      <c r="H2737">
        <f t="shared" si="371"/>
        <v>3</v>
      </c>
      <c r="I2737" t="str">
        <f t="shared" si="369"/>
        <v>Tuesday</v>
      </c>
      <c r="L2737">
        <f t="shared" ca="1" si="372"/>
        <v>0</v>
      </c>
    </row>
    <row r="2738" spans="1:12" x14ac:dyDescent="0.25">
      <c r="A2738">
        <v>218938921</v>
      </c>
      <c r="B2738" s="1">
        <v>45139</v>
      </c>
      <c r="C2738" s="1">
        <f t="shared" ca="1" si="378"/>
        <v>45938</v>
      </c>
      <c r="D2738" t="s">
        <v>7</v>
      </c>
      <c r="E2738">
        <v>39</v>
      </c>
      <c r="F2738" t="s">
        <v>6</v>
      </c>
      <c r="G2738" s="8">
        <f t="shared" ca="1" si="370"/>
        <v>799</v>
      </c>
      <c r="H2738">
        <f t="shared" si="371"/>
        <v>3</v>
      </c>
      <c r="I2738" t="str">
        <f t="shared" si="369"/>
        <v>Tuesday</v>
      </c>
      <c r="L2738">
        <f t="shared" ca="1" si="372"/>
        <v>0</v>
      </c>
    </row>
    <row r="2739" spans="1:12" x14ac:dyDescent="0.25">
      <c r="A2739">
        <v>147145693</v>
      </c>
      <c r="B2739" s="1">
        <v>45139</v>
      </c>
      <c r="C2739" s="1">
        <f t="shared" ca="1" si="378"/>
        <v>45938</v>
      </c>
      <c r="D2739" t="s">
        <v>7</v>
      </c>
      <c r="E2739">
        <v>39</v>
      </c>
      <c r="F2739" t="s">
        <v>6</v>
      </c>
      <c r="G2739" s="8">
        <f t="shared" ca="1" si="370"/>
        <v>799</v>
      </c>
      <c r="H2739">
        <f t="shared" si="371"/>
        <v>3</v>
      </c>
      <c r="I2739" t="str">
        <f t="shared" si="369"/>
        <v>Tuesday</v>
      </c>
      <c r="L2739">
        <f t="shared" ca="1" si="372"/>
        <v>0</v>
      </c>
    </row>
    <row r="2740" spans="1:12" x14ac:dyDescent="0.25">
      <c r="A2740">
        <v>218459038</v>
      </c>
      <c r="B2740" s="1">
        <v>45139</v>
      </c>
      <c r="C2740" s="1">
        <f t="shared" ca="1" si="378"/>
        <v>45938</v>
      </c>
      <c r="D2740" t="s">
        <v>7</v>
      </c>
      <c r="E2740">
        <v>39</v>
      </c>
      <c r="F2740" t="s">
        <v>6</v>
      </c>
      <c r="G2740" s="8">
        <f t="shared" ca="1" si="370"/>
        <v>799</v>
      </c>
      <c r="H2740">
        <f t="shared" si="371"/>
        <v>3</v>
      </c>
      <c r="I2740" t="str">
        <f t="shared" si="369"/>
        <v>Tuesday</v>
      </c>
      <c r="L2740">
        <f t="shared" ca="1" si="372"/>
        <v>0</v>
      </c>
    </row>
    <row r="2741" spans="1:12" x14ac:dyDescent="0.25">
      <c r="A2741">
        <v>219395734</v>
      </c>
      <c r="B2741" s="1">
        <v>45139</v>
      </c>
      <c r="C2741" s="1">
        <f t="shared" ca="1" si="378"/>
        <v>45938</v>
      </c>
      <c r="D2741" t="s">
        <v>7</v>
      </c>
      <c r="E2741">
        <v>39</v>
      </c>
      <c r="F2741" t="s">
        <v>6</v>
      </c>
      <c r="G2741" s="8">
        <f t="shared" ca="1" si="370"/>
        <v>799</v>
      </c>
      <c r="H2741">
        <f t="shared" si="371"/>
        <v>3</v>
      </c>
      <c r="I2741" t="str">
        <f t="shared" si="369"/>
        <v>Tuesday</v>
      </c>
      <c r="L2741">
        <f t="shared" ca="1" si="372"/>
        <v>0</v>
      </c>
    </row>
    <row r="2742" spans="1:12" x14ac:dyDescent="0.25">
      <c r="A2742">
        <v>219413956</v>
      </c>
      <c r="B2742" s="1">
        <v>45139</v>
      </c>
      <c r="C2742" s="1">
        <f t="shared" ca="1" si="378"/>
        <v>45938</v>
      </c>
      <c r="D2742" t="s">
        <v>7</v>
      </c>
      <c r="E2742">
        <v>39</v>
      </c>
      <c r="F2742" t="s">
        <v>6</v>
      </c>
      <c r="G2742" s="8">
        <f t="shared" ca="1" si="370"/>
        <v>799</v>
      </c>
      <c r="H2742">
        <f t="shared" si="371"/>
        <v>3</v>
      </c>
      <c r="I2742" t="str">
        <f t="shared" si="369"/>
        <v>Tuesday</v>
      </c>
      <c r="L2742">
        <f t="shared" ca="1" si="372"/>
        <v>0</v>
      </c>
    </row>
    <row r="2743" spans="1:12" x14ac:dyDescent="0.25">
      <c r="A2743">
        <v>218562434</v>
      </c>
      <c r="B2743" s="1">
        <v>45139</v>
      </c>
      <c r="C2743" s="1">
        <v>45170</v>
      </c>
      <c r="D2743" t="s">
        <v>7</v>
      </c>
      <c r="E2743">
        <v>39</v>
      </c>
      <c r="F2743" t="s">
        <v>6</v>
      </c>
      <c r="G2743" s="8">
        <f t="shared" si="370"/>
        <v>31</v>
      </c>
      <c r="H2743">
        <f t="shared" si="371"/>
        <v>3</v>
      </c>
      <c r="I2743" t="str">
        <f t="shared" si="369"/>
        <v>Tuesday</v>
      </c>
      <c r="L2743">
        <f t="shared" si="372"/>
        <v>0</v>
      </c>
    </row>
    <row r="2744" spans="1:12" x14ac:dyDescent="0.25">
      <c r="A2744">
        <v>135521927</v>
      </c>
      <c r="B2744" s="1">
        <v>45139</v>
      </c>
      <c r="C2744" s="1">
        <v>45171</v>
      </c>
      <c r="D2744" t="s">
        <v>7</v>
      </c>
      <c r="E2744">
        <v>39</v>
      </c>
      <c r="F2744" t="s">
        <v>6</v>
      </c>
      <c r="G2744" s="8">
        <f t="shared" si="370"/>
        <v>32</v>
      </c>
      <c r="H2744">
        <f t="shared" si="371"/>
        <v>3</v>
      </c>
      <c r="I2744" t="str">
        <f t="shared" si="369"/>
        <v>Tuesday</v>
      </c>
      <c r="L2744">
        <f t="shared" si="372"/>
        <v>0</v>
      </c>
    </row>
    <row r="2745" spans="1:12" x14ac:dyDescent="0.25">
      <c r="A2745">
        <v>157035378</v>
      </c>
      <c r="B2745" s="1">
        <v>45139</v>
      </c>
      <c r="C2745" s="1">
        <v>45169</v>
      </c>
      <c r="D2745" t="s">
        <v>7</v>
      </c>
      <c r="E2745">
        <v>39</v>
      </c>
      <c r="F2745" t="s">
        <v>6</v>
      </c>
      <c r="G2745" s="8">
        <f t="shared" si="370"/>
        <v>30</v>
      </c>
      <c r="H2745">
        <f t="shared" si="371"/>
        <v>3</v>
      </c>
      <c r="I2745" t="str">
        <f t="shared" si="369"/>
        <v>Tuesday</v>
      </c>
      <c r="L2745">
        <f t="shared" si="372"/>
        <v>0</v>
      </c>
    </row>
    <row r="2746" spans="1:12" x14ac:dyDescent="0.25">
      <c r="A2746">
        <v>219382434</v>
      </c>
      <c r="B2746" s="1">
        <v>45139</v>
      </c>
      <c r="C2746" s="1">
        <v>45169</v>
      </c>
      <c r="D2746" t="s">
        <v>7</v>
      </c>
      <c r="E2746">
        <v>39</v>
      </c>
      <c r="F2746" t="s">
        <v>6</v>
      </c>
      <c r="G2746" s="8">
        <f t="shared" si="370"/>
        <v>30</v>
      </c>
      <c r="H2746">
        <f t="shared" si="371"/>
        <v>3</v>
      </c>
      <c r="I2746" t="str">
        <f t="shared" si="369"/>
        <v>Tuesday</v>
      </c>
      <c r="L2746">
        <f t="shared" si="372"/>
        <v>0</v>
      </c>
    </row>
    <row r="2747" spans="1:12" x14ac:dyDescent="0.25">
      <c r="A2747">
        <v>208762353</v>
      </c>
      <c r="B2747" s="1">
        <v>45140</v>
      </c>
      <c r="C2747" s="1">
        <f t="shared" ref="C2747:C2755" ca="1" si="379">TODAY()</f>
        <v>45938</v>
      </c>
      <c r="D2747" t="s">
        <v>7</v>
      </c>
      <c r="E2747">
        <v>39</v>
      </c>
      <c r="F2747" t="s">
        <v>6</v>
      </c>
      <c r="G2747" s="8">
        <f t="shared" ca="1" si="370"/>
        <v>798</v>
      </c>
      <c r="H2747">
        <f t="shared" si="371"/>
        <v>4</v>
      </c>
      <c r="I2747" t="str">
        <f t="shared" si="369"/>
        <v>Wednesday</v>
      </c>
      <c r="L2747">
        <f t="shared" ca="1" si="372"/>
        <v>0</v>
      </c>
    </row>
    <row r="2748" spans="1:12" x14ac:dyDescent="0.25">
      <c r="A2748">
        <v>218346336</v>
      </c>
      <c r="B2748" s="1">
        <v>45140</v>
      </c>
      <c r="C2748" s="1">
        <f t="shared" ca="1" si="379"/>
        <v>45938</v>
      </c>
      <c r="D2748" t="s">
        <v>7</v>
      </c>
      <c r="E2748">
        <v>39</v>
      </c>
      <c r="F2748" t="s">
        <v>6</v>
      </c>
      <c r="G2748" s="8">
        <f t="shared" ca="1" si="370"/>
        <v>798</v>
      </c>
      <c r="H2748">
        <f t="shared" si="371"/>
        <v>4</v>
      </c>
      <c r="I2748" t="str">
        <f t="shared" si="369"/>
        <v>Wednesday</v>
      </c>
      <c r="L2748">
        <f t="shared" ca="1" si="372"/>
        <v>0</v>
      </c>
    </row>
    <row r="2749" spans="1:12" x14ac:dyDescent="0.25">
      <c r="A2749">
        <v>219226230</v>
      </c>
      <c r="B2749" s="1">
        <v>45140</v>
      </c>
      <c r="C2749" s="1">
        <f t="shared" ca="1" si="379"/>
        <v>45938</v>
      </c>
      <c r="D2749" t="s">
        <v>7</v>
      </c>
      <c r="E2749">
        <v>39</v>
      </c>
      <c r="F2749" t="s">
        <v>6</v>
      </c>
      <c r="G2749" s="8">
        <f t="shared" ca="1" si="370"/>
        <v>798</v>
      </c>
      <c r="H2749">
        <f t="shared" si="371"/>
        <v>4</v>
      </c>
      <c r="I2749" t="str">
        <f t="shared" si="369"/>
        <v>Wednesday</v>
      </c>
      <c r="L2749">
        <f t="shared" ca="1" si="372"/>
        <v>0</v>
      </c>
    </row>
    <row r="2750" spans="1:12" x14ac:dyDescent="0.25">
      <c r="A2750">
        <v>219369515</v>
      </c>
      <c r="B2750" s="1">
        <v>45140</v>
      </c>
      <c r="C2750" s="1">
        <f t="shared" ca="1" si="379"/>
        <v>45938</v>
      </c>
      <c r="D2750" t="s">
        <v>7</v>
      </c>
      <c r="E2750">
        <v>39</v>
      </c>
      <c r="F2750" t="s">
        <v>6</v>
      </c>
      <c r="G2750" s="8">
        <f t="shared" ca="1" si="370"/>
        <v>798</v>
      </c>
      <c r="H2750">
        <f t="shared" si="371"/>
        <v>4</v>
      </c>
      <c r="I2750" t="str">
        <f t="shared" si="369"/>
        <v>Wednesday</v>
      </c>
      <c r="L2750">
        <f t="shared" ca="1" si="372"/>
        <v>0</v>
      </c>
    </row>
    <row r="2751" spans="1:12" x14ac:dyDescent="0.25">
      <c r="A2751">
        <v>204947361</v>
      </c>
      <c r="B2751" s="1">
        <v>45140</v>
      </c>
      <c r="C2751" s="1">
        <f t="shared" ca="1" si="379"/>
        <v>45938</v>
      </c>
      <c r="D2751" t="s">
        <v>7</v>
      </c>
      <c r="E2751">
        <v>39</v>
      </c>
      <c r="F2751" t="s">
        <v>6</v>
      </c>
      <c r="G2751" s="8">
        <f t="shared" ca="1" si="370"/>
        <v>798</v>
      </c>
      <c r="H2751">
        <f t="shared" si="371"/>
        <v>4</v>
      </c>
      <c r="I2751" t="str">
        <f t="shared" si="369"/>
        <v>Wednesday</v>
      </c>
      <c r="L2751">
        <f t="shared" ca="1" si="372"/>
        <v>0</v>
      </c>
    </row>
    <row r="2752" spans="1:12" x14ac:dyDescent="0.25">
      <c r="A2752">
        <v>212977568</v>
      </c>
      <c r="B2752" s="1">
        <v>45140</v>
      </c>
      <c r="C2752" s="1">
        <f t="shared" ca="1" si="379"/>
        <v>45938</v>
      </c>
      <c r="D2752" t="s">
        <v>7</v>
      </c>
      <c r="E2752">
        <v>39</v>
      </c>
      <c r="F2752" t="s">
        <v>6</v>
      </c>
      <c r="G2752" s="8">
        <f t="shared" ca="1" si="370"/>
        <v>798</v>
      </c>
      <c r="H2752">
        <f t="shared" si="371"/>
        <v>4</v>
      </c>
      <c r="I2752" t="str">
        <f t="shared" si="369"/>
        <v>Wednesday</v>
      </c>
      <c r="L2752">
        <f t="shared" ca="1" si="372"/>
        <v>0</v>
      </c>
    </row>
    <row r="2753" spans="1:12" x14ac:dyDescent="0.25">
      <c r="A2753">
        <v>217981717</v>
      </c>
      <c r="B2753" s="1">
        <v>45140</v>
      </c>
      <c r="C2753" s="1">
        <f t="shared" ca="1" si="379"/>
        <v>45938</v>
      </c>
      <c r="D2753" t="s">
        <v>7</v>
      </c>
      <c r="E2753">
        <v>39</v>
      </c>
      <c r="F2753" t="s">
        <v>6</v>
      </c>
      <c r="G2753" s="8">
        <f t="shared" ca="1" si="370"/>
        <v>798</v>
      </c>
      <c r="H2753">
        <f t="shared" si="371"/>
        <v>4</v>
      </c>
      <c r="I2753" t="str">
        <f t="shared" si="369"/>
        <v>Wednesday</v>
      </c>
      <c r="L2753">
        <f t="shared" ca="1" si="372"/>
        <v>0</v>
      </c>
    </row>
    <row r="2754" spans="1:12" x14ac:dyDescent="0.25">
      <c r="A2754">
        <v>219459089</v>
      </c>
      <c r="B2754" s="1">
        <v>45140</v>
      </c>
      <c r="C2754" s="1">
        <f t="shared" ca="1" si="379"/>
        <v>45938</v>
      </c>
      <c r="D2754" t="s">
        <v>7</v>
      </c>
      <c r="E2754">
        <v>39</v>
      </c>
      <c r="F2754" t="s">
        <v>6</v>
      </c>
      <c r="G2754" s="8">
        <f t="shared" ca="1" si="370"/>
        <v>798</v>
      </c>
      <c r="H2754">
        <f t="shared" si="371"/>
        <v>4</v>
      </c>
      <c r="I2754" t="str">
        <f t="shared" ref="I2754:I2817" si="380">TEXT(B2754,"DDDD")</f>
        <v>Wednesday</v>
      </c>
      <c r="L2754">
        <f t="shared" ca="1" si="372"/>
        <v>0</v>
      </c>
    </row>
    <row r="2755" spans="1:12" x14ac:dyDescent="0.25">
      <c r="A2755">
        <v>193483420</v>
      </c>
      <c r="B2755" s="1">
        <v>45140</v>
      </c>
      <c r="C2755" s="1">
        <f t="shared" ca="1" si="379"/>
        <v>45938</v>
      </c>
      <c r="D2755" t="s">
        <v>7</v>
      </c>
      <c r="E2755">
        <v>39</v>
      </c>
      <c r="F2755" t="s">
        <v>6</v>
      </c>
      <c r="G2755" s="8">
        <f t="shared" ref="G2755:G2818" ca="1" si="381">IFERROR(DATEDIF(B2755,C2755,"D"),"0")</f>
        <v>798</v>
      </c>
      <c r="H2755">
        <f t="shared" ref="H2755:H2818" si="382">WEEKDAY(B2755,1)</f>
        <v>4</v>
      </c>
      <c r="I2755" t="str">
        <f t="shared" si="380"/>
        <v>Wednesday</v>
      </c>
      <c r="L2755">
        <f t="shared" ref="L2755:L2818" ca="1" si="383">IF( OR($G2755=0,$G2755 = 1, $G2755 = 2), 1, 0 )</f>
        <v>0</v>
      </c>
    </row>
    <row r="2756" spans="1:12" x14ac:dyDescent="0.25">
      <c r="A2756">
        <v>219496362</v>
      </c>
      <c r="B2756" s="1">
        <v>45140</v>
      </c>
      <c r="C2756" s="1">
        <v>45173</v>
      </c>
      <c r="D2756" t="s">
        <v>7</v>
      </c>
      <c r="E2756">
        <v>39</v>
      </c>
      <c r="F2756" t="s">
        <v>6</v>
      </c>
      <c r="G2756" s="8">
        <f t="shared" si="381"/>
        <v>33</v>
      </c>
      <c r="H2756">
        <f t="shared" si="382"/>
        <v>4</v>
      </c>
      <c r="I2756" t="str">
        <f t="shared" si="380"/>
        <v>Wednesday</v>
      </c>
      <c r="L2756">
        <f t="shared" si="383"/>
        <v>0</v>
      </c>
    </row>
    <row r="2757" spans="1:12" x14ac:dyDescent="0.25">
      <c r="A2757">
        <v>219398902</v>
      </c>
      <c r="B2757" s="1">
        <v>45140</v>
      </c>
      <c r="C2757" s="1">
        <v>45174</v>
      </c>
      <c r="D2757" t="s">
        <v>7</v>
      </c>
      <c r="E2757">
        <v>39</v>
      </c>
      <c r="F2757" t="s">
        <v>6</v>
      </c>
      <c r="G2757" s="8">
        <f t="shared" si="381"/>
        <v>34</v>
      </c>
      <c r="H2757">
        <f t="shared" si="382"/>
        <v>4</v>
      </c>
      <c r="I2757" t="str">
        <f t="shared" si="380"/>
        <v>Wednesday</v>
      </c>
      <c r="L2757">
        <f t="shared" si="383"/>
        <v>0</v>
      </c>
    </row>
    <row r="2758" spans="1:12" x14ac:dyDescent="0.25">
      <c r="A2758">
        <v>219497152</v>
      </c>
      <c r="B2758" s="1">
        <v>45140</v>
      </c>
      <c r="C2758" s="1">
        <v>45161</v>
      </c>
      <c r="D2758" t="s">
        <v>7</v>
      </c>
      <c r="E2758">
        <v>39</v>
      </c>
      <c r="F2758" t="s">
        <v>6</v>
      </c>
      <c r="G2758" s="8">
        <f t="shared" si="381"/>
        <v>21</v>
      </c>
      <c r="H2758">
        <f t="shared" si="382"/>
        <v>4</v>
      </c>
      <c r="I2758" t="str">
        <f t="shared" si="380"/>
        <v>Wednesday</v>
      </c>
      <c r="L2758">
        <f t="shared" si="383"/>
        <v>0</v>
      </c>
    </row>
    <row r="2759" spans="1:12" x14ac:dyDescent="0.25">
      <c r="A2759">
        <v>188426619</v>
      </c>
      <c r="B2759" s="1">
        <v>45140</v>
      </c>
      <c r="C2759" s="1">
        <v>45170</v>
      </c>
      <c r="D2759" t="s">
        <v>7</v>
      </c>
      <c r="E2759">
        <v>39</v>
      </c>
      <c r="F2759" t="s">
        <v>6</v>
      </c>
      <c r="G2759" s="8">
        <f t="shared" si="381"/>
        <v>30</v>
      </c>
      <c r="H2759">
        <f t="shared" si="382"/>
        <v>4</v>
      </c>
      <c r="I2759" t="str">
        <f t="shared" si="380"/>
        <v>Wednesday</v>
      </c>
      <c r="L2759">
        <f t="shared" si="383"/>
        <v>0</v>
      </c>
    </row>
    <row r="2760" spans="1:12" x14ac:dyDescent="0.25">
      <c r="A2760">
        <v>219470485</v>
      </c>
      <c r="B2760" s="1">
        <v>45140</v>
      </c>
      <c r="C2760" s="1">
        <v>45154</v>
      </c>
      <c r="D2760" t="s">
        <v>7</v>
      </c>
      <c r="E2760">
        <v>39</v>
      </c>
      <c r="F2760" t="s">
        <v>6</v>
      </c>
      <c r="G2760" s="8">
        <f t="shared" si="381"/>
        <v>14</v>
      </c>
      <c r="H2760">
        <f t="shared" si="382"/>
        <v>4</v>
      </c>
      <c r="I2760" t="str">
        <f t="shared" si="380"/>
        <v>Wednesday</v>
      </c>
      <c r="L2760">
        <f t="shared" si="383"/>
        <v>0</v>
      </c>
    </row>
    <row r="2761" spans="1:12" x14ac:dyDescent="0.25">
      <c r="A2761">
        <v>219460783</v>
      </c>
      <c r="B2761" s="1">
        <v>45140</v>
      </c>
      <c r="C2761" s="1">
        <v>45166</v>
      </c>
      <c r="D2761" t="s">
        <v>7</v>
      </c>
      <c r="E2761">
        <v>39</v>
      </c>
      <c r="F2761" t="s">
        <v>6</v>
      </c>
      <c r="G2761" s="8">
        <f t="shared" si="381"/>
        <v>26</v>
      </c>
      <c r="H2761">
        <f t="shared" si="382"/>
        <v>4</v>
      </c>
      <c r="I2761" t="str">
        <f t="shared" si="380"/>
        <v>Wednesday</v>
      </c>
      <c r="L2761">
        <f t="shared" si="383"/>
        <v>0</v>
      </c>
    </row>
    <row r="2762" spans="1:12" x14ac:dyDescent="0.25">
      <c r="A2762">
        <v>219512722</v>
      </c>
      <c r="B2762" s="1">
        <v>45141</v>
      </c>
      <c r="C2762" s="1">
        <f t="shared" ref="C2762:C2773" ca="1" si="384">TODAY()</f>
        <v>45938</v>
      </c>
      <c r="D2762" t="s">
        <v>7</v>
      </c>
      <c r="E2762">
        <v>39</v>
      </c>
      <c r="F2762" t="s">
        <v>6</v>
      </c>
      <c r="G2762" s="8">
        <f t="shared" ca="1" si="381"/>
        <v>797</v>
      </c>
      <c r="H2762">
        <f t="shared" si="382"/>
        <v>5</v>
      </c>
      <c r="I2762" t="str">
        <f t="shared" si="380"/>
        <v>Thursday</v>
      </c>
      <c r="L2762">
        <f t="shared" ca="1" si="383"/>
        <v>0</v>
      </c>
    </row>
    <row r="2763" spans="1:12" x14ac:dyDescent="0.25">
      <c r="A2763">
        <v>199393176</v>
      </c>
      <c r="B2763" s="1">
        <v>45141</v>
      </c>
      <c r="C2763" s="1">
        <f t="shared" ca="1" si="384"/>
        <v>45938</v>
      </c>
      <c r="D2763" t="s">
        <v>7</v>
      </c>
      <c r="E2763">
        <v>39</v>
      </c>
      <c r="F2763" t="s">
        <v>6</v>
      </c>
      <c r="G2763" s="8">
        <f t="shared" ca="1" si="381"/>
        <v>797</v>
      </c>
      <c r="H2763">
        <f t="shared" si="382"/>
        <v>5</v>
      </c>
      <c r="I2763" t="str">
        <f t="shared" si="380"/>
        <v>Thursday</v>
      </c>
      <c r="L2763">
        <f t="shared" ca="1" si="383"/>
        <v>0</v>
      </c>
    </row>
    <row r="2764" spans="1:12" x14ac:dyDescent="0.25">
      <c r="A2764">
        <v>217368686</v>
      </c>
      <c r="B2764" s="1">
        <v>45141</v>
      </c>
      <c r="C2764" s="1">
        <f t="shared" ca="1" si="384"/>
        <v>45938</v>
      </c>
      <c r="D2764" t="s">
        <v>7</v>
      </c>
      <c r="E2764">
        <v>39</v>
      </c>
      <c r="F2764" t="s">
        <v>6</v>
      </c>
      <c r="G2764" s="8">
        <f t="shared" ca="1" si="381"/>
        <v>797</v>
      </c>
      <c r="H2764">
        <f t="shared" si="382"/>
        <v>5</v>
      </c>
      <c r="I2764" t="str">
        <f t="shared" si="380"/>
        <v>Thursday</v>
      </c>
      <c r="L2764">
        <f t="shared" ca="1" si="383"/>
        <v>0</v>
      </c>
    </row>
    <row r="2765" spans="1:12" x14ac:dyDescent="0.25">
      <c r="A2765">
        <v>218247056</v>
      </c>
      <c r="B2765" s="1">
        <v>45141</v>
      </c>
      <c r="C2765" s="1">
        <f t="shared" ca="1" si="384"/>
        <v>45938</v>
      </c>
      <c r="D2765" t="s">
        <v>7</v>
      </c>
      <c r="E2765">
        <v>39</v>
      </c>
      <c r="F2765" t="s">
        <v>6</v>
      </c>
      <c r="G2765" s="8">
        <f t="shared" ca="1" si="381"/>
        <v>797</v>
      </c>
      <c r="H2765">
        <f t="shared" si="382"/>
        <v>5</v>
      </c>
      <c r="I2765" t="str">
        <f t="shared" si="380"/>
        <v>Thursday</v>
      </c>
      <c r="L2765">
        <f t="shared" ca="1" si="383"/>
        <v>0</v>
      </c>
    </row>
    <row r="2766" spans="1:12" x14ac:dyDescent="0.25">
      <c r="A2766">
        <v>219439239</v>
      </c>
      <c r="B2766" s="1">
        <v>45141</v>
      </c>
      <c r="C2766" s="1">
        <f t="shared" ca="1" si="384"/>
        <v>45938</v>
      </c>
      <c r="D2766" t="s">
        <v>7</v>
      </c>
      <c r="E2766">
        <v>39</v>
      </c>
      <c r="F2766" t="s">
        <v>6</v>
      </c>
      <c r="G2766" s="8">
        <f t="shared" ca="1" si="381"/>
        <v>797</v>
      </c>
      <c r="H2766">
        <f t="shared" si="382"/>
        <v>5</v>
      </c>
      <c r="I2766" t="str">
        <f t="shared" si="380"/>
        <v>Thursday</v>
      </c>
      <c r="L2766">
        <f t="shared" ca="1" si="383"/>
        <v>0</v>
      </c>
    </row>
    <row r="2767" spans="1:12" x14ac:dyDescent="0.25">
      <c r="A2767">
        <v>188206991</v>
      </c>
      <c r="B2767" s="1">
        <v>45141</v>
      </c>
      <c r="C2767" s="1">
        <f t="shared" ca="1" si="384"/>
        <v>45938</v>
      </c>
      <c r="D2767" t="s">
        <v>7</v>
      </c>
      <c r="E2767">
        <v>39</v>
      </c>
      <c r="F2767" t="s">
        <v>6</v>
      </c>
      <c r="G2767" s="8">
        <f t="shared" ca="1" si="381"/>
        <v>797</v>
      </c>
      <c r="H2767">
        <f t="shared" si="382"/>
        <v>5</v>
      </c>
      <c r="I2767" t="str">
        <f t="shared" si="380"/>
        <v>Thursday</v>
      </c>
      <c r="L2767">
        <f t="shared" ca="1" si="383"/>
        <v>0</v>
      </c>
    </row>
    <row r="2768" spans="1:12" x14ac:dyDescent="0.25">
      <c r="A2768">
        <v>206470657</v>
      </c>
      <c r="B2768" s="1">
        <v>45141</v>
      </c>
      <c r="C2768" s="1">
        <f t="shared" ca="1" si="384"/>
        <v>45938</v>
      </c>
      <c r="D2768" t="s">
        <v>7</v>
      </c>
      <c r="E2768">
        <v>39</v>
      </c>
      <c r="F2768" t="s">
        <v>6</v>
      </c>
      <c r="G2768" s="8">
        <f t="shared" ca="1" si="381"/>
        <v>797</v>
      </c>
      <c r="H2768">
        <f t="shared" si="382"/>
        <v>5</v>
      </c>
      <c r="I2768" t="str">
        <f t="shared" si="380"/>
        <v>Thursday</v>
      </c>
      <c r="L2768">
        <f t="shared" ca="1" si="383"/>
        <v>0</v>
      </c>
    </row>
    <row r="2769" spans="1:12" x14ac:dyDescent="0.25">
      <c r="A2769">
        <v>218706730</v>
      </c>
      <c r="B2769" s="1">
        <v>45141</v>
      </c>
      <c r="C2769" s="1">
        <f t="shared" ca="1" si="384"/>
        <v>45938</v>
      </c>
      <c r="D2769" t="s">
        <v>7</v>
      </c>
      <c r="E2769">
        <v>39</v>
      </c>
      <c r="F2769" t="s">
        <v>6</v>
      </c>
      <c r="G2769" s="8">
        <f t="shared" ca="1" si="381"/>
        <v>797</v>
      </c>
      <c r="H2769">
        <f t="shared" si="382"/>
        <v>5</v>
      </c>
      <c r="I2769" t="str">
        <f t="shared" si="380"/>
        <v>Thursday</v>
      </c>
      <c r="L2769">
        <f t="shared" ca="1" si="383"/>
        <v>0</v>
      </c>
    </row>
    <row r="2770" spans="1:12" x14ac:dyDescent="0.25">
      <c r="A2770">
        <v>219512680</v>
      </c>
      <c r="B2770" s="1">
        <v>45141</v>
      </c>
      <c r="C2770" s="1">
        <f t="shared" ca="1" si="384"/>
        <v>45938</v>
      </c>
      <c r="D2770" t="s">
        <v>7</v>
      </c>
      <c r="E2770">
        <v>39</v>
      </c>
      <c r="F2770" t="s">
        <v>6</v>
      </c>
      <c r="G2770" s="8">
        <f t="shared" ca="1" si="381"/>
        <v>797</v>
      </c>
      <c r="H2770">
        <f t="shared" si="382"/>
        <v>5</v>
      </c>
      <c r="I2770" t="str">
        <f t="shared" si="380"/>
        <v>Thursday</v>
      </c>
      <c r="L2770">
        <f t="shared" ca="1" si="383"/>
        <v>0</v>
      </c>
    </row>
    <row r="2771" spans="1:12" x14ac:dyDescent="0.25">
      <c r="A2771">
        <v>125335731</v>
      </c>
      <c r="B2771" s="1">
        <v>45141</v>
      </c>
      <c r="C2771" s="1">
        <f t="shared" ca="1" si="384"/>
        <v>45938</v>
      </c>
      <c r="D2771" t="s">
        <v>7</v>
      </c>
      <c r="E2771">
        <v>39</v>
      </c>
      <c r="F2771" t="s">
        <v>6</v>
      </c>
      <c r="G2771" s="8">
        <f t="shared" ca="1" si="381"/>
        <v>797</v>
      </c>
      <c r="H2771">
        <f t="shared" si="382"/>
        <v>5</v>
      </c>
      <c r="I2771" t="str">
        <f t="shared" si="380"/>
        <v>Thursday</v>
      </c>
      <c r="L2771">
        <f t="shared" ca="1" si="383"/>
        <v>0</v>
      </c>
    </row>
    <row r="2772" spans="1:12" x14ac:dyDescent="0.25">
      <c r="A2772">
        <v>160598122</v>
      </c>
      <c r="B2772" s="1">
        <v>45141</v>
      </c>
      <c r="C2772" s="1">
        <f t="shared" ca="1" si="384"/>
        <v>45938</v>
      </c>
      <c r="D2772" t="s">
        <v>7</v>
      </c>
      <c r="E2772">
        <v>39</v>
      </c>
      <c r="F2772" t="s">
        <v>6</v>
      </c>
      <c r="G2772" s="8">
        <f t="shared" ca="1" si="381"/>
        <v>797</v>
      </c>
      <c r="H2772">
        <f t="shared" si="382"/>
        <v>5</v>
      </c>
      <c r="I2772" t="str">
        <f t="shared" si="380"/>
        <v>Thursday</v>
      </c>
      <c r="L2772">
        <f t="shared" ca="1" si="383"/>
        <v>0</v>
      </c>
    </row>
    <row r="2773" spans="1:12" x14ac:dyDescent="0.25">
      <c r="A2773">
        <v>218414156</v>
      </c>
      <c r="B2773" s="1">
        <v>45141</v>
      </c>
      <c r="C2773" s="1">
        <f t="shared" ca="1" si="384"/>
        <v>45938</v>
      </c>
      <c r="D2773" t="s">
        <v>7</v>
      </c>
      <c r="E2773">
        <v>39</v>
      </c>
      <c r="F2773" t="s">
        <v>6</v>
      </c>
      <c r="G2773" s="8">
        <f t="shared" ca="1" si="381"/>
        <v>797</v>
      </c>
      <c r="H2773">
        <f t="shared" si="382"/>
        <v>5</v>
      </c>
      <c r="I2773" t="str">
        <f t="shared" si="380"/>
        <v>Thursday</v>
      </c>
      <c r="L2773">
        <f t="shared" ca="1" si="383"/>
        <v>0</v>
      </c>
    </row>
    <row r="2774" spans="1:12" x14ac:dyDescent="0.25">
      <c r="A2774">
        <v>206455504</v>
      </c>
      <c r="B2774" s="1">
        <v>45141</v>
      </c>
      <c r="C2774" s="1">
        <v>45170</v>
      </c>
      <c r="D2774" t="s">
        <v>7</v>
      </c>
      <c r="E2774">
        <v>39</v>
      </c>
      <c r="F2774" t="s">
        <v>6</v>
      </c>
      <c r="G2774" s="8">
        <f t="shared" si="381"/>
        <v>29</v>
      </c>
      <c r="H2774">
        <f t="shared" si="382"/>
        <v>5</v>
      </c>
      <c r="I2774" t="str">
        <f t="shared" si="380"/>
        <v>Thursday</v>
      </c>
      <c r="L2774">
        <f t="shared" si="383"/>
        <v>0</v>
      </c>
    </row>
    <row r="2775" spans="1:12" x14ac:dyDescent="0.25">
      <c r="A2775">
        <v>202589094</v>
      </c>
      <c r="B2775" s="1">
        <v>45141</v>
      </c>
      <c r="C2775" s="1">
        <v>45172</v>
      </c>
      <c r="D2775" t="s">
        <v>7</v>
      </c>
      <c r="E2775">
        <v>39</v>
      </c>
      <c r="F2775" t="s">
        <v>6</v>
      </c>
      <c r="G2775" s="8">
        <f t="shared" si="381"/>
        <v>31</v>
      </c>
      <c r="H2775">
        <f t="shared" si="382"/>
        <v>5</v>
      </c>
      <c r="I2775" t="str">
        <f t="shared" si="380"/>
        <v>Thursday</v>
      </c>
      <c r="L2775">
        <f t="shared" si="383"/>
        <v>0</v>
      </c>
    </row>
    <row r="2776" spans="1:12" x14ac:dyDescent="0.25">
      <c r="A2776">
        <v>129747676</v>
      </c>
      <c r="B2776" s="1">
        <v>45141</v>
      </c>
      <c r="C2776" s="1">
        <v>45175</v>
      </c>
      <c r="D2776" t="s">
        <v>7</v>
      </c>
      <c r="E2776">
        <v>39</v>
      </c>
      <c r="F2776" t="s">
        <v>6</v>
      </c>
      <c r="G2776" s="8">
        <f t="shared" si="381"/>
        <v>34</v>
      </c>
      <c r="H2776">
        <f t="shared" si="382"/>
        <v>5</v>
      </c>
      <c r="I2776" t="str">
        <f t="shared" si="380"/>
        <v>Thursday</v>
      </c>
      <c r="L2776">
        <f t="shared" si="383"/>
        <v>0</v>
      </c>
    </row>
    <row r="2777" spans="1:12" x14ac:dyDescent="0.25">
      <c r="A2777">
        <v>219511614</v>
      </c>
      <c r="B2777" s="1">
        <v>45141</v>
      </c>
      <c r="C2777" s="1">
        <v>45170</v>
      </c>
      <c r="D2777" t="s">
        <v>7</v>
      </c>
      <c r="E2777">
        <v>39</v>
      </c>
      <c r="F2777" t="s">
        <v>6</v>
      </c>
      <c r="G2777" s="8">
        <f t="shared" si="381"/>
        <v>29</v>
      </c>
      <c r="H2777">
        <f t="shared" si="382"/>
        <v>5</v>
      </c>
      <c r="I2777" t="str">
        <f t="shared" si="380"/>
        <v>Thursday</v>
      </c>
      <c r="L2777">
        <f t="shared" si="383"/>
        <v>0</v>
      </c>
    </row>
    <row r="2778" spans="1:12" x14ac:dyDescent="0.25">
      <c r="A2778">
        <v>219491158</v>
      </c>
      <c r="B2778" s="1">
        <v>45142</v>
      </c>
      <c r="C2778" s="1">
        <f t="shared" ref="C2778:C2786" ca="1" si="385">TODAY()</f>
        <v>45938</v>
      </c>
      <c r="D2778" t="s">
        <v>7</v>
      </c>
      <c r="E2778">
        <v>39</v>
      </c>
      <c r="F2778" t="s">
        <v>6</v>
      </c>
      <c r="G2778" s="8">
        <f t="shared" ca="1" si="381"/>
        <v>796</v>
      </c>
      <c r="H2778">
        <f t="shared" si="382"/>
        <v>6</v>
      </c>
      <c r="I2778" t="str">
        <f t="shared" si="380"/>
        <v>Friday</v>
      </c>
      <c r="L2778">
        <f t="shared" ca="1" si="383"/>
        <v>0</v>
      </c>
    </row>
    <row r="2779" spans="1:12" x14ac:dyDescent="0.25">
      <c r="A2779">
        <v>218790626</v>
      </c>
      <c r="B2779" s="1">
        <v>45142</v>
      </c>
      <c r="C2779" s="1">
        <f t="shared" ca="1" si="385"/>
        <v>45938</v>
      </c>
      <c r="D2779" t="s">
        <v>7</v>
      </c>
      <c r="E2779">
        <v>39</v>
      </c>
      <c r="F2779" t="s">
        <v>6</v>
      </c>
      <c r="G2779" s="8">
        <f t="shared" ca="1" si="381"/>
        <v>796</v>
      </c>
      <c r="H2779">
        <f t="shared" si="382"/>
        <v>6</v>
      </c>
      <c r="I2779" t="str">
        <f t="shared" si="380"/>
        <v>Friday</v>
      </c>
      <c r="L2779">
        <f t="shared" ca="1" si="383"/>
        <v>0</v>
      </c>
    </row>
    <row r="2780" spans="1:12" x14ac:dyDescent="0.25">
      <c r="A2780">
        <v>219476808</v>
      </c>
      <c r="B2780" s="1">
        <v>45142</v>
      </c>
      <c r="C2780" s="1">
        <f t="shared" ca="1" si="385"/>
        <v>45938</v>
      </c>
      <c r="D2780" t="s">
        <v>7</v>
      </c>
      <c r="E2780">
        <v>39</v>
      </c>
      <c r="F2780" t="s">
        <v>6</v>
      </c>
      <c r="G2780" s="8">
        <f t="shared" ca="1" si="381"/>
        <v>796</v>
      </c>
      <c r="H2780">
        <f t="shared" si="382"/>
        <v>6</v>
      </c>
      <c r="I2780" t="str">
        <f t="shared" si="380"/>
        <v>Friday</v>
      </c>
      <c r="L2780">
        <f t="shared" ca="1" si="383"/>
        <v>0</v>
      </c>
    </row>
    <row r="2781" spans="1:12" x14ac:dyDescent="0.25">
      <c r="A2781">
        <v>218585706</v>
      </c>
      <c r="B2781" s="1">
        <v>45142</v>
      </c>
      <c r="C2781" s="1">
        <f t="shared" ca="1" si="385"/>
        <v>45938</v>
      </c>
      <c r="D2781" t="s">
        <v>7</v>
      </c>
      <c r="E2781">
        <v>39</v>
      </c>
      <c r="F2781" t="s">
        <v>6</v>
      </c>
      <c r="G2781" s="8">
        <f t="shared" ca="1" si="381"/>
        <v>796</v>
      </c>
      <c r="H2781">
        <f t="shared" si="382"/>
        <v>6</v>
      </c>
      <c r="I2781" t="str">
        <f t="shared" si="380"/>
        <v>Friday</v>
      </c>
      <c r="L2781">
        <f t="shared" ca="1" si="383"/>
        <v>0</v>
      </c>
    </row>
    <row r="2782" spans="1:12" x14ac:dyDescent="0.25">
      <c r="A2782">
        <v>219316901</v>
      </c>
      <c r="B2782" s="1">
        <v>45142</v>
      </c>
      <c r="C2782" s="1">
        <f t="shared" ca="1" si="385"/>
        <v>45938</v>
      </c>
      <c r="D2782" t="s">
        <v>7</v>
      </c>
      <c r="E2782">
        <v>39</v>
      </c>
      <c r="F2782" t="s">
        <v>6</v>
      </c>
      <c r="G2782" s="8">
        <f t="shared" ca="1" si="381"/>
        <v>796</v>
      </c>
      <c r="H2782">
        <f t="shared" si="382"/>
        <v>6</v>
      </c>
      <c r="I2782" t="str">
        <f t="shared" si="380"/>
        <v>Friday</v>
      </c>
      <c r="L2782">
        <f t="shared" ca="1" si="383"/>
        <v>0</v>
      </c>
    </row>
    <row r="2783" spans="1:12" x14ac:dyDescent="0.25">
      <c r="A2783">
        <v>217724278</v>
      </c>
      <c r="B2783" s="1">
        <v>45142</v>
      </c>
      <c r="C2783" s="1">
        <f t="shared" ca="1" si="385"/>
        <v>45938</v>
      </c>
      <c r="D2783" t="s">
        <v>7</v>
      </c>
      <c r="E2783">
        <v>39</v>
      </c>
      <c r="F2783" t="s">
        <v>6</v>
      </c>
      <c r="G2783" s="8">
        <f t="shared" ca="1" si="381"/>
        <v>796</v>
      </c>
      <c r="H2783">
        <f t="shared" si="382"/>
        <v>6</v>
      </c>
      <c r="I2783" t="str">
        <f t="shared" si="380"/>
        <v>Friday</v>
      </c>
      <c r="L2783">
        <f t="shared" ca="1" si="383"/>
        <v>0</v>
      </c>
    </row>
    <row r="2784" spans="1:12" x14ac:dyDescent="0.25">
      <c r="A2784">
        <v>155869412</v>
      </c>
      <c r="B2784" s="1">
        <v>45142</v>
      </c>
      <c r="C2784" s="1">
        <f t="shared" ca="1" si="385"/>
        <v>45938</v>
      </c>
      <c r="D2784" t="s">
        <v>7</v>
      </c>
      <c r="E2784">
        <v>39</v>
      </c>
      <c r="F2784" t="s">
        <v>6</v>
      </c>
      <c r="G2784" s="8">
        <f t="shared" ca="1" si="381"/>
        <v>796</v>
      </c>
      <c r="H2784">
        <f t="shared" si="382"/>
        <v>6</v>
      </c>
      <c r="I2784" t="str">
        <f t="shared" si="380"/>
        <v>Friday</v>
      </c>
      <c r="L2784">
        <f t="shared" ca="1" si="383"/>
        <v>0</v>
      </c>
    </row>
    <row r="2785" spans="1:12" x14ac:dyDescent="0.25">
      <c r="A2785">
        <v>164535832</v>
      </c>
      <c r="B2785" s="1">
        <v>45142</v>
      </c>
      <c r="C2785" s="1">
        <f t="shared" ca="1" si="385"/>
        <v>45938</v>
      </c>
      <c r="D2785" t="s">
        <v>7</v>
      </c>
      <c r="E2785">
        <v>39</v>
      </c>
      <c r="F2785" t="s">
        <v>6</v>
      </c>
      <c r="G2785" s="8">
        <f t="shared" ca="1" si="381"/>
        <v>796</v>
      </c>
      <c r="H2785">
        <f t="shared" si="382"/>
        <v>6</v>
      </c>
      <c r="I2785" t="str">
        <f t="shared" si="380"/>
        <v>Friday</v>
      </c>
      <c r="L2785">
        <f t="shared" ca="1" si="383"/>
        <v>0</v>
      </c>
    </row>
    <row r="2786" spans="1:12" x14ac:dyDescent="0.25">
      <c r="A2786">
        <v>219388064</v>
      </c>
      <c r="B2786" s="1">
        <v>45142</v>
      </c>
      <c r="C2786" s="1">
        <f t="shared" ca="1" si="385"/>
        <v>45938</v>
      </c>
      <c r="D2786" t="s">
        <v>7</v>
      </c>
      <c r="E2786">
        <v>39</v>
      </c>
      <c r="F2786" t="s">
        <v>6</v>
      </c>
      <c r="G2786" s="8">
        <f t="shared" ca="1" si="381"/>
        <v>796</v>
      </c>
      <c r="H2786">
        <f t="shared" si="382"/>
        <v>6</v>
      </c>
      <c r="I2786" t="str">
        <f t="shared" si="380"/>
        <v>Friday</v>
      </c>
      <c r="L2786">
        <f t="shared" ca="1" si="383"/>
        <v>0</v>
      </c>
    </row>
    <row r="2787" spans="1:12" x14ac:dyDescent="0.25">
      <c r="A2787">
        <v>218884048</v>
      </c>
      <c r="B2787" s="1">
        <v>45142</v>
      </c>
      <c r="C2787" s="1">
        <v>45160</v>
      </c>
      <c r="D2787" t="s">
        <v>7</v>
      </c>
      <c r="E2787">
        <v>39</v>
      </c>
      <c r="F2787" t="s">
        <v>6</v>
      </c>
      <c r="G2787" s="8">
        <f t="shared" si="381"/>
        <v>18</v>
      </c>
      <c r="H2787">
        <f t="shared" si="382"/>
        <v>6</v>
      </c>
      <c r="I2787" t="str">
        <f t="shared" si="380"/>
        <v>Friday</v>
      </c>
      <c r="L2787">
        <f t="shared" si="383"/>
        <v>0</v>
      </c>
    </row>
    <row r="2788" spans="1:12" x14ac:dyDescent="0.25">
      <c r="A2788">
        <v>219603078</v>
      </c>
      <c r="B2788" s="1">
        <v>45143</v>
      </c>
      <c r="C2788" s="1">
        <f t="shared" ref="C2788:C2795" ca="1" si="386">TODAY()</f>
        <v>45938</v>
      </c>
      <c r="D2788" t="s">
        <v>7</v>
      </c>
      <c r="E2788">
        <v>39</v>
      </c>
      <c r="F2788" t="s">
        <v>6</v>
      </c>
      <c r="G2788" s="8">
        <f t="shared" ca="1" si="381"/>
        <v>795</v>
      </c>
      <c r="H2788">
        <f t="shared" si="382"/>
        <v>7</v>
      </c>
      <c r="I2788" t="str">
        <f t="shared" si="380"/>
        <v>Saturday</v>
      </c>
      <c r="L2788">
        <f t="shared" ca="1" si="383"/>
        <v>0</v>
      </c>
    </row>
    <row r="2789" spans="1:12" x14ac:dyDescent="0.25">
      <c r="A2789">
        <v>219146842</v>
      </c>
      <c r="B2789" s="1">
        <v>45143</v>
      </c>
      <c r="C2789" s="1">
        <f t="shared" ca="1" si="386"/>
        <v>45938</v>
      </c>
      <c r="D2789" t="s">
        <v>7</v>
      </c>
      <c r="E2789">
        <v>39</v>
      </c>
      <c r="F2789" t="s">
        <v>6</v>
      </c>
      <c r="G2789" s="8">
        <f t="shared" ca="1" si="381"/>
        <v>795</v>
      </c>
      <c r="H2789">
        <f t="shared" si="382"/>
        <v>7</v>
      </c>
      <c r="I2789" t="str">
        <f t="shared" si="380"/>
        <v>Saturday</v>
      </c>
      <c r="L2789">
        <f t="shared" ca="1" si="383"/>
        <v>0</v>
      </c>
    </row>
    <row r="2790" spans="1:12" x14ac:dyDescent="0.25">
      <c r="A2790">
        <v>206676416</v>
      </c>
      <c r="B2790" s="1">
        <v>45143</v>
      </c>
      <c r="C2790" s="1">
        <f t="shared" ca="1" si="386"/>
        <v>45938</v>
      </c>
      <c r="D2790" t="s">
        <v>7</v>
      </c>
      <c r="E2790">
        <v>39</v>
      </c>
      <c r="F2790" t="s">
        <v>6</v>
      </c>
      <c r="G2790" s="8">
        <f t="shared" ca="1" si="381"/>
        <v>795</v>
      </c>
      <c r="H2790">
        <f t="shared" si="382"/>
        <v>7</v>
      </c>
      <c r="I2790" t="str">
        <f t="shared" si="380"/>
        <v>Saturday</v>
      </c>
      <c r="L2790">
        <f t="shared" ca="1" si="383"/>
        <v>0</v>
      </c>
    </row>
    <row r="2791" spans="1:12" x14ac:dyDescent="0.25">
      <c r="A2791">
        <v>219615770</v>
      </c>
      <c r="B2791" s="1">
        <v>45143</v>
      </c>
      <c r="C2791" s="1">
        <f t="shared" ca="1" si="386"/>
        <v>45938</v>
      </c>
      <c r="D2791" t="s">
        <v>7</v>
      </c>
      <c r="E2791">
        <v>39</v>
      </c>
      <c r="F2791" t="s">
        <v>6</v>
      </c>
      <c r="G2791" s="8">
        <f t="shared" ca="1" si="381"/>
        <v>795</v>
      </c>
      <c r="H2791">
        <f t="shared" si="382"/>
        <v>7</v>
      </c>
      <c r="I2791" t="str">
        <f t="shared" si="380"/>
        <v>Saturday</v>
      </c>
      <c r="L2791">
        <f t="shared" ca="1" si="383"/>
        <v>0</v>
      </c>
    </row>
    <row r="2792" spans="1:12" x14ac:dyDescent="0.25">
      <c r="A2792">
        <v>219630379</v>
      </c>
      <c r="B2792" s="1">
        <v>45144</v>
      </c>
      <c r="C2792" s="1">
        <f t="shared" ca="1" si="386"/>
        <v>45938</v>
      </c>
      <c r="D2792" t="s">
        <v>7</v>
      </c>
      <c r="E2792">
        <v>39</v>
      </c>
      <c r="F2792" t="s">
        <v>6</v>
      </c>
      <c r="G2792" s="8">
        <f t="shared" ca="1" si="381"/>
        <v>794</v>
      </c>
      <c r="H2792">
        <f t="shared" si="382"/>
        <v>1</v>
      </c>
      <c r="I2792" t="str">
        <f t="shared" si="380"/>
        <v>Sunday</v>
      </c>
      <c r="L2792">
        <f t="shared" ca="1" si="383"/>
        <v>0</v>
      </c>
    </row>
    <row r="2793" spans="1:12" x14ac:dyDescent="0.25">
      <c r="A2793">
        <v>145096572</v>
      </c>
      <c r="B2793" s="1">
        <v>45144</v>
      </c>
      <c r="C2793" s="1">
        <f t="shared" ca="1" si="386"/>
        <v>45938</v>
      </c>
      <c r="D2793" t="s">
        <v>7</v>
      </c>
      <c r="E2793">
        <v>39</v>
      </c>
      <c r="F2793" t="s">
        <v>6</v>
      </c>
      <c r="G2793" s="8">
        <f t="shared" ca="1" si="381"/>
        <v>794</v>
      </c>
      <c r="H2793">
        <f t="shared" si="382"/>
        <v>1</v>
      </c>
      <c r="I2793" t="str">
        <f t="shared" si="380"/>
        <v>Sunday</v>
      </c>
      <c r="L2793">
        <f t="shared" ca="1" si="383"/>
        <v>0</v>
      </c>
    </row>
    <row r="2794" spans="1:12" x14ac:dyDescent="0.25">
      <c r="A2794">
        <v>144005898</v>
      </c>
      <c r="B2794" s="1">
        <v>45144</v>
      </c>
      <c r="C2794" s="1">
        <f t="shared" ca="1" si="386"/>
        <v>45938</v>
      </c>
      <c r="D2794" t="s">
        <v>7</v>
      </c>
      <c r="E2794">
        <v>39</v>
      </c>
      <c r="F2794" t="s">
        <v>6</v>
      </c>
      <c r="G2794" s="8">
        <f t="shared" ca="1" si="381"/>
        <v>794</v>
      </c>
      <c r="H2794">
        <f t="shared" si="382"/>
        <v>1</v>
      </c>
      <c r="I2794" t="str">
        <f t="shared" si="380"/>
        <v>Sunday</v>
      </c>
      <c r="L2794">
        <f t="shared" ca="1" si="383"/>
        <v>0</v>
      </c>
    </row>
    <row r="2795" spans="1:12" x14ac:dyDescent="0.25">
      <c r="A2795">
        <v>215189020</v>
      </c>
      <c r="B2795" s="1">
        <v>45144</v>
      </c>
      <c r="C2795" s="1">
        <f t="shared" ca="1" si="386"/>
        <v>45938</v>
      </c>
      <c r="D2795" t="s">
        <v>7</v>
      </c>
      <c r="E2795">
        <v>39</v>
      </c>
      <c r="F2795" t="s">
        <v>6</v>
      </c>
      <c r="G2795" s="8">
        <f t="shared" ca="1" si="381"/>
        <v>794</v>
      </c>
      <c r="H2795">
        <f t="shared" si="382"/>
        <v>1</v>
      </c>
      <c r="I2795" t="str">
        <f t="shared" si="380"/>
        <v>Sunday</v>
      </c>
      <c r="L2795">
        <f t="shared" ca="1" si="383"/>
        <v>0</v>
      </c>
    </row>
    <row r="2796" spans="1:12" x14ac:dyDescent="0.25">
      <c r="A2796">
        <v>188354637</v>
      </c>
      <c r="B2796" s="1">
        <v>45144</v>
      </c>
      <c r="C2796" s="1">
        <v>45158</v>
      </c>
      <c r="D2796" t="s">
        <v>7</v>
      </c>
      <c r="E2796">
        <v>39</v>
      </c>
      <c r="F2796" t="s">
        <v>6</v>
      </c>
      <c r="G2796" s="8">
        <f t="shared" si="381"/>
        <v>14</v>
      </c>
      <c r="H2796">
        <f t="shared" si="382"/>
        <v>1</v>
      </c>
      <c r="I2796" t="str">
        <f t="shared" si="380"/>
        <v>Sunday</v>
      </c>
      <c r="L2796">
        <f t="shared" si="383"/>
        <v>0</v>
      </c>
    </row>
    <row r="2797" spans="1:12" x14ac:dyDescent="0.25">
      <c r="A2797">
        <v>219668475</v>
      </c>
      <c r="B2797" s="1">
        <v>45145</v>
      </c>
      <c r="C2797" s="1">
        <f t="shared" ref="C2797:C2799" ca="1" si="387">TODAY()</f>
        <v>45938</v>
      </c>
      <c r="D2797" t="s">
        <v>7</v>
      </c>
      <c r="E2797">
        <v>39</v>
      </c>
      <c r="F2797" t="s">
        <v>6</v>
      </c>
      <c r="G2797" s="8">
        <f t="shared" ca="1" si="381"/>
        <v>793</v>
      </c>
      <c r="H2797">
        <f t="shared" si="382"/>
        <v>2</v>
      </c>
      <c r="I2797" t="str">
        <f t="shared" si="380"/>
        <v>Monday</v>
      </c>
      <c r="L2797">
        <f t="shared" ca="1" si="383"/>
        <v>0</v>
      </c>
    </row>
    <row r="2798" spans="1:12" x14ac:dyDescent="0.25">
      <c r="A2798">
        <v>219495361</v>
      </c>
      <c r="B2798" s="1">
        <v>45145</v>
      </c>
      <c r="C2798" s="1">
        <f t="shared" ca="1" si="387"/>
        <v>45938</v>
      </c>
      <c r="D2798" t="s">
        <v>7</v>
      </c>
      <c r="E2798">
        <v>39</v>
      </c>
      <c r="F2798" t="s">
        <v>6</v>
      </c>
      <c r="G2798" s="8">
        <f t="shared" ca="1" si="381"/>
        <v>793</v>
      </c>
      <c r="H2798">
        <f t="shared" si="382"/>
        <v>2</v>
      </c>
      <c r="I2798" t="str">
        <f t="shared" si="380"/>
        <v>Monday</v>
      </c>
      <c r="L2798">
        <f t="shared" ca="1" si="383"/>
        <v>0</v>
      </c>
    </row>
    <row r="2799" spans="1:12" x14ac:dyDescent="0.25">
      <c r="A2799">
        <v>219672587</v>
      </c>
      <c r="B2799" s="1">
        <v>45145</v>
      </c>
      <c r="C2799" s="1">
        <f t="shared" ca="1" si="387"/>
        <v>45938</v>
      </c>
      <c r="D2799" t="s">
        <v>7</v>
      </c>
      <c r="E2799">
        <v>39</v>
      </c>
      <c r="F2799" t="s">
        <v>6</v>
      </c>
      <c r="G2799" s="8">
        <f t="shared" ca="1" si="381"/>
        <v>793</v>
      </c>
      <c r="H2799">
        <f t="shared" si="382"/>
        <v>2</v>
      </c>
      <c r="I2799" t="str">
        <f t="shared" si="380"/>
        <v>Monday</v>
      </c>
      <c r="L2799">
        <f t="shared" ca="1" si="383"/>
        <v>0</v>
      </c>
    </row>
    <row r="2800" spans="1:12" x14ac:dyDescent="0.25">
      <c r="A2800">
        <v>218556897</v>
      </c>
      <c r="B2800" s="1">
        <v>45145</v>
      </c>
      <c r="C2800" s="1">
        <v>45146</v>
      </c>
      <c r="D2800" t="s">
        <v>7</v>
      </c>
      <c r="E2800">
        <v>39</v>
      </c>
      <c r="F2800" t="s">
        <v>6</v>
      </c>
      <c r="G2800" s="8">
        <f t="shared" si="381"/>
        <v>1</v>
      </c>
      <c r="H2800">
        <f t="shared" si="382"/>
        <v>2</v>
      </c>
      <c r="I2800" t="str">
        <f t="shared" si="380"/>
        <v>Monday</v>
      </c>
      <c r="L2800">
        <f t="shared" si="383"/>
        <v>1</v>
      </c>
    </row>
    <row r="2801" spans="1:12" x14ac:dyDescent="0.25">
      <c r="A2801">
        <v>219467082</v>
      </c>
      <c r="B2801" s="1">
        <v>45145</v>
      </c>
      <c r="C2801" s="1">
        <v>45153</v>
      </c>
      <c r="D2801" t="s">
        <v>7</v>
      </c>
      <c r="E2801">
        <v>39</v>
      </c>
      <c r="F2801" t="s">
        <v>6</v>
      </c>
      <c r="G2801" s="8">
        <f t="shared" si="381"/>
        <v>8</v>
      </c>
      <c r="H2801">
        <f t="shared" si="382"/>
        <v>2</v>
      </c>
      <c r="I2801" t="str">
        <f t="shared" si="380"/>
        <v>Monday</v>
      </c>
      <c r="L2801">
        <f t="shared" si="383"/>
        <v>0</v>
      </c>
    </row>
    <row r="2802" spans="1:12" x14ac:dyDescent="0.25">
      <c r="A2802">
        <v>139353407</v>
      </c>
      <c r="B2802" s="1">
        <v>45146</v>
      </c>
      <c r="C2802" s="1">
        <f t="shared" ref="C2802:C2811" ca="1" si="388">TODAY()</f>
        <v>45938</v>
      </c>
      <c r="D2802" t="s">
        <v>7</v>
      </c>
      <c r="E2802">
        <v>39</v>
      </c>
      <c r="F2802" t="s">
        <v>6</v>
      </c>
      <c r="G2802" s="8">
        <f t="shared" ca="1" si="381"/>
        <v>792</v>
      </c>
      <c r="H2802">
        <f t="shared" si="382"/>
        <v>3</v>
      </c>
      <c r="I2802" t="str">
        <f t="shared" si="380"/>
        <v>Tuesday</v>
      </c>
      <c r="L2802">
        <f t="shared" ca="1" si="383"/>
        <v>0</v>
      </c>
    </row>
    <row r="2803" spans="1:12" x14ac:dyDescent="0.25">
      <c r="A2803">
        <v>219734945</v>
      </c>
      <c r="B2803" s="1">
        <v>45146</v>
      </c>
      <c r="C2803" s="1">
        <f t="shared" ca="1" si="388"/>
        <v>45938</v>
      </c>
      <c r="D2803" t="s">
        <v>7</v>
      </c>
      <c r="E2803">
        <v>39</v>
      </c>
      <c r="F2803" t="s">
        <v>6</v>
      </c>
      <c r="G2803" s="8">
        <f t="shared" ca="1" si="381"/>
        <v>792</v>
      </c>
      <c r="H2803">
        <f t="shared" si="382"/>
        <v>3</v>
      </c>
      <c r="I2803" t="str">
        <f t="shared" si="380"/>
        <v>Tuesday</v>
      </c>
      <c r="L2803">
        <f t="shared" ca="1" si="383"/>
        <v>0</v>
      </c>
    </row>
    <row r="2804" spans="1:12" x14ac:dyDescent="0.25">
      <c r="A2804">
        <v>219735949</v>
      </c>
      <c r="B2804" s="1">
        <v>45146</v>
      </c>
      <c r="C2804" s="1">
        <f t="shared" ca="1" si="388"/>
        <v>45938</v>
      </c>
      <c r="D2804" t="s">
        <v>7</v>
      </c>
      <c r="E2804">
        <v>39</v>
      </c>
      <c r="F2804" t="s">
        <v>6</v>
      </c>
      <c r="G2804" s="8">
        <f t="shared" ca="1" si="381"/>
        <v>792</v>
      </c>
      <c r="H2804">
        <f t="shared" si="382"/>
        <v>3</v>
      </c>
      <c r="I2804" t="str">
        <f t="shared" si="380"/>
        <v>Tuesday</v>
      </c>
      <c r="L2804">
        <f t="shared" ca="1" si="383"/>
        <v>0</v>
      </c>
    </row>
    <row r="2805" spans="1:12" x14ac:dyDescent="0.25">
      <c r="A2805">
        <v>219688361</v>
      </c>
      <c r="B2805" s="1">
        <v>45146</v>
      </c>
      <c r="C2805" s="1">
        <f t="shared" ca="1" si="388"/>
        <v>45938</v>
      </c>
      <c r="D2805" t="s">
        <v>7</v>
      </c>
      <c r="E2805">
        <v>39</v>
      </c>
      <c r="F2805" t="s">
        <v>6</v>
      </c>
      <c r="G2805" s="8">
        <f t="shared" ca="1" si="381"/>
        <v>792</v>
      </c>
      <c r="H2805">
        <f t="shared" si="382"/>
        <v>3</v>
      </c>
      <c r="I2805" t="str">
        <f t="shared" si="380"/>
        <v>Tuesday</v>
      </c>
      <c r="L2805">
        <f t="shared" ca="1" si="383"/>
        <v>0</v>
      </c>
    </row>
    <row r="2806" spans="1:12" x14ac:dyDescent="0.25">
      <c r="A2806">
        <v>219447968</v>
      </c>
      <c r="B2806" s="1">
        <v>45146</v>
      </c>
      <c r="C2806" s="1">
        <f t="shared" ca="1" si="388"/>
        <v>45938</v>
      </c>
      <c r="D2806" t="s">
        <v>7</v>
      </c>
      <c r="E2806">
        <v>39</v>
      </c>
      <c r="F2806" t="s">
        <v>6</v>
      </c>
      <c r="G2806" s="8">
        <f t="shared" ca="1" si="381"/>
        <v>792</v>
      </c>
      <c r="H2806">
        <f t="shared" si="382"/>
        <v>3</v>
      </c>
      <c r="I2806" t="str">
        <f t="shared" si="380"/>
        <v>Tuesday</v>
      </c>
      <c r="L2806">
        <f t="shared" ca="1" si="383"/>
        <v>0</v>
      </c>
    </row>
    <row r="2807" spans="1:12" x14ac:dyDescent="0.25">
      <c r="A2807">
        <v>219583682</v>
      </c>
      <c r="B2807" s="1">
        <v>45146</v>
      </c>
      <c r="C2807" s="1">
        <f t="shared" ca="1" si="388"/>
        <v>45938</v>
      </c>
      <c r="D2807" t="s">
        <v>7</v>
      </c>
      <c r="E2807">
        <v>39</v>
      </c>
      <c r="F2807" t="s">
        <v>6</v>
      </c>
      <c r="G2807" s="8">
        <f t="shared" ca="1" si="381"/>
        <v>792</v>
      </c>
      <c r="H2807">
        <f t="shared" si="382"/>
        <v>3</v>
      </c>
      <c r="I2807" t="str">
        <f t="shared" si="380"/>
        <v>Tuesday</v>
      </c>
      <c r="L2807">
        <f t="shared" ca="1" si="383"/>
        <v>0</v>
      </c>
    </row>
    <row r="2808" spans="1:12" x14ac:dyDescent="0.25">
      <c r="A2808">
        <v>217638566</v>
      </c>
      <c r="B2808" s="1">
        <v>45146</v>
      </c>
      <c r="C2808" s="1">
        <f t="shared" ca="1" si="388"/>
        <v>45938</v>
      </c>
      <c r="D2808" t="s">
        <v>7</v>
      </c>
      <c r="E2808">
        <v>39</v>
      </c>
      <c r="F2808" t="s">
        <v>6</v>
      </c>
      <c r="G2808" s="8">
        <f t="shared" ca="1" si="381"/>
        <v>792</v>
      </c>
      <c r="H2808">
        <f t="shared" si="382"/>
        <v>3</v>
      </c>
      <c r="I2808" t="str">
        <f t="shared" si="380"/>
        <v>Tuesday</v>
      </c>
      <c r="L2808">
        <f t="shared" ca="1" si="383"/>
        <v>0</v>
      </c>
    </row>
    <row r="2809" spans="1:12" x14ac:dyDescent="0.25">
      <c r="A2809">
        <v>219716268</v>
      </c>
      <c r="B2809" s="1">
        <v>45146</v>
      </c>
      <c r="C2809" s="1">
        <f t="shared" ca="1" si="388"/>
        <v>45938</v>
      </c>
      <c r="D2809" t="s">
        <v>7</v>
      </c>
      <c r="E2809">
        <v>39</v>
      </c>
      <c r="F2809" t="s">
        <v>6</v>
      </c>
      <c r="G2809" s="8">
        <f t="shared" ca="1" si="381"/>
        <v>792</v>
      </c>
      <c r="H2809">
        <f t="shared" si="382"/>
        <v>3</v>
      </c>
      <c r="I2809" t="str">
        <f t="shared" si="380"/>
        <v>Tuesday</v>
      </c>
      <c r="L2809">
        <f t="shared" ca="1" si="383"/>
        <v>0</v>
      </c>
    </row>
    <row r="2810" spans="1:12" x14ac:dyDescent="0.25">
      <c r="A2810">
        <v>219713718</v>
      </c>
      <c r="B2810" s="1">
        <v>45146</v>
      </c>
      <c r="C2810" s="1">
        <f t="shared" ca="1" si="388"/>
        <v>45938</v>
      </c>
      <c r="D2810" t="s">
        <v>7</v>
      </c>
      <c r="E2810">
        <v>39</v>
      </c>
      <c r="F2810" t="s">
        <v>6</v>
      </c>
      <c r="G2810" s="8">
        <f t="shared" ca="1" si="381"/>
        <v>792</v>
      </c>
      <c r="H2810">
        <f t="shared" si="382"/>
        <v>3</v>
      </c>
      <c r="I2810" t="str">
        <f t="shared" si="380"/>
        <v>Tuesday</v>
      </c>
      <c r="L2810">
        <f t="shared" ca="1" si="383"/>
        <v>0</v>
      </c>
    </row>
    <row r="2811" spans="1:12" x14ac:dyDescent="0.25">
      <c r="A2811">
        <v>219707178</v>
      </c>
      <c r="B2811" s="1">
        <v>45146</v>
      </c>
      <c r="C2811" s="1">
        <f t="shared" ca="1" si="388"/>
        <v>45938</v>
      </c>
      <c r="D2811" t="s">
        <v>7</v>
      </c>
      <c r="E2811">
        <v>39</v>
      </c>
      <c r="F2811" t="s">
        <v>6</v>
      </c>
      <c r="G2811" s="8">
        <f t="shared" ca="1" si="381"/>
        <v>792</v>
      </c>
      <c r="H2811">
        <f t="shared" si="382"/>
        <v>3</v>
      </c>
      <c r="I2811" t="str">
        <f t="shared" si="380"/>
        <v>Tuesday</v>
      </c>
      <c r="L2811">
        <f t="shared" ca="1" si="383"/>
        <v>0</v>
      </c>
    </row>
    <row r="2812" spans="1:12" x14ac:dyDescent="0.25">
      <c r="A2812">
        <v>219747148</v>
      </c>
      <c r="B2812" s="1">
        <v>45146</v>
      </c>
      <c r="C2812" s="1">
        <v>45146</v>
      </c>
      <c r="D2812" t="s">
        <v>7</v>
      </c>
      <c r="E2812">
        <v>39</v>
      </c>
      <c r="F2812" t="s">
        <v>6</v>
      </c>
      <c r="G2812" s="8">
        <f t="shared" si="381"/>
        <v>0</v>
      </c>
      <c r="H2812">
        <f t="shared" si="382"/>
        <v>3</v>
      </c>
      <c r="I2812" t="str">
        <f t="shared" si="380"/>
        <v>Tuesday</v>
      </c>
      <c r="L2812">
        <f t="shared" si="383"/>
        <v>1</v>
      </c>
    </row>
    <row r="2813" spans="1:12" x14ac:dyDescent="0.25">
      <c r="A2813">
        <v>219710700</v>
      </c>
      <c r="B2813" s="1">
        <v>45146</v>
      </c>
      <c r="C2813" s="1">
        <v>45155</v>
      </c>
      <c r="D2813" t="s">
        <v>7</v>
      </c>
      <c r="E2813">
        <v>39</v>
      </c>
      <c r="F2813" t="s">
        <v>6</v>
      </c>
      <c r="G2813" s="8">
        <f t="shared" si="381"/>
        <v>9</v>
      </c>
      <c r="H2813">
        <f t="shared" si="382"/>
        <v>3</v>
      </c>
      <c r="I2813" t="str">
        <f t="shared" si="380"/>
        <v>Tuesday</v>
      </c>
      <c r="L2813">
        <f t="shared" si="383"/>
        <v>0</v>
      </c>
    </row>
    <row r="2814" spans="1:12" x14ac:dyDescent="0.25">
      <c r="A2814">
        <v>160883429</v>
      </c>
      <c r="B2814" s="1">
        <v>45147</v>
      </c>
      <c r="C2814" s="1">
        <f t="shared" ref="C2814:C2821" ca="1" si="389">TODAY()</f>
        <v>45938</v>
      </c>
      <c r="D2814" t="s">
        <v>7</v>
      </c>
      <c r="E2814">
        <v>39</v>
      </c>
      <c r="F2814" t="s">
        <v>6</v>
      </c>
      <c r="G2814" s="8">
        <f t="shared" ca="1" si="381"/>
        <v>791</v>
      </c>
      <c r="H2814">
        <f t="shared" si="382"/>
        <v>4</v>
      </c>
      <c r="I2814" t="str">
        <f t="shared" si="380"/>
        <v>Wednesday</v>
      </c>
      <c r="L2814">
        <f t="shared" ca="1" si="383"/>
        <v>0</v>
      </c>
    </row>
    <row r="2815" spans="1:12" x14ac:dyDescent="0.25">
      <c r="A2815">
        <v>218556897</v>
      </c>
      <c r="B2815" s="1">
        <v>45147</v>
      </c>
      <c r="C2815" s="1">
        <f t="shared" ca="1" si="389"/>
        <v>45938</v>
      </c>
      <c r="D2815" t="s">
        <v>7</v>
      </c>
      <c r="E2815">
        <v>39</v>
      </c>
      <c r="F2815" t="s">
        <v>6</v>
      </c>
      <c r="G2815" s="8">
        <f t="shared" ca="1" si="381"/>
        <v>791</v>
      </c>
      <c r="H2815">
        <f t="shared" si="382"/>
        <v>4</v>
      </c>
      <c r="I2815" t="str">
        <f t="shared" si="380"/>
        <v>Wednesday</v>
      </c>
      <c r="L2815">
        <f t="shared" ca="1" si="383"/>
        <v>0</v>
      </c>
    </row>
    <row r="2816" spans="1:12" x14ac:dyDescent="0.25">
      <c r="A2816">
        <v>219779586</v>
      </c>
      <c r="B2816" s="1">
        <v>45147</v>
      </c>
      <c r="C2816" s="1">
        <f t="shared" ca="1" si="389"/>
        <v>45938</v>
      </c>
      <c r="D2816" t="s">
        <v>7</v>
      </c>
      <c r="E2816">
        <v>39</v>
      </c>
      <c r="F2816" t="s">
        <v>6</v>
      </c>
      <c r="G2816" s="8">
        <f t="shared" ca="1" si="381"/>
        <v>791</v>
      </c>
      <c r="H2816">
        <f t="shared" si="382"/>
        <v>4</v>
      </c>
      <c r="I2816" t="str">
        <f t="shared" si="380"/>
        <v>Wednesday</v>
      </c>
      <c r="L2816">
        <f t="shared" ca="1" si="383"/>
        <v>0</v>
      </c>
    </row>
    <row r="2817" spans="1:12" x14ac:dyDescent="0.25">
      <c r="A2817">
        <v>219437804</v>
      </c>
      <c r="B2817" s="1">
        <v>45147</v>
      </c>
      <c r="C2817" s="1">
        <f t="shared" ca="1" si="389"/>
        <v>45938</v>
      </c>
      <c r="D2817" t="s">
        <v>7</v>
      </c>
      <c r="E2817">
        <v>39</v>
      </c>
      <c r="F2817" t="s">
        <v>6</v>
      </c>
      <c r="G2817" s="8">
        <f t="shared" ca="1" si="381"/>
        <v>791</v>
      </c>
      <c r="H2817">
        <f t="shared" si="382"/>
        <v>4</v>
      </c>
      <c r="I2817" t="str">
        <f t="shared" si="380"/>
        <v>Wednesday</v>
      </c>
      <c r="L2817">
        <f t="shared" ca="1" si="383"/>
        <v>0</v>
      </c>
    </row>
    <row r="2818" spans="1:12" x14ac:dyDescent="0.25">
      <c r="A2818">
        <v>206402783</v>
      </c>
      <c r="B2818" s="1">
        <v>45147</v>
      </c>
      <c r="C2818" s="1">
        <f t="shared" ca="1" si="389"/>
        <v>45938</v>
      </c>
      <c r="D2818" t="s">
        <v>7</v>
      </c>
      <c r="E2818">
        <v>39</v>
      </c>
      <c r="F2818" t="s">
        <v>6</v>
      </c>
      <c r="G2818" s="8">
        <f t="shared" ca="1" si="381"/>
        <v>791</v>
      </c>
      <c r="H2818">
        <f t="shared" si="382"/>
        <v>4</v>
      </c>
      <c r="I2818" t="str">
        <f t="shared" ref="I2818:I2881" si="390">TEXT(B2818,"DDDD")</f>
        <v>Wednesday</v>
      </c>
      <c r="L2818">
        <f t="shared" ca="1" si="383"/>
        <v>0</v>
      </c>
    </row>
    <row r="2819" spans="1:12" x14ac:dyDescent="0.25">
      <c r="A2819">
        <v>178419414</v>
      </c>
      <c r="B2819" s="1">
        <v>45147</v>
      </c>
      <c r="C2819" s="1">
        <f t="shared" ca="1" si="389"/>
        <v>45938</v>
      </c>
      <c r="D2819" t="s">
        <v>7</v>
      </c>
      <c r="E2819">
        <v>39</v>
      </c>
      <c r="F2819" t="s">
        <v>6</v>
      </c>
      <c r="G2819" s="8">
        <f t="shared" ref="G2819:G2882" ca="1" si="391">IFERROR(DATEDIF(B2819,C2819,"D"),"0")</f>
        <v>791</v>
      </c>
      <c r="H2819">
        <f t="shared" ref="H2819:H2882" si="392">WEEKDAY(B2819,1)</f>
        <v>4</v>
      </c>
      <c r="I2819" t="str">
        <f t="shared" si="390"/>
        <v>Wednesday</v>
      </c>
      <c r="L2819">
        <f t="shared" ref="L2819:L2882" ca="1" si="393">IF( OR($G2819=0,$G2819 = 1, $G2819 = 2), 1, 0 )</f>
        <v>0</v>
      </c>
    </row>
    <row r="2820" spans="1:12" x14ac:dyDescent="0.25">
      <c r="A2820">
        <v>219719416</v>
      </c>
      <c r="B2820" s="1">
        <v>45147</v>
      </c>
      <c r="C2820" s="1">
        <f t="shared" ca="1" si="389"/>
        <v>45938</v>
      </c>
      <c r="D2820" t="s">
        <v>7</v>
      </c>
      <c r="E2820">
        <v>39</v>
      </c>
      <c r="F2820" t="s">
        <v>6</v>
      </c>
      <c r="G2820" s="8">
        <f t="shared" ca="1" si="391"/>
        <v>791</v>
      </c>
      <c r="H2820">
        <f t="shared" si="392"/>
        <v>4</v>
      </c>
      <c r="I2820" t="str">
        <f t="shared" si="390"/>
        <v>Wednesday</v>
      </c>
      <c r="L2820">
        <f t="shared" ca="1" si="393"/>
        <v>0</v>
      </c>
    </row>
    <row r="2821" spans="1:12" x14ac:dyDescent="0.25">
      <c r="A2821">
        <v>156558244</v>
      </c>
      <c r="B2821" s="1">
        <v>45147</v>
      </c>
      <c r="C2821" s="1">
        <f t="shared" ca="1" si="389"/>
        <v>45938</v>
      </c>
      <c r="D2821" t="s">
        <v>7</v>
      </c>
      <c r="E2821">
        <v>39</v>
      </c>
      <c r="F2821" t="s">
        <v>6</v>
      </c>
      <c r="G2821" s="8">
        <f t="shared" ca="1" si="391"/>
        <v>791</v>
      </c>
      <c r="H2821">
        <f t="shared" si="392"/>
        <v>4</v>
      </c>
      <c r="I2821" t="str">
        <f t="shared" si="390"/>
        <v>Wednesday</v>
      </c>
      <c r="L2821">
        <f t="shared" ca="1" si="393"/>
        <v>0</v>
      </c>
    </row>
    <row r="2822" spans="1:12" x14ac:dyDescent="0.25">
      <c r="A2822">
        <v>215602271</v>
      </c>
      <c r="B2822" s="1">
        <v>45147</v>
      </c>
      <c r="C2822" s="1">
        <v>45153</v>
      </c>
      <c r="D2822" t="s">
        <v>7</v>
      </c>
      <c r="E2822">
        <v>39</v>
      </c>
      <c r="F2822" t="s">
        <v>6</v>
      </c>
      <c r="G2822" s="8">
        <f t="shared" si="391"/>
        <v>6</v>
      </c>
      <c r="H2822">
        <f t="shared" si="392"/>
        <v>4</v>
      </c>
      <c r="I2822" t="str">
        <f t="shared" si="390"/>
        <v>Wednesday</v>
      </c>
      <c r="L2822">
        <f t="shared" si="393"/>
        <v>0</v>
      </c>
    </row>
    <row r="2823" spans="1:12" x14ac:dyDescent="0.25">
      <c r="A2823">
        <v>219761422</v>
      </c>
      <c r="B2823" s="1">
        <v>45147</v>
      </c>
      <c r="C2823" s="1">
        <v>45152</v>
      </c>
      <c r="D2823" t="s">
        <v>7</v>
      </c>
      <c r="E2823">
        <v>39</v>
      </c>
      <c r="F2823" t="s">
        <v>6</v>
      </c>
      <c r="G2823" s="8">
        <f t="shared" si="391"/>
        <v>5</v>
      </c>
      <c r="H2823">
        <f t="shared" si="392"/>
        <v>4</v>
      </c>
      <c r="I2823" t="str">
        <f t="shared" si="390"/>
        <v>Wednesday</v>
      </c>
      <c r="L2823">
        <f t="shared" si="393"/>
        <v>0</v>
      </c>
    </row>
    <row r="2824" spans="1:12" x14ac:dyDescent="0.25">
      <c r="A2824">
        <v>218594597</v>
      </c>
      <c r="B2824" s="1">
        <v>45147</v>
      </c>
      <c r="C2824" s="1">
        <v>45147</v>
      </c>
      <c r="D2824" t="s">
        <v>8</v>
      </c>
      <c r="E2824">
        <v>39</v>
      </c>
      <c r="F2824" t="s">
        <v>6</v>
      </c>
      <c r="G2824" s="8">
        <f t="shared" si="391"/>
        <v>0</v>
      </c>
      <c r="H2824">
        <f t="shared" si="392"/>
        <v>4</v>
      </c>
      <c r="I2824" t="str">
        <f t="shared" si="390"/>
        <v>Wednesday</v>
      </c>
      <c r="L2824">
        <f t="shared" si="393"/>
        <v>1</v>
      </c>
    </row>
    <row r="2825" spans="1:12" x14ac:dyDescent="0.25">
      <c r="A2825">
        <v>219734107</v>
      </c>
      <c r="B2825" s="1">
        <v>45148</v>
      </c>
      <c r="C2825" s="1">
        <f t="shared" ref="C2825:C2828" ca="1" si="394">TODAY()</f>
        <v>45938</v>
      </c>
      <c r="D2825" t="s">
        <v>7</v>
      </c>
      <c r="E2825">
        <v>39</v>
      </c>
      <c r="F2825" t="s">
        <v>6</v>
      </c>
      <c r="G2825" s="8">
        <f t="shared" ca="1" si="391"/>
        <v>790</v>
      </c>
      <c r="H2825">
        <f t="shared" si="392"/>
        <v>5</v>
      </c>
      <c r="I2825" t="str">
        <f t="shared" si="390"/>
        <v>Thursday</v>
      </c>
      <c r="L2825">
        <f t="shared" ca="1" si="393"/>
        <v>0</v>
      </c>
    </row>
    <row r="2826" spans="1:12" x14ac:dyDescent="0.25">
      <c r="A2826">
        <v>219836911</v>
      </c>
      <c r="B2826" s="1">
        <v>45148</v>
      </c>
      <c r="C2826" s="1">
        <f t="shared" ca="1" si="394"/>
        <v>45938</v>
      </c>
      <c r="D2826" t="s">
        <v>7</v>
      </c>
      <c r="E2826">
        <v>39</v>
      </c>
      <c r="F2826" t="s">
        <v>6</v>
      </c>
      <c r="G2826" s="8">
        <f t="shared" ca="1" si="391"/>
        <v>790</v>
      </c>
      <c r="H2826">
        <f t="shared" si="392"/>
        <v>5</v>
      </c>
      <c r="I2826" t="str">
        <f t="shared" si="390"/>
        <v>Thursday</v>
      </c>
      <c r="L2826">
        <f t="shared" ca="1" si="393"/>
        <v>0</v>
      </c>
    </row>
    <row r="2827" spans="1:12" x14ac:dyDescent="0.25">
      <c r="A2827">
        <v>215179190</v>
      </c>
      <c r="B2827" s="1">
        <v>45148</v>
      </c>
      <c r="C2827" s="1">
        <f t="shared" ca="1" si="394"/>
        <v>45938</v>
      </c>
      <c r="D2827" t="s">
        <v>7</v>
      </c>
      <c r="E2827">
        <v>39</v>
      </c>
      <c r="F2827" t="s">
        <v>6</v>
      </c>
      <c r="G2827" s="8">
        <f t="shared" ca="1" si="391"/>
        <v>790</v>
      </c>
      <c r="H2827">
        <f t="shared" si="392"/>
        <v>5</v>
      </c>
      <c r="I2827" t="str">
        <f t="shared" si="390"/>
        <v>Thursday</v>
      </c>
      <c r="L2827">
        <f t="shared" ca="1" si="393"/>
        <v>0</v>
      </c>
    </row>
    <row r="2828" spans="1:12" x14ac:dyDescent="0.25">
      <c r="A2828">
        <v>219817702</v>
      </c>
      <c r="B2828" s="1">
        <v>45148</v>
      </c>
      <c r="C2828" s="1">
        <f t="shared" ca="1" si="394"/>
        <v>45938</v>
      </c>
      <c r="D2828" t="s">
        <v>7</v>
      </c>
      <c r="E2828">
        <v>39</v>
      </c>
      <c r="F2828" t="s">
        <v>6</v>
      </c>
      <c r="G2828" s="8">
        <f t="shared" ca="1" si="391"/>
        <v>790</v>
      </c>
      <c r="H2828">
        <f t="shared" si="392"/>
        <v>5</v>
      </c>
      <c r="I2828" t="str">
        <f t="shared" si="390"/>
        <v>Thursday</v>
      </c>
      <c r="L2828">
        <f t="shared" ca="1" si="393"/>
        <v>0</v>
      </c>
    </row>
    <row r="2829" spans="1:12" x14ac:dyDescent="0.25">
      <c r="A2829">
        <v>150065982</v>
      </c>
      <c r="B2829" s="1">
        <v>45148</v>
      </c>
      <c r="C2829" s="1">
        <v>45149</v>
      </c>
      <c r="D2829" t="s">
        <v>7</v>
      </c>
      <c r="E2829">
        <v>39</v>
      </c>
      <c r="F2829" t="s">
        <v>6</v>
      </c>
      <c r="G2829" s="8">
        <f t="shared" si="391"/>
        <v>1</v>
      </c>
      <c r="H2829">
        <f t="shared" si="392"/>
        <v>5</v>
      </c>
      <c r="I2829" t="str">
        <f t="shared" si="390"/>
        <v>Thursday</v>
      </c>
      <c r="L2829">
        <f t="shared" si="393"/>
        <v>1</v>
      </c>
    </row>
    <row r="2830" spans="1:12" x14ac:dyDescent="0.25">
      <c r="A2830">
        <v>219891350</v>
      </c>
      <c r="B2830" s="1">
        <v>45149</v>
      </c>
      <c r="C2830" s="1">
        <f t="shared" ref="C2830:C2833" ca="1" si="395">TODAY()</f>
        <v>45938</v>
      </c>
      <c r="D2830" t="s">
        <v>7</v>
      </c>
      <c r="E2830">
        <v>39</v>
      </c>
      <c r="F2830" t="s">
        <v>6</v>
      </c>
      <c r="G2830" s="8">
        <f t="shared" ca="1" si="391"/>
        <v>789</v>
      </c>
      <c r="H2830">
        <f t="shared" si="392"/>
        <v>6</v>
      </c>
      <c r="I2830" t="str">
        <f t="shared" si="390"/>
        <v>Friday</v>
      </c>
      <c r="L2830">
        <f t="shared" ca="1" si="393"/>
        <v>0</v>
      </c>
    </row>
    <row r="2831" spans="1:12" x14ac:dyDescent="0.25">
      <c r="A2831">
        <v>205210815</v>
      </c>
      <c r="B2831" s="1">
        <v>45149</v>
      </c>
      <c r="C2831" s="1">
        <f t="shared" ca="1" si="395"/>
        <v>45938</v>
      </c>
      <c r="D2831" t="s">
        <v>7</v>
      </c>
      <c r="E2831">
        <v>39</v>
      </c>
      <c r="F2831" t="s">
        <v>6</v>
      </c>
      <c r="G2831" s="8">
        <f t="shared" ca="1" si="391"/>
        <v>789</v>
      </c>
      <c r="H2831">
        <f t="shared" si="392"/>
        <v>6</v>
      </c>
      <c r="I2831" t="str">
        <f t="shared" si="390"/>
        <v>Friday</v>
      </c>
      <c r="L2831">
        <f t="shared" ca="1" si="393"/>
        <v>0</v>
      </c>
    </row>
    <row r="2832" spans="1:12" x14ac:dyDescent="0.25">
      <c r="A2832">
        <v>219744473</v>
      </c>
      <c r="B2832" s="1">
        <v>45149</v>
      </c>
      <c r="C2832" s="1">
        <f t="shared" ca="1" si="395"/>
        <v>45938</v>
      </c>
      <c r="D2832" t="s">
        <v>7</v>
      </c>
      <c r="E2832">
        <v>39</v>
      </c>
      <c r="F2832" t="s">
        <v>6</v>
      </c>
      <c r="G2832" s="8">
        <f t="shared" ca="1" si="391"/>
        <v>789</v>
      </c>
      <c r="H2832">
        <f t="shared" si="392"/>
        <v>6</v>
      </c>
      <c r="I2832" t="str">
        <f t="shared" si="390"/>
        <v>Friday</v>
      </c>
      <c r="L2832">
        <f t="shared" ca="1" si="393"/>
        <v>0</v>
      </c>
    </row>
    <row r="2833" spans="1:12" x14ac:dyDescent="0.25">
      <c r="A2833">
        <v>219851822</v>
      </c>
      <c r="B2833" s="1">
        <v>45149</v>
      </c>
      <c r="C2833" s="1">
        <f t="shared" ca="1" si="395"/>
        <v>45938</v>
      </c>
      <c r="D2833" t="s">
        <v>7</v>
      </c>
      <c r="E2833">
        <v>39</v>
      </c>
      <c r="F2833" t="s">
        <v>6</v>
      </c>
      <c r="G2833" s="8">
        <f t="shared" ca="1" si="391"/>
        <v>789</v>
      </c>
      <c r="H2833">
        <f t="shared" si="392"/>
        <v>6</v>
      </c>
      <c r="I2833" t="str">
        <f t="shared" si="390"/>
        <v>Friday</v>
      </c>
      <c r="L2833">
        <f t="shared" ca="1" si="393"/>
        <v>0</v>
      </c>
    </row>
    <row r="2834" spans="1:12" x14ac:dyDescent="0.25">
      <c r="A2834">
        <v>150779000</v>
      </c>
      <c r="B2834" s="1">
        <v>45149</v>
      </c>
      <c r="C2834" s="1">
        <v>45175</v>
      </c>
      <c r="D2834" t="s">
        <v>7</v>
      </c>
      <c r="E2834">
        <v>39</v>
      </c>
      <c r="F2834" t="s">
        <v>6</v>
      </c>
      <c r="G2834" s="8">
        <f t="shared" si="391"/>
        <v>26</v>
      </c>
      <c r="H2834">
        <f t="shared" si="392"/>
        <v>6</v>
      </c>
      <c r="I2834" t="str">
        <f t="shared" si="390"/>
        <v>Friday</v>
      </c>
      <c r="L2834">
        <f t="shared" si="393"/>
        <v>0</v>
      </c>
    </row>
    <row r="2835" spans="1:12" x14ac:dyDescent="0.25">
      <c r="A2835">
        <v>219876215</v>
      </c>
      <c r="B2835" s="1">
        <v>45149</v>
      </c>
      <c r="C2835" s="1">
        <v>45150</v>
      </c>
      <c r="D2835" t="s">
        <v>7</v>
      </c>
      <c r="E2835">
        <v>39</v>
      </c>
      <c r="F2835" t="s">
        <v>6</v>
      </c>
      <c r="G2835" s="8">
        <f t="shared" si="391"/>
        <v>1</v>
      </c>
      <c r="H2835">
        <f t="shared" si="392"/>
        <v>6</v>
      </c>
      <c r="I2835" t="str">
        <f t="shared" si="390"/>
        <v>Friday</v>
      </c>
      <c r="L2835">
        <f t="shared" si="393"/>
        <v>1</v>
      </c>
    </row>
    <row r="2836" spans="1:12" x14ac:dyDescent="0.25">
      <c r="A2836">
        <v>151633468</v>
      </c>
      <c r="B2836" s="1">
        <v>45149</v>
      </c>
      <c r="C2836" s="1">
        <v>45150</v>
      </c>
      <c r="D2836" t="s">
        <v>7</v>
      </c>
      <c r="E2836">
        <v>39</v>
      </c>
      <c r="F2836" t="s">
        <v>6</v>
      </c>
      <c r="G2836" s="8">
        <f t="shared" si="391"/>
        <v>1</v>
      </c>
      <c r="H2836">
        <f t="shared" si="392"/>
        <v>6</v>
      </c>
      <c r="I2836" t="str">
        <f t="shared" si="390"/>
        <v>Friday</v>
      </c>
      <c r="L2836">
        <f t="shared" si="393"/>
        <v>1</v>
      </c>
    </row>
    <row r="2837" spans="1:12" x14ac:dyDescent="0.25">
      <c r="A2837">
        <v>219834528</v>
      </c>
      <c r="B2837" s="1">
        <v>45149</v>
      </c>
      <c r="C2837" s="1">
        <v>45150</v>
      </c>
      <c r="D2837" t="s">
        <v>8</v>
      </c>
      <c r="E2837">
        <v>39</v>
      </c>
      <c r="F2837" t="s">
        <v>6</v>
      </c>
      <c r="G2837" s="8">
        <f t="shared" si="391"/>
        <v>1</v>
      </c>
      <c r="H2837">
        <f t="shared" si="392"/>
        <v>6</v>
      </c>
      <c r="I2837" t="str">
        <f t="shared" si="390"/>
        <v>Friday</v>
      </c>
      <c r="L2837">
        <f t="shared" si="393"/>
        <v>1</v>
      </c>
    </row>
    <row r="2838" spans="1:12" x14ac:dyDescent="0.25">
      <c r="A2838">
        <v>202844600</v>
      </c>
      <c r="B2838" s="1">
        <v>45149</v>
      </c>
      <c r="C2838" s="1">
        <v>45150</v>
      </c>
      <c r="D2838" t="s">
        <v>8</v>
      </c>
      <c r="E2838">
        <v>39</v>
      </c>
      <c r="F2838" t="s">
        <v>6</v>
      </c>
      <c r="G2838" s="8">
        <f t="shared" si="391"/>
        <v>1</v>
      </c>
      <c r="H2838">
        <f t="shared" si="392"/>
        <v>6</v>
      </c>
      <c r="I2838" t="str">
        <f t="shared" si="390"/>
        <v>Friday</v>
      </c>
      <c r="L2838">
        <f t="shared" si="393"/>
        <v>1</v>
      </c>
    </row>
    <row r="2839" spans="1:12" x14ac:dyDescent="0.25">
      <c r="A2839">
        <v>158093021</v>
      </c>
      <c r="B2839" s="1">
        <v>45150</v>
      </c>
      <c r="C2839" s="1">
        <f t="shared" ref="C2839" ca="1" si="396">TODAY()</f>
        <v>45938</v>
      </c>
      <c r="D2839" t="s">
        <v>7</v>
      </c>
      <c r="E2839">
        <v>39</v>
      </c>
      <c r="F2839" t="s">
        <v>6</v>
      </c>
      <c r="G2839" s="8">
        <f t="shared" ca="1" si="391"/>
        <v>788</v>
      </c>
      <c r="H2839">
        <f t="shared" si="392"/>
        <v>7</v>
      </c>
      <c r="I2839" t="str">
        <f t="shared" si="390"/>
        <v>Saturday</v>
      </c>
      <c r="L2839">
        <f t="shared" ca="1" si="393"/>
        <v>0</v>
      </c>
    </row>
    <row r="2840" spans="1:12" x14ac:dyDescent="0.25">
      <c r="A2840">
        <v>203366396</v>
      </c>
      <c r="B2840" s="1">
        <v>45150</v>
      </c>
      <c r="C2840" s="1">
        <v>45154</v>
      </c>
      <c r="D2840" t="s">
        <v>7</v>
      </c>
      <c r="E2840">
        <v>39</v>
      </c>
      <c r="F2840" t="s">
        <v>6</v>
      </c>
      <c r="G2840" s="8">
        <f t="shared" si="391"/>
        <v>4</v>
      </c>
      <c r="H2840">
        <f t="shared" si="392"/>
        <v>7</v>
      </c>
      <c r="I2840" t="str">
        <f t="shared" si="390"/>
        <v>Saturday</v>
      </c>
      <c r="L2840">
        <f t="shared" si="393"/>
        <v>0</v>
      </c>
    </row>
    <row r="2841" spans="1:12" x14ac:dyDescent="0.25">
      <c r="A2841">
        <v>210694562</v>
      </c>
      <c r="B2841" s="1">
        <v>45150</v>
      </c>
      <c r="C2841" s="1">
        <v>45171</v>
      </c>
      <c r="D2841" t="s">
        <v>7</v>
      </c>
      <c r="E2841">
        <v>39</v>
      </c>
      <c r="F2841" t="s">
        <v>6</v>
      </c>
      <c r="G2841" s="8">
        <f t="shared" si="391"/>
        <v>21</v>
      </c>
      <c r="H2841">
        <f t="shared" si="392"/>
        <v>7</v>
      </c>
      <c r="I2841" t="str">
        <f t="shared" si="390"/>
        <v>Saturday</v>
      </c>
      <c r="L2841">
        <f t="shared" si="393"/>
        <v>0</v>
      </c>
    </row>
    <row r="2842" spans="1:12" x14ac:dyDescent="0.25">
      <c r="A2842">
        <v>188347490</v>
      </c>
      <c r="B2842" s="1">
        <v>45151</v>
      </c>
      <c r="C2842" s="1">
        <f t="shared" ref="C2842:C2848" ca="1" si="397">TODAY()</f>
        <v>45938</v>
      </c>
      <c r="D2842" t="s">
        <v>7</v>
      </c>
      <c r="E2842">
        <v>39</v>
      </c>
      <c r="F2842" t="s">
        <v>6</v>
      </c>
      <c r="G2842" s="8">
        <f t="shared" ca="1" si="391"/>
        <v>787</v>
      </c>
      <c r="H2842">
        <f t="shared" si="392"/>
        <v>1</v>
      </c>
      <c r="I2842" t="str">
        <f t="shared" si="390"/>
        <v>Sunday</v>
      </c>
      <c r="L2842">
        <f t="shared" ca="1" si="393"/>
        <v>0</v>
      </c>
    </row>
    <row r="2843" spans="1:12" x14ac:dyDescent="0.25">
      <c r="A2843">
        <v>219947831</v>
      </c>
      <c r="B2843" s="1">
        <v>45151</v>
      </c>
      <c r="C2843" s="1">
        <f t="shared" ca="1" si="397"/>
        <v>45938</v>
      </c>
      <c r="D2843" t="s">
        <v>7</v>
      </c>
      <c r="E2843">
        <v>39</v>
      </c>
      <c r="F2843" t="s">
        <v>6</v>
      </c>
      <c r="G2843" s="8">
        <f t="shared" ca="1" si="391"/>
        <v>787</v>
      </c>
      <c r="H2843">
        <f t="shared" si="392"/>
        <v>1</v>
      </c>
      <c r="I2843" t="str">
        <f t="shared" si="390"/>
        <v>Sunday</v>
      </c>
      <c r="L2843">
        <f t="shared" ca="1" si="393"/>
        <v>0</v>
      </c>
    </row>
    <row r="2844" spans="1:12" x14ac:dyDescent="0.25">
      <c r="A2844">
        <v>214775412</v>
      </c>
      <c r="B2844" s="1">
        <v>45151</v>
      </c>
      <c r="C2844" s="1">
        <f t="shared" ca="1" si="397"/>
        <v>45938</v>
      </c>
      <c r="D2844" t="s">
        <v>7</v>
      </c>
      <c r="E2844">
        <v>39</v>
      </c>
      <c r="F2844" t="s">
        <v>6</v>
      </c>
      <c r="G2844" s="8">
        <f t="shared" ca="1" si="391"/>
        <v>787</v>
      </c>
      <c r="H2844">
        <f t="shared" si="392"/>
        <v>1</v>
      </c>
      <c r="I2844" t="str">
        <f t="shared" si="390"/>
        <v>Sunday</v>
      </c>
      <c r="L2844">
        <f t="shared" ca="1" si="393"/>
        <v>0</v>
      </c>
    </row>
    <row r="2845" spans="1:12" x14ac:dyDescent="0.25">
      <c r="A2845">
        <v>134753801</v>
      </c>
      <c r="B2845" s="1">
        <v>45151</v>
      </c>
      <c r="C2845" s="1">
        <f t="shared" ca="1" si="397"/>
        <v>45938</v>
      </c>
      <c r="D2845" t="s">
        <v>7</v>
      </c>
      <c r="E2845">
        <v>39</v>
      </c>
      <c r="F2845" t="s">
        <v>6</v>
      </c>
      <c r="G2845" s="8">
        <f t="shared" ca="1" si="391"/>
        <v>787</v>
      </c>
      <c r="H2845">
        <f t="shared" si="392"/>
        <v>1</v>
      </c>
      <c r="I2845" t="str">
        <f t="shared" si="390"/>
        <v>Sunday</v>
      </c>
      <c r="L2845">
        <f t="shared" ca="1" si="393"/>
        <v>0</v>
      </c>
    </row>
    <row r="2846" spans="1:12" x14ac:dyDescent="0.25">
      <c r="A2846">
        <v>182584521</v>
      </c>
      <c r="B2846" s="1">
        <v>45151</v>
      </c>
      <c r="C2846" s="1">
        <f t="shared" ca="1" si="397"/>
        <v>45938</v>
      </c>
      <c r="D2846" t="s">
        <v>7</v>
      </c>
      <c r="E2846">
        <v>39</v>
      </c>
      <c r="F2846" t="s">
        <v>6</v>
      </c>
      <c r="G2846" s="8">
        <f t="shared" ca="1" si="391"/>
        <v>787</v>
      </c>
      <c r="H2846">
        <f t="shared" si="392"/>
        <v>1</v>
      </c>
      <c r="I2846" t="str">
        <f t="shared" si="390"/>
        <v>Sunday</v>
      </c>
      <c r="L2846">
        <f t="shared" ca="1" si="393"/>
        <v>0</v>
      </c>
    </row>
    <row r="2847" spans="1:12" x14ac:dyDescent="0.25">
      <c r="A2847">
        <v>219955434</v>
      </c>
      <c r="B2847" s="1">
        <v>45151</v>
      </c>
      <c r="C2847" s="1">
        <f t="shared" ca="1" si="397"/>
        <v>45938</v>
      </c>
      <c r="D2847" t="s">
        <v>7</v>
      </c>
      <c r="E2847">
        <v>39</v>
      </c>
      <c r="F2847" t="s">
        <v>6</v>
      </c>
      <c r="G2847" s="8">
        <f t="shared" ca="1" si="391"/>
        <v>787</v>
      </c>
      <c r="H2847">
        <f t="shared" si="392"/>
        <v>1</v>
      </c>
      <c r="I2847" t="str">
        <f t="shared" si="390"/>
        <v>Sunday</v>
      </c>
      <c r="L2847">
        <f t="shared" ca="1" si="393"/>
        <v>0</v>
      </c>
    </row>
    <row r="2848" spans="1:12" x14ac:dyDescent="0.25">
      <c r="A2848">
        <v>219951440</v>
      </c>
      <c r="B2848" s="1">
        <v>45151</v>
      </c>
      <c r="C2848" s="1">
        <f t="shared" ca="1" si="397"/>
        <v>45938</v>
      </c>
      <c r="D2848" t="s">
        <v>7</v>
      </c>
      <c r="E2848">
        <v>39</v>
      </c>
      <c r="F2848" t="s">
        <v>6</v>
      </c>
      <c r="G2848" s="8">
        <f t="shared" ca="1" si="391"/>
        <v>787</v>
      </c>
      <c r="H2848">
        <f t="shared" si="392"/>
        <v>1</v>
      </c>
      <c r="I2848" t="str">
        <f t="shared" si="390"/>
        <v>Sunday</v>
      </c>
      <c r="L2848">
        <f t="shared" ca="1" si="393"/>
        <v>0</v>
      </c>
    </row>
    <row r="2849" spans="1:12" x14ac:dyDescent="0.25">
      <c r="A2849">
        <v>219808428</v>
      </c>
      <c r="B2849" s="1">
        <v>45151</v>
      </c>
      <c r="C2849" s="1">
        <v>45170</v>
      </c>
      <c r="D2849" t="s">
        <v>7</v>
      </c>
      <c r="E2849">
        <v>39</v>
      </c>
      <c r="F2849" t="s">
        <v>6</v>
      </c>
      <c r="G2849" s="8">
        <f t="shared" si="391"/>
        <v>19</v>
      </c>
      <c r="H2849">
        <f t="shared" si="392"/>
        <v>1</v>
      </c>
      <c r="I2849" t="str">
        <f t="shared" si="390"/>
        <v>Sunday</v>
      </c>
      <c r="L2849">
        <f t="shared" si="393"/>
        <v>0</v>
      </c>
    </row>
    <row r="2850" spans="1:12" x14ac:dyDescent="0.25">
      <c r="A2850">
        <v>191034251</v>
      </c>
      <c r="B2850" s="1">
        <v>45152</v>
      </c>
      <c r="C2850" s="1">
        <f t="shared" ref="C2850:C2860" ca="1" si="398">TODAY()</f>
        <v>45938</v>
      </c>
      <c r="D2850" t="s">
        <v>7</v>
      </c>
      <c r="E2850">
        <v>39</v>
      </c>
      <c r="F2850" t="s">
        <v>6</v>
      </c>
      <c r="G2850" s="8">
        <f t="shared" ca="1" si="391"/>
        <v>786</v>
      </c>
      <c r="H2850">
        <f t="shared" si="392"/>
        <v>2</v>
      </c>
      <c r="I2850" t="str">
        <f t="shared" si="390"/>
        <v>Monday</v>
      </c>
      <c r="L2850">
        <f t="shared" ca="1" si="393"/>
        <v>0</v>
      </c>
    </row>
    <row r="2851" spans="1:12" x14ac:dyDescent="0.25">
      <c r="A2851">
        <v>220023196</v>
      </c>
      <c r="B2851" s="1">
        <v>45152</v>
      </c>
      <c r="C2851" s="1">
        <f t="shared" ca="1" si="398"/>
        <v>45938</v>
      </c>
      <c r="D2851" t="s">
        <v>7</v>
      </c>
      <c r="E2851">
        <v>39</v>
      </c>
      <c r="F2851" t="s">
        <v>6</v>
      </c>
      <c r="G2851" s="8">
        <f t="shared" ca="1" si="391"/>
        <v>786</v>
      </c>
      <c r="H2851">
        <f t="shared" si="392"/>
        <v>2</v>
      </c>
      <c r="I2851" t="str">
        <f t="shared" si="390"/>
        <v>Monday</v>
      </c>
      <c r="L2851">
        <f t="shared" ca="1" si="393"/>
        <v>0</v>
      </c>
    </row>
    <row r="2852" spans="1:12" x14ac:dyDescent="0.25">
      <c r="A2852">
        <v>220028812</v>
      </c>
      <c r="B2852" s="1">
        <v>45152</v>
      </c>
      <c r="C2852" s="1">
        <f t="shared" ca="1" si="398"/>
        <v>45938</v>
      </c>
      <c r="D2852" t="s">
        <v>7</v>
      </c>
      <c r="E2852">
        <v>39</v>
      </c>
      <c r="F2852" t="s">
        <v>6</v>
      </c>
      <c r="G2852" s="8">
        <f t="shared" ca="1" si="391"/>
        <v>786</v>
      </c>
      <c r="H2852">
        <f t="shared" si="392"/>
        <v>2</v>
      </c>
      <c r="I2852" t="str">
        <f t="shared" si="390"/>
        <v>Monday</v>
      </c>
      <c r="L2852">
        <f t="shared" ca="1" si="393"/>
        <v>0</v>
      </c>
    </row>
    <row r="2853" spans="1:12" x14ac:dyDescent="0.25">
      <c r="A2853">
        <v>195988242</v>
      </c>
      <c r="B2853" s="1">
        <v>45152</v>
      </c>
      <c r="C2853" s="1">
        <f t="shared" ca="1" si="398"/>
        <v>45938</v>
      </c>
      <c r="D2853" t="s">
        <v>7</v>
      </c>
      <c r="E2853">
        <v>39</v>
      </c>
      <c r="F2853" t="s">
        <v>6</v>
      </c>
      <c r="G2853" s="8">
        <f t="shared" ca="1" si="391"/>
        <v>786</v>
      </c>
      <c r="H2853">
        <f t="shared" si="392"/>
        <v>2</v>
      </c>
      <c r="I2853" t="str">
        <f t="shared" si="390"/>
        <v>Monday</v>
      </c>
      <c r="L2853">
        <f t="shared" ca="1" si="393"/>
        <v>0</v>
      </c>
    </row>
    <row r="2854" spans="1:12" x14ac:dyDescent="0.25">
      <c r="A2854">
        <v>151633468</v>
      </c>
      <c r="B2854" s="1">
        <v>45152</v>
      </c>
      <c r="C2854" s="1">
        <f t="shared" ca="1" si="398"/>
        <v>45938</v>
      </c>
      <c r="D2854" t="s">
        <v>7</v>
      </c>
      <c r="E2854">
        <v>39</v>
      </c>
      <c r="F2854" t="s">
        <v>6</v>
      </c>
      <c r="G2854" s="8">
        <f t="shared" ca="1" si="391"/>
        <v>786</v>
      </c>
      <c r="H2854">
        <f t="shared" si="392"/>
        <v>2</v>
      </c>
      <c r="I2854" t="str">
        <f t="shared" si="390"/>
        <v>Monday</v>
      </c>
      <c r="L2854">
        <f t="shared" ca="1" si="393"/>
        <v>0</v>
      </c>
    </row>
    <row r="2855" spans="1:12" x14ac:dyDescent="0.25">
      <c r="A2855">
        <v>220012044</v>
      </c>
      <c r="B2855" s="1">
        <v>45152</v>
      </c>
      <c r="C2855" s="1">
        <f t="shared" ca="1" si="398"/>
        <v>45938</v>
      </c>
      <c r="D2855" t="s">
        <v>7</v>
      </c>
      <c r="E2855">
        <v>39</v>
      </c>
      <c r="F2855" t="s">
        <v>6</v>
      </c>
      <c r="G2855" s="8">
        <f t="shared" ca="1" si="391"/>
        <v>786</v>
      </c>
      <c r="H2855">
        <f t="shared" si="392"/>
        <v>2</v>
      </c>
      <c r="I2855" t="str">
        <f t="shared" si="390"/>
        <v>Monday</v>
      </c>
      <c r="L2855">
        <f t="shared" ca="1" si="393"/>
        <v>0</v>
      </c>
    </row>
    <row r="2856" spans="1:12" x14ac:dyDescent="0.25">
      <c r="A2856">
        <v>219981231</v>
      </c>
      <c r="B2856" s="1">
        <v>45152</v>
      </c>
      <c r="C2856" s="1">
        <f t="shared" ca="1" si="398"/>
        <v>45938</v>
      </c>
      <c r="D2856" t="s">
        <v>7</v>
      </c>
      <c r="E2856">
        <v>39</v>
      </c>
      <c r="F2856" t="s">
        <v>6</v>
      </c>
      <c r="G2856" s="8">
        <f t="shared" ca="1" si="391"/>
        <v>786</v>
      </c>
      <c r="H2856">
        <f t="shared" si="392"/>
        <v>2</v>
      </c>
      <c r="I2856" t="str">
        <f t="shared" si="390"/>
        <v>Monday</v>
      </c>
      <c r="L2856">
        <f t="shared" ca="1" si="393"/>
        <v>0</v>
      </c>
    </row>
    <row r="2857" spans="1:12" x14ac:dyDescent="0.25">
      <c r="A2857">
        <v>169692209</v>
      </c>
      <c r="B2857" s="1">
        <v>45152</v>
      </c>
      <c r="C2857" s="1">
        <f t="shared" ca="1" si="398"/>
        <v>45938</v>
      </c>
      <c r="D2857" t="s">
        <v>7</v>
      </c>
      <c r="E2857">
        <v>39</v>
      </c>
      <c r="F2857" t="s">
        <v>6</v>
      </c>
      <c r="G2857" s="8">
        <f t="shared" ca="1" si="391"/>
        <v>786</v>
      </c>
      <c r="H2857">
        <f t="shared" si="392"/>
        <v>2</v>
      </c>
      <c r="I2857" t="str">
        <f t="shared" si="390"/>
        <v>Monday</v>
      </c>
      <c r="L2857">
        <f t="shared" ca="1" si="393"/>
        <v>0</v>
      </c>
    </row>
    <row r="2858" spans="1:12" x14ac:dyDescent="0.25">
      <c r="A2858">
        <v>116156335</v>
      </c>
      <c r="B2858" s="1">
        <v>45152</v>
      </c>
      <c r="C2858" s="1">
        <f t="shared" ca="1" si="398"/>
        <v>45938</v>
      </c>
      <c r="D2858" t="s">
        <v>7</v>
      </c>
      <c r="E2858">
        <v>39</v>
      </c>
      <c r="F2858" t="s">
        <v>6</v>
      </c>
      <c r="G2858" s="8">
        <f t="shared" ca="1" si="391"/>
        <v>786</v>
      </c>
      <c r="H2858">
        <f t="shared" si="392"/>
        <v>2</v>
      </c>
      <c r="I2858" t="str">
        <f t="shared" si="390"/>
        <v>Monday</v>
      </c>
      <c r="L2858">
        <f t="shared" ca="1" si="393"/>
        <v>0</v>
      </c>
    </row>
    <row r="2859" spans="1:12" x14ac:dyDescent="0.25">
      <c r="A2859">
        <v>153393340</v>
      </c>
      <c r="B2859" s="1">
        <v>45152</v>
      </c>
      <c r="C2859" s="1">
        <f t="shared" ca="1" si="398"/>
        <v>45938</v>
      </c>
      <c r="D2859" t="s">
        <v>7</v>
      </c>
      <c r="E2859">
        <v>39</v>
      </c>
      <c r="F2859" t="s">
        <v>6</v>
      </c>
      <c r="G2859" s="8">
        <f t="shared" ca="1" si="391"/>
        <v>786</v>
      </c>
      <c r="H2859">
        <f t="shared" si="392"/>
        <v>2</v>
      </c>
      <c r="I2859" t="str">
        <f t="shared" si="390"/>
        <v>Monday</v>
      </c>
      <c r="L2859">
        <f t="shared" ca="1" si="393"/>
        <v>0</v>
      </c>
    </row>
    <row r="2860" spans="1:12" x14ac:dyDescent="0.25">
      <c r="A2860">
        <v>219974920</v>
      </c>
      <c r="B2860" s="1">
        <v>45152</v>
      </c>
      <c r="C2860" s="1">
        <f t="shared" ca="1" si="398"/>
        <v>45938</v>
      </c>
      <c r="D2860" t="s">
        <v>7</v>
      </c>
      <c r="E2860">
        <v>39</v>
      </c>
      <c r="F2860" t="s">
        <v>6</v>
      </c>
      <c r="G2860" s="8">
        <f t="shared" ca="1" si="391"/>
        <v>786</v>
      </c>
      <c r="H2860">
        <f t="shared" si="392"/>
        <v>2</v>
      </c>
      <c r="I2860" t="str">
        <f t="shared" si="390"/>
        <v>Monday</v>
      </c>
      <c r="L2860">
        <f t="shared" ca="1" si="393"/>
        <v>0</v>
      </c>
    </row>
    <row r="2861" spans="1:12" x14ac:dyDescent="0.25">
      <c r="A2861">
        <v>121253113</v>
      </c>
      <c r="B2861" s="1">
        <v>45152</v>
      </c>
      <c r="C2861" s="1">
        <v>45154</v>
      </c>
      <c r="D2861" t="s">
        <v>7</v>
      </c>
      <c r="E2861">
        <v>39</v>
      </c>
      <c r="F2861" t="s">
        <v>6</v>
      </c>
      <c r="G2861" s="8">
        <f t="shared" si="391"/>
        <v>2</v>
      </c>
      <c r="H2861">
        <f t="shared" si="392"/>
        <v>2</v>
      </c>
      <c r="I2861" t="str">
        <f t="shared" si="390"/>
        <v>Monday</v>
      </c>
      <c r="L2861">
        <f t="shared" si="393"/>
        <v>1</v>
      </c>
    </row>
    <row r="2862" spans="1:12" x14ac:dyDescent="0.25">
      <c r="A2862">
        <v>219690296</v>
      </c>
      <c r="B2862" s="1">
        <v>45153</v>
      </c>
      <c r="C2862" s="1">
        <f t="shared" ref="C2862:C2864" ca="1" si="399">TODAY()</f>
        <v>45938</v>
      </c>
      <c r="D2862" t="s">
        <v>7</v>
      </c>
      <c r="E2862">
        <v>39</v>
      </c>
      <c r="F2862" t="s">
        <v>6</v>
      </c>
      <c r="G2862" s="8">
        <f t="shared" ca="1" si="391"/>
        <v>785</v>
      </c>
      <c r="H2862">
        <f t="shared" si="392"/>
        <v>3</v>
      </c>
      <c r="I2862" t="str">
        <f t="shared" si="390"/>
        <v>Tuesday</v>
      </c>
      <c r="L2862">
        <f t="shared" ca="1" si="393"/>
        <v>0</v>
      </c>
    </row>
    <row r="2863" spans="1:12" x14ac:dyDescent="0.25">
      <c r="A2863">
        <v>187268085</v>
      </c>
      <c r="B2863" s="1">
        <v>45153</v>
      </c>
      <c r="C2863" s="1">
        <f t="shared" ca="1" si="399"/>
        <v>45938</v>
      </c>
      <c r="D2863" t="s">
        <v>7</v>
      </c>
      <c r="E2863">
        <v>39</v>
      </c>
      <c r="F2863" t="s">
        <v>6</v>
      </c>
      <c r="G2863" s="8">
        <f t="shared" ca="1" si="391"/>
        <v>785</v>
      </c>
      <c r="H2863">
        <f t="shared" si="392"/>
        <v>3</v>
      </c>
      <c r="I2863" t="str">
        <f t="shared" si="390"/>
        <v>Tuesday</v>
      </c>
      <c r="L2863">
        <f t="shared" ca="1" si="393"/>
        <v>0</v>
      </c>
    </row>
    <row r="2864" spans="1:12" x14ac:dyDescent="0.25">
      <c r="A2864">
        <v>150623785</v>
      </c>
      <c r="B2864" s="1">
        <v>45153</v>
      </c>
      <c r="C2864" s="1">
        <f t="shared" ca="1" si="399"/>
        <v>45938</v>
      </c>
      <c r="D2864" t="s">
        <v>7</v>
      </c>
      <c r="E2864">
        <v>39</v>
      </c>
      <c r="F2864" t="s">
        <v>6</v>
      </c>
      <c r="G2864" s="8">
        <f t="shared" ca="1" si="391"/>
        <v>785</v>
      </c>
      <c r="H2864">
        <f t="shared" si="392"/>
        <v>3</v>
      </c>
      <c r="I2864" t="str">
        <f t="shared" si="390"/>
        <v>Tuesday</v>
      </c>
      <c r="L2864">
        <f t="shared" ca="1" si="393"/>
        <v>0</v>
      </c>
    </row>
    <row r="2865" spans="1:12" x14ac:dyDescent="0.25">
      <c r="A2865">
        <v>220056524</v>
      </c>
      <c r="B2865" s="1">
        <v>45153</v>
      </c>
      <c r="C2865" s="1">
        <v>45154</v>
      </c>
      <c r="D2865" t="s">
        <v>8</v>
      </c>
      <c r="E2865">
        <v>39</v>
      </c>
      <c r="F2865" t="s">
        <v>6</v>
      </c>
      <c r="G2865" s="8">
        <f t="shared" si="391"/>
        <v>1</v>
      </c>
      <c r="H2865">
        <f t="shared" si="392"/>
        <v>3</v>
      </c>
      <c r="I2865" t="str">
        <f t="shared" si="390"/>
        <v>Tuesday</v>
      </c>
      <c r="L2865">
        <f t="shared" si="393"/>
        <v>1</v>
      </c>
    </row>
    <row r="2866" spans="1:12" x14ac:dyDescent="0.25">
      <c r="A2866">
        <v>208188866</v>
      </c>
      <c r="B2866" s="1">
        <v>45154</v>
      </c>
      <c r="C2866" s="1">
        <f t="shared" ref="C2866:C2889" ca="1" si="400">TODAY()</f>
        <v>45938</v>
      </c>
      <c r="D2866" t="s">
        <v>7</v>
      </c>
      <c r="E2866">
        <v>39</v>
      </c>
      <c r="F2866" t="s">
        <v>6</v>
      </c>
      <c r="G2866" s="8">
        <f t="shared" ca="1" si="391"/>
        <v>784</v>
      </c>
      <c r="H2866">
        <f t="shared" si="392"/>
        <v>4</v>
      </c>
      <c r="I2866" t="str">
        <f t="shared" si="390"/>
        <v>Wednesday</v>
      </c>
      <c r="L2866">
        <f t="shared" ca="1" si="393"/>
        <v>0</v>
      </c>
    </row>
    <row r="2867" spans="1:12" x14ac:dyDescent="0.25">
      <c r="A2867">
        <v>219081046</v>
      </c>
      <c r="B2867" s="1">
        <v>45154</v>
      </c>
      <c r="C2867" s="1">
        <f t="shared" ca="1" si="400"/>
        <v>45938</v>
      </c>
      <c r="D2867" t="s">
        <v>7</v>
      </c>
      <c r="E2867">
        <v>39</v>
      </c>
      <c r="F2867" t="s">
        <v>6</v>
      </c>
      <c r="G2867" s="8">
        <f t="shared" ca="1" si="391"/>
        <v>784</v>
      </c>
      <c r="H2867">
        <f t="shared" si="392"/>
        <v>4</v>
      </c>
      <c r="I2867" t="str">
        <f t="shared" si="390"/>
        <v>Wednesday</v>
      </c>
      <c r="L2867">
        <f t="shared" ca="1" si="393"/>
        <v>0</v>
      </c>
    </row>
    <row r="2868" spans="1:12" x14ac:dyDescent="0.25">
      <c r="A2868">
        <v>219569143</v>
      </c>
      <c r="B2868" s="1">
        <v>45154</v>
      </c>
      <c r="C2868" s="1">
        <f t="shared" ca="1" si="400"/>
        <v>45938</v>
      </c>
      <c r="D2868" t="s">
        <v>7</v>
      </c>
      <c r="E2868">
        <v>39</v>
      </c>
      <c r="F2868" t="s">
        <v>6</v>
      </c>
      <c r="G2868" s="8">
        <f t="shared" ca="1" si="391"/>
        <v>784</v>
      </c>
      <c r="H2868">
        <f t="shared" si="392"/>
        <v>4</v>
      </c>
      <c r="I2868" t="str">
        <f t="shared" si="390"/>
        <v>Wednesday</v>
      </c>
      <c r="L2868">
        <f t="shared" ca="1" si="393"/>
        <v>0</v>
      </c>
    </row>
    <row r="2869" spans="1:12" x14ac:dyDescent="0.25">
      <c r="A2869">
        <v>219653068</v>
      </c>
      <c r="B2869" s="1">
        <v>45154</v>
      </c>
      <c r="C2869" s="1">
        <f t="shared" ca="1" si="400"/>
        <v>45938</v>
      </c>
      <c r="D2869" t="s">
        <v>7</v>
      </c>
      <c r="E2869">
        <v>39</v>
      </c>
      <c r="F2869" t="s">
        <v>6</v>
      </c>
      <c r="G2869" s="8">
        <f t="shared" ca="1" si="391"/>
        <v>784</v>
      </c>
      <c r="H2869">
        <f t="shared" si="392"/>
        <v>4</v>
      </c>
      <c r="I2869" t="str">
        <f t="shared" si="390"/>
        <v>Wednesday</v>
      </c>
      <c r="L2869">
        <f t="shared" ca="1" si="393"/>
        <v>0</v>
      </c>
    </row>
    <row r="2870" spans="1:12" x14ac:dyDescent="0.25">
      <c r="A2870">
        <v>220120740</v>
      </c>
      <c r="B2870" s="1">
        <v>45154</v>
      </c>
      <c r="C2870" s="1">
        <f t="shared" ca="1" si="400"/>
        <v>45938</v>
      </c>
      <c r="D2870" t="s">
        <v>7</v>
      </c>
      <c r="E2870">
        <v>39</v>
      </c>
      <c r="F2870" t="s">
        <v>6</v>
      </c>
      <c r="G2870" s="8">
        <f t="shared" ca="1" si="391"/>
        <v>784</v>
      </c>
      <c r="H2870">
        <f t="shared" si="392"/>
        <v>4</v>
      </c>
      <c r="I2870" t="str">
        <f t="shared" si="390"/>
        <v>Wednesday</v>
      </c>
      <c r="L2870">
        <f t="shared" ca="1" si="393"/>
        <v>0</v>
      </c>
    </row>
    <row r="2871" spans="1:12" x14ac:dyDescent="0.25">
      <c r="A2871">
        <v>186200901</v>
      </c>
      <c r="B2871" s="1">
        <v>45154</v>
      </c>
      <c r="C2871" s="1">
        <f t="shared" ca="1" si="400"/>
        <v>45938</v>
      </c>
      <c r="D2871" t="s">
        <v>7</v>
      </c>
      <c r="E2871">
        <v>39</v>
      </c>
      <c r="F2871" t="s">
        <v>6</v>
      </c>
      <c r="G2871" s="8">
        <f t="shared" ca="1" si="391"/>
        <v>784</v>
      </c>
      <c r="H2871">
        <f t="shared" si="392"/>
        <v>4</v>
      </c>
      <c r="I2871" t="str">
        <f t="shared" si="390"/>
        <v>Wednesday</v>
      </c>
      <c r="L2871">
        <f t="shared" ca="1" si="393"/>
        <v>0</v>
      </c>
    </row>
    <row r="2872" spans="1:12" x14ac:dyDescent="0.25">
      <c r="A2872">
        <v>220116966</v>
      </c>
      <c r="B2872" s="1">
        <v>45154</v>
      </c>
      <c r="C2872" s="1">
        <f t="shared" ca="1" si="400"/>
        <v>45938</v>
      </c>
      <c r="D2872" t="s">
        <v>7</v>
      </c>
      <c r="E2872">
        <v>39</v>
      </c>
      <c r="F2872" t="s">
        <v>6</v>
      </c>
      <c r="G2872" s="8">
        <f t="shared" ca="1" si="391"/>
        <v>784</v>
      </c>
      <c r="H2872">
        <f t="shared" si="392"/>
        <v>4</v>
      </c>
      <c r="I2872" t="str">
        <f t="shared" si="390"/>
        <v>Wednesday</v>
      </c>
      <c r="L2872">
        <f t="shared" ca="1" si="393"/>
        <v>0</v>
      </c>
    </row>
    <row r="2873" spans="1:12" x14ac:dyDescent="0.25">
      <c r="A2873">
        <v>219876215</v>
      </c>
      <c r="B2873" s="1">
        <v>45154</v>
      </c>
      <c r="C2873" s="1">
        <f t="shared" ca="1" si="400"/>
        <v>45938</v>
      </c>
      <c r="D2873" t="s">
        <v>7</v>
      </c>
      <c r="E2873">
        <v>39</v>
      </c>
      <c r="F2873" t="s">
        <v>6</v>
      </c>
      <c r="G2873" s="8">
        <f t="shared" ca="1" si="391"/>
        <v>784</v>
      </c>
      <c r="H2873">
        <f t="shared" si="392"/>
        <v>4</v>
      </c>
      <c r="I2873" t="str">
        <f t="shared" si="390"/>
        <v>Wednesday</v>
      </c>
      <c r="L2873">
        <f t="shared" ca="1" si="393"/>
        <v>0</v>
      </c>
    </row>
    <row r="2874" spans="1:12" x14ac:dyDescent="0.25">
      <c r="A2874">
        <v>219996796</v>
      </c>
      <c r="B2874" s="1">
        <v>45154</v>
      </c>
      <c r="C2874" s="1">
        <f t="shared" ca="1" si="400"/>
        <v>45938</v>
      </c>
      <c r="D2874" t="s">
        <v>7</v>
      </c>
      <c r="E2874">
        <v>39</v>
      </c>
      <c r="F2874" t="s">
        <v>6</v>
      </c>
      <c r="G2874" s="8">
        <f t="shared" ca="1" si="391"/>
        <v>784</v>
      </c>
      <c r="H2874">
        <f t="shared" si="392"/>
        <v>4</v>
      </c>
      <c r="I2874" t="str">
        <f t="shared" si="390"/>
        <v>Wednesday</v>
      </c>
      <c r="L2874">
        <f t="shared" ca="1" si="393"/>
        <v>0</v>
      </c>
    </row>
    <row r="2875" spans="1:12" x14ac:dyDescent="0.25">
      <c r="A2875">
        <v>218296652</v>
      </c>
      <c r="B2875" s="1">
        <v>45154</v>
      </c>
      <c r="C2875" s="1">
        <f t="shared" ca="1" si="400"/>
        <v>45938</v>
      </c>
      <c r="D2875" t="s">
        <v>7</v>
      </c>
      <c r="E2875">
        <v>39</v>
      </c>
      <c r="F2875" t="s">
        <v>6</v>
      </c>
      <c r="G2875" s="8">
        <f t="shared" ca="1" si="391"/>
        <v>784</v>
      </c>
      <c r="H2875">
        <f t="shared" si="392"/>
        <v>4</v>
      </c>
      <c r="I2875" t="str">
        <f t="shared" si="390"/>
        <v>Wednesday</v>
      </c>
      <c r="L2875">
        <f t="shared" ca="1" si="393"/>
        <v>0</v>
      </c>
    </row>
    <row r="2876" spans="1:12" x14ac:dyDescent="0.25">
      <c r="A2876">
        <v>188748372</v>
      </c>
      <c r="B2876" s="1">
        <v>45154</v>
      </c>
      <c r="C2876" s="1">
        <f t="shared" ca="1" si="400"/>
        <v>45938</v>
      </c>
      <c r="D2876" t="s">
        <v>7</v>
      </c>
      <c r="E2876">
        <v>39</v>
      </c>
      <c r="F2876" t="s">
        <v>6</v>
      </c>
      <c r="G2876" s="8">
        <f t="shared" ca="1" si="391"/>
        <v>784</v>
      </c>
      <c r="H2876">
        <f t="shared" si="392"/>
        <v>4</v>
      </c>
      <c r="I2876" t="str">
        <f t="shared" si="390"/>
        <v>Wednesday</v>
      </c>
      <c r="L2876">
        <f t="shared" ca="1" si="393"/>
        <v>0</v>
      </c>
    </row>
    <row r="2877" spans="1:12" x14ac:dyDescent="0.25">
      <c r="A2877">
        <v>220080560</v>
      </c>
      <c r="B2877" s="1">
        <v>45154</v>
      </c>
      <c r="C2877" s="1">
        <f t="shared" ca="1" si="400"/>
        <v>45938</v>
      </c>
      <c r="D2877" t="s">
        <v>7</v>
      </c>
      <c r="E2877">
        <v>39</v>
      </c>
      <c r="F2877" t="s">
        <v>6</v>
      </c>
      <c r="G2877" s="8">
        <f t="shared" ca="1" si="391"/>
        <v>784</v>
      </c>
      <c r="H2877">
        <f t="shared" si="392"/>
        <v>4</v>
      </c>
      <c r="I2877" t="str">
        <f t="shared" si="390"/>
        <v>Wednesday</v>
      </c>
      <c r="L2877">
        <f t="shared" ca="1" si="393"/>
        <v>0</v>
      </c>
    </row>
    <row r="2878" spans="1:12" x14ac:dyDescent="0.25">
      <c r="A2878">
        <v>219899496</v>
      </c>
      <c r="B2878" s="1">
        <v>45155</v>
      </c>
      <c r="C2878" s="1">
        <f t="shared" ca="1" si="400"/>
        <v>45938</v>
      </c>
      <c r="D2878" t="s">
        <v>7</v>
      </c>
      <c r="E2878">
        <v>39</v>
      </c>
      <c r="F2878" t="s">
        <v>6</v>
      </c>
      <c r="G2878" s="8">
        <f t="shared" ca="1" si="391"/>
        <v>783</v>
      </c>
      <c r="H2878">
        <f t="shared" si="392"/>
        <v>5</v>
      </c>
      <c r="I2878" t="str">
        <f t="shared" si="390"/>
        <v>Thursday</v>
      </c>
      <c r="L2878">
        <f t="shared" ca="1" si="393"/>
        <v>0</v>
      </c>
    </row>
    <row r="2879" spans="1:12" x14ac:dyDescent="0.25">
      <c r="A2879">
        <v>219000322</v>
      </c>
      <c r="B2879" s="1">
        <v>45155</v>
      </c>
      <c r="C2879" s="1">
        <f t="shared" ca="1" si="400"/>
        <v>45938</v>
      </c>
      <c r="D2879" t="s">
        <v>7</v>
      </c>
      <c r="E2879">
        <v>39</v>
      </c>
      <c r="F2879" t="s">
        <v>6</v>
      </c>
      <c r="G2879" s="8">
        <f t="shared" ca="1" si="391"/>
        <v>783</v>
      </c>
      <c r="H2879">
        <f t="shared" si="392"/>
        <v>5</v>
      </c>
      <c r="I2879" t="str">
        <f t="shared" si="390"/>
        <v>Thursday</v>
      </c>
      <c r="L2879">
        <f t="shared" ca="1" si="393"/>
        <v>0</v>
      </c>
    </row>
    <row r="2880" spans="1:12" x14ac:dyDescent="0.25">
      <c r="A2880">
        <v>220181992</v>
      </c>
      <c r="B2880" s="1">
        <v>45155</v>
      </c>
      <c r="C2880" s="1">
        <f t="shared" ca="1" si="400"/>
        <v>45938</v>
      </c>
      <c r="D2880" t="s">
        <v>7</v>
      </c>
      <c r="E2880">
        <v>39</v>
      </c>
      <c r="F2880" t="s">
        <v>6</v>
      </c>
      <c r="G2880" s="8">
        <f t="shared" ca="1" si="391"/>
        <v>783</v>
      </c>
      <c r="H2880">
        <f t="shared" si="392"/>
        <v>5</v>
      </c>
      <c r="I2880" t="str">
        <f t="shared" si="390"/>
        <v>Thursday</v>
      </c>
      <c r="L2880">
        <f t="shared" ca="1" si="393"/>
        <v>0</v>
      </c>
    </row>
    <row r="2881" spans="1:12" x14ac:dyDescent="0.25">
      <c r="A2881">
        <v>220196419</v>
      </c>
      <c r="B2881" s="1">
        <v>45155</v>
      </c>
      <c r="C2881" s="1">
        <f t="shared" ca="1" si="400"/>
        <v>45938</v>
      </c>
      <c r="D2881" t="s">
        <v>7</v>
      </c>
      <c r="E2881">
        <v>39</v>
      </c>
      <c r="F2881" t="s">
        <v>6</v>
      </c>
      <c r="G2881" s="8">
        <f t="shared" ca="1" si="391"/>
        <v>783</v>
      </c>
      <c r="H2881">
        <f t="shared" si="392"/>
        <v>5</v>
      </c>
      <c r="I2881" t="str">
        <f t="shared" si="390"/>
        <v>Thursday</v>
      </c>
      <c r="L2881">
        <f t="shared" ca="1" si="393"/>
        <v>0</v>
      </c>
    </row>
    <row r="2882" spans="1:12" x14ac:dyDescent="0.25">
      <c r="A2882">
        <v>220155197</v>
      </c>
      <c r="B2882" s="1">
        <v>45155</v>
      </c>
      <c r="C2882" s="1">
        <f t="shared" ca="1" si="400"/>
        <v>45938</v>
      </c>
      <c r="D2882" t="s">
        <v>7</v>
      </c>
      <c r="E2882">
        <v>39</v>
      </c>
      <c r="F2882" t="s">
        <v>6</v>
      </c>
      <c r="G2882" s="8">
        <f t="shared" ca="1" si="391"/>
        <v>783</v>
      </c>
      <c r="H2882">
        <f t="shared" si="392"/>
        <v>5</v>
      </c>
      <c r="I2882" t="str">
        <f t="shared" ref="I2882:I2945" si="401">TEXT(B2882,"DDDD")</f>
        <v>Thursday</v>
      </c>
      <c r="L2882">
        <f t="shared" ca="1" si="393"/>
        <v>0</v>
      </c>
    </row>
    <row r="2883" spans="1:12" x14ac:dyDescent="0.25">
      <c r="A2883">
        <v>220144619</v>
      </c>
      <c r="B2883" s="1">
        <v>45155</v>
      </c>
      <c r="C2883" s="1">
        <f t="shared" ca="1" si="400"/>
        <v>45938</v>
      </c>
      <c r="D2883" t="s">
        <v>7</v>
      </c>
      <c r="E2883">
        <v>39</v>
      </c>
      <c r="F2883" t="s">
        <v>6</v>
      </c>
      <c r="G2883" s="8">
        <f t="shared" ref="G2883:G2946" ca="1" si="402">IFERROR(DATEDIF(B2883,C2883,"D"),"0")</f>
        <v>783</v>
      </c>
      <c r="H2883">
        <f t="shared" ref="H2883:H2946" si="403">WEEKDAY(B2883,1)</f>
        <v>5</v>
      </c>
      <c r="I2883" t="str">
        <f t="shared" si="401"/>
        <v>Thursday</v>
      </c>
      <c r="L2883">
        <f t="shared" ref="L2883:L2946" ca="1" si="404">IF( OR($G2883=0,$G2883 = 1, $G2883 = 2), 1, 0 )</f>
        <v>0</v>
      </c>
    </row>
    <row r="2884" spans="1:12" x14ac:dyDescent="0.25">
      <c r="A2884">
        <v>220184550</v>
      </c>
      <c r="B2884" s="1">
        <v>45155</v>
      </c>
      <c r="C2884" s="1">
        <f t="shared" ca="1" si="400"/>
        <v>45938</v>
      </c>
      <c r="D2884" t="s">
        <v>7</v>
      </c>
      <c r="E2884">
        <v>39</v>
      </c>
      <c r="F2884" t="s">
        <v>6</v>
      </c>
      <c r="G2884" s="8">
        <f t="shared" ca="1" si="402"/>
        <v>783</v>
      </c>
      <c r="H2884">
        <f t="shared" si="403"/>
        <v>5</v>
      </c>
      <c r="I2884" t="str">
        <f t="shared" si="401"/>
        <v>Thursday</v>
      </c>
      <c r="L2884">
        <f t="shared" ca="1" si="404"/>
        <v>0</v>
      </c>
    </row>
    <row r="2885" spans="1:12" x14ac:dyDescent="0.25">
      <c r="A2885">
        <v>152209352</v>
      </c>
      <c r="B2885" s="1">
        <v>45155</v>
      </c>
      <c r="C2885" s="1">
        <f t="shared" ca="1" si="400"/>
        <v>45938</v>
      </c>
      <c r="D2885" t="s">
        <v>7</v>
      </c>
      <c r="E2885">
        <v>39</v>
      </c>
      <c r="F2885" t="s">
        <v>6</v>
      </c>
      <c r="G2885" s="8">
        <f t="shared" ca="1" si="402"/>
        <v>783</v>
      </c>
      <c r="H2885">
        <f t="shared" si="403"/>
        <v>5</v>
      </c>
      <c r="I2885" t="str">
        <f t="shared" si="401"/>
        <v>Thursday</v>
      </c>
      <c r="L2885">
        <f t="shared" ca="1" si="404"/>
        <v>0</v>
      </c>
    </row>
    <row r="2886" spans="1:12" x14ac:dyDescent="0.25">
      <c r="A2886">
        <v>146952862</v>
      </c>
      <c r="B2886" s="1">
        <v>45155</v>
      </c>
      <c r="C2886" s="1">
        <f t="shared" ca="1" si="400"/>
        <v>45938</v>
      </c>
      <c r="D2886" t="s">
        <v>7</v>
      </c>
      <c r="E2886">
        <v>39</v>
      </c>
      <c r="F2886" t="s">
        <v>6</v>
      </c>
      <c r="G2886" s="8">
        <f t="shared" ca="1" si="402"/>
        <v>783</v>
      </c>
      <c r="H2886">
        <f t="shared" si="403"/>
        <v>5</v>
      </c>
      <c r="I2886" t="str">
        <f t="shared" si="401"/>
        <v>Thursday</v>
      </c>
      <c r="L2886">
        <f t="shared" ca="1" si="404"/>
        <v>0</v>
      </c>
    </row>
    <row r="2887" spans="1:12" x14ac:dyDescent="0.25">
      <c r="A2887">
        <v>220178530</v>
      </c>
      <c r="B2887" s="1">
        <v>45155</v>
      </c>
      <c r="C2887" s="1">
        <f t="shared" ca="1" si="400"/>
        <v>45938</v>
      </c>
      <c r="D2887" t="s">
        <v>7</v>
      </c>
      <c r="E2887">
        <v>39</v>
      </c>
      <c r="F2887" t="s">
        <v>6</v>
      </c>
      <c r="G2887" s="8">
        <f t="shared" ca="1" si="402"/>
        <v>783</v>
      </c>
      <c r="H2887">
        <f t="shared" si="403"/>
        <v>5</v>
      </c>
      <c r="I2887" t="str">
        <f t="shared" si="401"/>
        <v>Thursday</v>
      </c>
      <c r="L2887">
        <f t="shared" ca="1" si="404"/>
        <v>0</v>
      </c>
    </row>
    <row r="2888" spans="1:12" x14ac:dyDescent="0.25">
      <c r="A2888">
        <v>219498470</v>
      </c>
      <c r="B2888" s="1">
        <v>45155</v>
      </c>
      <c r="C2888" s="1">
        <f t="shared" ca="1" si="400"/>
        <v>45938</v>
      </c>
      <c r="D2888" t="s">
        <v>7</v>
      </c>
      <c r="E2888">
        <v>39</v>
      </c>
      <c r="F2888" t="s">
        <v>6</v>
      </c>
      <c r="G2888" s="8">
        <f t="shared" ca="1" si="402"/>
        <v>783</v>
      </c>
      <c r="H2888">
        <f t="shared" si="403"/>
        <v>5</v>
      </c>
      <c r="I2888" t="str">
        <f t="shared" si="401"/>
        <v>Thursday</v>
      </c>
      <c r="L2888">
        <f t="shared" ca="1" si="404"/>
        <v>0</v>
      </c>
    </row>
    <row r="2889" spans="1:12" x14ac:dyDescent="0.25">
      <c r="A2889">
        <v>216622895</v>
      </c>
      <c r="B2889" s="1">
        <v>45155</v>
      </c>
      <c r="C2889" s="1">
        <f t="shared" ca="1" si="400"/>
        <v>45938</v>
      </c>
      <c r="D2889" t="s">
        <v>7</v>
      </c>
      <c r="E2889">
        <v>39</v>
      </c>
      <c r="F2889" t="s">
        <v>6</v>
      </c>
      <c r="G2889" s="8">
        <f t="shared" ca="1" si="402"/>
        <v>783</v>
      </c>
      <c r="H2889">
        <f t="shared" si="403"/>
        <v>5</v>
      </c>
      <c r="I2889" t="str">
        <f t="shared" si="401"/>
        <v>Thursday</v>
      </c>
      <c r="L2889">
        <f t="shared" ca="1" si="404"/>
        <v>0</v>
      </c>
    </row>
    <row r="2890" spans="1:12" x14ac:dyDescent="0.25">
      <c r="A2890">
        <v>153705354</v>
      </c>
      <c r="B2890" s="1">
        <v>45155</v>
      </c>
      <c r="C2890" s="1">
        <v>45155</v>
      </c>
      <c r="D2890" t="s">
        <v>7</v>
      </c>
      <c r="E2890">
        <v>39</v>
      </c>
      <c r="F2890" t="s">
        <v>6</v>
      </c>
      <c r="G2890" s="8">
        <f t="shared" si="402"/>
        <v>0</v>
      </c>
      <c r="H2890">
        <f t="shared" si="403"/>
        <v>5</v>
      </c>
      <c r="I2890" t="str">
        <f t="shared" si="401"/>
        <v>Thursday</v>
      </c>
      <c r="L2890">
        <f t="shared" si="404"/>
        <v>1</v>
      </c>
    </row>
    <row r="2891" spans="1:12" x14ac:dyDescent="0.25">
      <c r="A2891">
        <v>219280628</v>
      </c>
      <c r="B2891" s="1">
        <v>45155</v>
      </c>
      <c r="C2891" s="1">
        <v>45156</v>
      </c>
      <c r="D2891" t="s">
        <v>8</v>
      </c>
      <c r="E2891">
        <v>39</v>
      </c>
      <c r="F2891" t="s">
        <v>6</v>
      </c>
      <c r="G2891" s="8">
        <f t="shared" si="402"/>
        <v>1</v>
      </c>
      <c r="H2891">
        <f t="shared" si="403"/>
        <v>5</v>
      </c>
      <c r="I2891" t="str">
        <f t="shared" si="401"/>
        <v>Thursday</v>
      </c>
      <c r="L2891">
        <f t="shared" si="404"/>
        <v>1</v>
      </c>
    </row>
    <row r="2892" spans="1:12" x14ac:dyDescent="0.25">
      <c r="A2892">
        <v>220171290</v>
      </c>
      <c r="B2892" s="1">
        <v>45156</v>
      </c>
      <c r="C2892" s="1">
        <f t="shared" ref="C2892:C2898" ca="1" si="405">TODAY()</f>
        <v>45938</v>
      </c>
      <c r="D2892" t="s">
        <v>7</v>
      </c>
      <c r="E2892">
        <v>39</v>
      </c>
      <c r="F2892" t="s">
        <v>6</v>
      </c>
      <c r="G2892" s="8">
        <f t="shared" ca="1" si="402"/>
        <v>782</v>
      </c>
      <c r="H2892">
        <f t="shared" si="403"/>
        <v>6</v>
      </c>
      <c r="I2892" t="str">
        <f t="shared" si="401"/>
        <v>Friday</v>
      </c>
      <c r="L2892">
        <f t="shared" ca="1" si="404"/>
        <v>0</v>
      </c>
    </row>
    <row r="2893" spans="1:12" x14ac:dyDescent="0.25">
      <c r="A2893">
        <v>219553060</v>
      </c>
      <c r="B2893" s="1">
        <v>45156</v>
      </c>
      <c r="C2893" s="1">
        <f t="shared" ca="1" si="405"/>
        <v>45938</v>
      </c>
      <c r="D2893" t="s">
        <v>7</v>
      </c>
      <c r="E2893">
        <v>39</v>
      </c>
      <c r="F2893" t="s">
        <v>6</v>
      </c>
      <c r="G2893" s="8">
        <f t="shared" ca="1" si="402"/>
        <v>782</v>
      </c>
      <c r="H2893">
        <f t="shared" si="403"/>
        <v>6</v>
      </c>
      <c r="I2893" t="str">
        <f t="shared" si="401"/>
        <v>Friday</v>
      </c>
      <c r="L2893">
        <f t="shared" ca="1" si="404"/>
        <v>0</v>
      </c>
    </row>
    <row r="2894" spans="1:12" x14ac:dyDescent="0.25">
      <c r="A2894">
        <v>220244827</v>
      </c>
      <c r="B2894" s="1">
        <v>45156</v>
      </c>
      <c r="C2894" s="1">
        <f t="shared" ca="1" si="405"/>
        <v>45938</v>
      </c>
      <c r="D2894" t="s">
        <v>7</v>
      </c>
      <c r="E2894">
        <v>39</v>
      </c>
      <c r="F2894" t="s">
        <v>6</v>
      </c>
      <c r="G2894" s="8">
        <f t="shared" ca="1" si="402"/>
        <v>782</v>
      </c>
      <c r="H2894">
        <f t="shared" si="403"/>
        <v>6</v>
      </c>
      <c r="I2894" t="str">
        <f t="shared" si="401"/>
        <v>Friday</v>
      </c>
      <c r="L2894">
        <f t="shared" ca="1" si="404"/>
        <v>0</v>
      </c>
    </row>
    <row r="2895" spans="1:12" x14ac:dyDescent="0.25">
      <c r="A2895">
        <v>219612883</v>
      </c>
      <c r="B2895" s="1">
        <v>45156</v>
      </c>
      <c r="C2895" s="1">
        <f t="shared" ca="1" si="405"/>
        <v>45938</v>
      </c>
      <c r="D2895" t="s">
        <v>7</v>
      </c>
      <c r="E2895">
        <v>39</v>
      </c>
      <c r="F2895" t="s">
        <v>6</v>
      </c>
      <c r="G2895" s="8">
        <f t="shared" ca="1" si="402"/>
        <v>782</v>
      </c>
      <c r="H2895">
        <f t="shared" si="403"/>
        <v>6</v>
      </c>
      <c r="I2895" t="str">
        <f t="shared" si="401"/>
        <v>Friday</v>
      </c>
      <c r="L2895">
        <f t="shared" ca="1" si="404"/>
        <v>0</v>
      </c>
    </row>
    <row r="2896" spans="1:12" x14ac:dyDescent="0.25">
      <c r="A2896">
        <v>217914279</v>
      </c>
      <c r="B2896" s="1">
        <v>45156</v>
      </c>
      <c r="C2896" s="1">
        <f t="shared" ca="1" si="405"/>
        <v>45938</v>
      </c>
      <c r="D2896" t="s">
        <v>7</v>
      </c>
      <c r="E2896">
        <v>39</v>
      </c>
      <c r="F2896" t="s">
        <v>6</v>
      </c>
      <c r="G2896" s="8">
        <f t="shared" ca="1" si="402"/>
        <v>782</v>
      </c>
      <c r="H2896">
        <f t="shared" si="403"/>
        <v>6</v>
      </c>
      <c r="I2896" t="str">
        <f t="shared" si="401"/>
        <v>Friday</v>
      </c>
      <c r="L2896">
        <f t="shared" ca="1" si="404"/>
        <v>0</v>
      </c>
    </row>
    <row r="2897" spans="1:12" x14ac:dyDescent="0.25">
      <c r="A2897">
        <v>220171851</v>
      </c>
      <c r="B2897" s="1">
        <v>45156</v>
      </c>
      <c r="C2897" s="1">
        <f t="shared" ca="1" si="405"/>
        <v>45938</v>
      </c>
      <c r="D2897" t="s">
        <v>7</v>
      </c>
      <c r="E2897">
        <v>39</v>
      </c>
      <c r="F2897" t="s">
        <v>6</v>
      </c>
      <c r="G2897" s="8">
        <f t="shared" ca="1" si="402"/>
        <v>782</v>
      </c>
      <c r="H2897">
        <f t="shared" si="403"/>
        <v>6</v>
      </c>
      <c r="I2897" t="str">
        <f t="shared" si="401"/>
        <v>Friday</v>
      </c>
      <c r="L2897">
        <f t="shared" ca="1" si="404"/>
        <v>0</v>
      </c>
    </row>
    <row r="2898" spans="1:12" x14ac:dyDescent="0.25">
      <c r="A2898">
        <v>217543308</v>
      </c>
      <c r="B2898" s="1">
        <v>45156</v>
      </c>
      <c r="C2898" s="1">
        <f t="shared" ca="1" si="405"/>
        <v>45938</v>
      </c>
      <c r="D2898" t="s">
        <v>7</v>
      </c>
      <c r="E2898">
        <v>39</v>
      </c>
      <c r="F2898" t="s">
        <v>6</v>
      </c>
      <c r="G2898" s="8">
        <f t="shared" ca="1" si="402"/>
        <v>782</v>
      </c>
      <c r="H2898">
        <f t="shared" si="403"/>
        <v>6</v>
      </c>
      <c r="I2898" t="str">
        <f t="shared" si="401"/>
        <v>Friday</v>
      </c>
      <c r="L2898">
        <f t="shared" ca="1" si="404"/>
        <v>0</v>
      </c>
    </row>
    <row r="2899" spans="1:12" x14ac:dyDescent="0.25">
      <c r="A2899">
        <v>157008330</v>
      </c>
      <c r="B2899" s="1">
        <v>45156</v>
      </c>
      <c r="C2899" s="1">
        <v>45156</v>
      </c>
      <c r="D2899" t="s">
        <v>7</v>
      </c>
      <c r="E2899">
        <v>39</v>
      </c>
      <c r="F2899" t="s">
        <v>6</v>
      </c>
      <c r="G2899" s="8">
        <f t="shared" si="402"/>
        <v>0</v>
      </c>
      <c r="H2899">
        <f t="shared" si="403"/>
        <v>6</v>
      </c>
      <c r="I2899" t="str">
        <f t="shared" si="401"/>
        <v>Friday</v>
      </c>
      <c r="L2899">
        <f t="shared" si="404"/>
        <v>1</v>
      </c>
    </row>
    <row r="2900" spans="1:12" x14ac:dyDescent="0.25">
      <c r="A2900">
        <v>206063908</v>
      </c>
      <c r="B2900" s="1">
        <v>45156</v>
      </c>
      <c r="C2900" s="1">
        <v>45176</v>
      </c>
      <c r="D2900" t="s">
        <v>7</v>
      </c>
      <c r="E2900">
        <v>39</v>
      </c>
      <c r="F2900" t="s">
        <v>6</v>
      </c>
      <c r="G2900" s="8">
        <f t="shared" si="402"/>
        <v>20</v>
      </c>
      <c r="H2900">
        <f t="shared" si="403"/>
        <v>6</v>
      </c>
      <c r="I2900" t="str">
        <f t="shared" si="401"/>
        <v>Friday</v>
      </c>
      <c r="L2900">
        <f t="shared" si="404"/>
        <v>0</v>
      </c>
    </row>
    <row r="2901" spans="1:12" x14ac:dyDescent="0.25">
      <c r="A2901">
        <v>220182716</v>
      </c>
      <c r="B2901" s="1">
        <v>45156</v>
      </c>
      <c r="C2901" s="1">
        <v>45157</v>
      </c>
      <c r="D2901" t="s">
        <v>8</v>
      </c>
      <c r="E2901">
        <v>39</v>
      </c>
      <c r="F2901" t="s">
        <v>6</v>
      </c>
      <c r="G2901" s="8">
        <f t="shared" si="402"/>
        <v>1</v>
      </c>
      <c r="H2901">
        <f t="shared" si="403"/>
        <v>6</v>
      </c>
      <c r="I2901" t="str">
        <f t="shared" si="401"/>
        <v>Friday</v>
      </c>
      <c r="L2901">
        <f t="shared" si="404"/>
        <v>1</v>
      </c>
    </row>
    <row r="2902" spans="1:12" x14ac:dyDescent="0.25">
      <c r="A2902">
        <v>202103959</v>
      </c>
      <c r="B2902" s="1">
        <v>45157</v>
      </c>
      <c r="C2902" s="1">
        <f t="shared" ref="C2902:C2909" ca="1" si="406">TODAY()</f>
        <v>45938</v>
      </c>
      <c r="D2902" t="s">
        <v>7</v>
      </c>
      <c r="E2902">
        <v>39</v>
      </c>
      <c r="F2902" t="s">
        <v>6</v>
      </c>
      <c r="G2902" s="8">
        <f t="shared" ca="1" si="402"/>
        <v>781</v>
      </c>
      <c r="H2902">
        <f t="shared" si="403"/>
        <v>7</v>
      </c>
      <c r="I2902" t="str">
        <f t="shared" si="401"/>
        <v>Saturday</v>
      </c>
      <c r="L2902">
        <f t="shared" ca="1" si="404"/>
        <v>0</v>
      </c>
    </row>
    <row r="2903" spans="1:12" x14ac:dyDescent="0.25">
      <c r="A2903">
        <v>218757796</v>
      </c>
      <c r="B2903" s="1">
        <v>45157</v>
      </c>
      <c r="C2903" s="1">
        <f t="shared" ca="1" si="406"/>
        <v>45938</v>
      </c>
      <c r="D2903" t="s">
        <v>7</v>
      </c>
      <c r="E2903">
        <v>39</v>
      </c>
      <c r="F2903" t="s">
        <v>6</v>
      </c>
      <c r="G2903" s="8">
        <f t="shared" ca="1" si="402"/>
        <v>781</v>
      </c>
      <c r="H2903">
        <f t="shared" si="403"/>
        <v>7</v>
      </c>
      <c r="I2903" t="str">
        <f t="shared" si="401"/>
        <v>Saturday</v>
      </c>
      <c r="L2903">
        <f t="shared" ca="1" si="404"/>
        <v>0</v>
      </c>
    </row>
    <row r="2904" spans="1:12" x14ac:dyDescent="0.25">
      <c r="A2904">
        <v>220272556</v>
      </c>
      <c r="B2904" s="1">
        <v>45157</v>
      </c>
      <c r="C2904" s="1">
        <f t="shared" ca="1" si="406"/>
        <v>45938</v>
      </c>
      <c r="D2904" t="s">
        <v>7</v>
      </c>
      <c r="E2904">
        <v>39</v>
      </c>
      <c r="F2904" t="s">
        <v>6</v>
      </c>
      <c r="G2904" s="8">
        <f t="shared" ca="1" si="402"/>
        <v>781</v>
      </c>
      <c r="H2904">
        <f t="shared" si="403"/>
        <v>7</v>
      </c>
      <c r="I2904" t="str">
        <f t="shared" si="401"/>
        <v>Saturday</v>
      </c>
      <c r="L2904">
        <f t="shared" ca="1" si="404"/>
        <v>0</v>
      </c>
    </row>
    <row r="2905" spans="1:12" x14ac:dyDescent="0.25">
      <c r="A2905">
        <v>219493644</v>
      </c>
      <c r="B2905" s="1">
        <v>45157</v>
      </c>
      <c r="C2905" s="1">
        <f t="shared" ca="1" si="406"/>
        <v>45938</v>
      </c>
      <c r="D2905" t="s">
        <v>7</v>
      </c>
      <c r="E2905">
        <v>39</v>
      </c>
      <c r="F2905" t="s">
        <v>6</v>
      </c>
      <c r="G2905" s="8">
        <f t="shared" ca="1" si="402"/>
        <v>781</v>
      </c>
      <c r="H2905">
        <f t="shared" si="403"/>
        <v>7</v>
      </c>
      <c r="I2905" t="str">
        <f t="shared" si="401"/>
        <v>Saturday</v>
      </c>
      <c r="L2905">
        <f t="shared" ca="1" si="404"/>
        <v>0</v>
      </c>
    </row>
    <row r="2906" spans="1:12" x14ac:dyDescent="0.25">
      <c r="A2906">
        <v>148996798</v>
      </c>
      <c r="B2906" s="1">
        <v>45157</v>
      </c>
      <c r="C2906" s="1">
        <f t="shared" ca="1" si="406"/>
        <v>45938</v>
      </c>
      <c r="D2906" t="s">
        <v>7</v>
      </c>
      <c r="E2906">
        <v>39</v>
      </c>
      <c r="F2906" t="s">
        <v>6</v>
      </c>
      <c r="G2906" s="8">
        <f t="shared" ca="1" si="402"/>
        <v>781</v>
      </c>
      <c r="H2906">
        <f t="shared" si="403"/>
        <v>7</v>
      </c>
      <c r="I2906" t="str">
        <f t="shared" si="401"/>
        <v>Saturday</v>
      </c>
      <c r="L2906">
        <f t="shared" ca="1" si="404"/>
        <v>0</v>
      </c>
    </row>
    <row r="2907" spans="1:12" x14ac:dyDescent="0.25">
      <c r="A2907">
        <v>218947678</v>
      </c>
      <c r="B2907" s="1">
        <v>45157</v>
      </c>
      <c r="C2907" s="1">
        <f t="shared" ca="1" si="406"/>
        <v>45938</v>
      </c>
      <c r="D2907" t="s">
        <v>7</v>
      </c>
      <c r="E2907">
        <v>39</v>
      </c>
      <c r="F2907" t="s">
        <v>6</v>
      </c>
      <c r="G2907" s="8">
        <f t="shared" ca="1" si="402"/>
        <v>781</v>
      </c>
      <c r="H2907">
        <f t="shared" si="403"/>
        <v>7</v>
      </c>
      <c r="I2907" t="str">
        <f t="shared" si="401"/>
        <v>Saturday</v>
      </c>
      <c r="L2907">
        <f t="shared" ca="1" si="404"/>
        <v>0</v>
      </c>
    </row>
    <row r="2908" spans="1:12" x14ac:dyDescent="0.25">
      <c r="A2908">
        <v>119465934</v>
      </c>
      <c r="B2908" s="1">
        <v>45157</v>
      </c>
      <c r="C2908" s="1">
        <f t="shared" ca="1" si="406"/>
        <v>45938</v>
      </c>
      <c r="D2908" t="s">
        <v>7</v>
      </c>
      <c r="E2908">
        <v>39</v>
      </c>
      <c r="F2908" t="s">
        <v>6</v>
      </c>
      <c r="G2908" s="8">
        <f t="shared" ca="1" si="402"/>
        <v>781</v>
      </c>
      <c r="H2908">
        <f t="shared" si="403"/>
        <v>7</v>
      </c>
      <c r="I2908" t="str">
        <f t="shared" si="401"/>
        <v>Saturday</v>
      </c>
      <c r="L2908">
        <f t="shared" ca="1" si="404"/>
        <v>0</v>
      </c>
    </row>
    <row r="2909" spans="1:12" x14ac:dyDescent="0.25">
      <c r="A2909">
        <v>219195061</v>
      </c>
      <c r="B2909" s="1">
        <v>45157</v>
      </c>
      <c r="C2909" s="1">
        <f t="shared" ca="1" si="406"/>
        <v>45938</v>
      </c>
      <c r="D2909" t="s">
        <v>7</v>
      </c>
      <c r="E2909">
        <v>39</v>
      </c>
      <c r="F2909" t="s">
        <v>6</v>
      </c>
      <c r="G2909" s="8">
        <f t="shared" ca="1" si="402"/>
        <v>781</v>
      </c>
      <c r="H2909">
        <f t="shared" si="403"/>
        <v>7</v>
      </c>
      <c r="I2909" t="str">
        <f t="shared" si="401"/>
        <v>Saturday</v>
      </c>
      <c r="L2909">
        <f t="shared" ca="1" si="404"/>
        <v>0</v>
      </c>
    </row>
    <row r="2910" spans="1:12" x14ac:dyDescent="0.25">
      <c r="A2910">
        <v>219637590</v>
      </c>
      <c r="B2910" s="1">
        <v>45157</v>
      </c>
      <c r="C2910" s="1">
        <v>45163</v>
      </c>
      <c r="D2910" t="s">
        <v>7</v>
      </c>
      <c r="E2910">
        <v>39</v>
      </c>
      <c r="F2910" t="s">
        <v>6</v>
      </c>
      <c r="G2910" s="8">
        <f t="shared" si="402"/>
        <v>6</v>
      </c>
      <c r="H2910">
        <f t="shared" si="403"/>
        <v>7</v>
      </c>
      <c r="I2910" t="str">
        <f t="shared" si="401"/>
        <v>Saturday</v>
      </c>
      <c r="L2910">
        <f t="shared" si="404"/>
        <v>0</v>
      </c>
    </row>
    <row r="2911" spans="1:12" x14ac:dyDescent="0.25">
      <c r="A2911">
        <v>218878930</v>
      </c>
      <c r="B2911" s="1">
        <v>45158</v>
      </c>
      <c r="C2911" s="1">
        <f t="shared" ref="C2911:C2915" ca="1" si="407">TODAY()</f>
        <v>45938</v>
      </c>
      <c r="D2911" t="s">
        <v>7</v>
      </c>
      <c r="E2911">
        <v>39</v>
      </c>
      <c r="F2911" t="s">
        <v>6</v>
      </c>
      <c r="G2911" s="8">
        <f t="shared" ca="1" si="402"/>
        <v>780</v>
      </c>
      <c r="H2911">
        <f t="shared" si="403"/>
        <v>1</v>
      </c>
      <c r="I2911" t="str">
        <f t="shared" si="401"/>
        <v>Sunday</v>
      </c>
      <c r="L2911">
        <f t="shared" ca="1" si="404"/>
        <v>0</v>
      </c>
    </row>
    <row r="2912" spans="1:12" x14ac:dyDescent="0.25">
      <c r="A2912">
        <v>134622358</v>
      </c>
      <c r="B2912" s="1">
        <v>45158</v>
      </c>
      <c r="C2912" s="1">
        <f t="shared" ca="1" si="407"/>
        <v>45938</v>
      </c>
      <c r="D2912" t="s">
        <v>7</v>
      </c>
      <c r="E2912">
        <v>39</v>
      </c>
      <c r="F2912" t="s">
        <v>6</v>
      </c>
      <c r="G2912" s="8">
        <f t="shared" ca="1" si="402"/>
        <v>780</v>
      </c>
      <c r="H2912">
        <f t="shared" si="403"/>
        <v>1</v>
      </c>
      <c r="I2912" t="str">
        <f t="shared" si="401"/>
        <v>Sunday</v>
      </c>
      <c r="L2912">
        <f t="shared" ca="1" si="404"/>
        <v>0</v>
      </c>
    </row>
    <row r="2913" spans="1:12" x14ac:dyDescent="0.25">
      <c r="A2913">
        <v>219237524</v>
      </c>
      <c r="B2913" s="1">
        <v>45158</v>
      </c>
      <c r="C2913" s="1">
        <f t="shared" ca="1" si="407"/>
        <v>45938</v>
      </c>
      <c r="D2913" t="s">
        <v>7</v>
      </c>
      <c r="E2913">
        <v>39</v>
      </c>
      <c r="F2913" t="s">
        <v>6</v>
      </c>
      <c r="G2913" s="8">
        <f t="shared" ca="1" si="402"/>
        <v>780</v>
      </c>
      <c r="H2913">
        <f t="shared" si="403"/>
        <v>1</v>
      </c>
      <c r="I2913" t="str">
        <f t="shared" si="401"/>
        <v>Sunday</v>
      </c>
      <c r="L2913">
        <f t="shared" ca="1" si="404"/>
        <v>0</v>
      </c>
    </row>
    <row r="2914" spans="1:12" x14ac:dyDescent="0.25">
      <c r="A2914">
        <v>147320092</v>
      </c>
      <c r="B2914" s="1">
        <v>45158</v>
      </c>
      <c r="C2914" s="1">
        <f t="shared" ca="1" si="407"/>
        <v>45938</v>
      </c>
      <c r="D2914" t="s">
        <v>7</v>
      </c>
      <c r="E2914">
        <v>39</v>
      </c>
      <c r="F2914" t="s">
        <v>6</v>
      </c>
      <c r="G2914" s="8">
        <f t="shared" ca="1" si="402"/>
        <v>780</v>
      </c>
      <c r="H2914">
        <f t="shared" si="403"/>
        <v>1</v>
      </c>
      <c r="I2914" t="str">
        <f t="shared" si="401"/>
        <v>Sunday</v>
      </c>
      <c r="L2914">
        <f t="shared" ca="1" si="404"/>
        <v>0</v>
      </c>
    </row>
    <row r="2915" spans="1:12" x14ac:dyDescent="0.25">
      <c r="A2915">
        <v>219953886</v>
      </c>
      <c r="B2915" s="1">
        <v>45158</v>
      </c>
      <c r="C2915" s="1">
        <f t="shared" ca="1" si="407"/>
        <v>45938</v>
      </c>
      <c r="D2915" t="s">
        <v>7</v>
      </c>
      <c r="E2915">
        <v>39</v>
      </c>
      <c r="F2915" t="s">
        <v>6</v>
      </c>
      <c r="G2915" s="8">
        <f t="shared" ca="1" si="402"/>
        <v>780</v>
      </c>
      <c r="H2915">
        <f t="shared" si="403"/>
        <v>1</v>
      </c>
      <c r="I2915" t="str">
        <f t="shared" si="401"/>
        <v>Sunday</v>
      </c>
      <c r="L2915">
        <f t="shared" ca="1" si="404"/>
        <v>0</v>
      </c>
    </row>
    <row r="2916" spans="1:12" x14ac:dyDescent="0.25">
      <c r="A2916">
        <v>207013932</v>
      </c>
      <c r="B2916" s="1">
        <v>45158</v>
      </c>
      <c r="C2916" s="1">
        <v>45158</v>
      </c>
      <c r="D2916" t="s">
        <v>8</v>
      </c>
      <c r="E2916">
        <v>39</v>
      </c>
      <c r="F2916" t="s">
        <v>6</v>
      </c>
      <c r="G2916" s="8">
        <f t="shared" si="402"/>
        <v>0</v>
      </c>
      <c r="H2916">
        <f t="shared" si="403"/>
        <v>1</v>
      </c>
      <c r="I2916" t="str">
        <f t="shared" si="401"/>
        <v>Sunday</v>
      </c>
      <c r="L2916">
        <f t="shared" si="404"/>
        <v>1</v>
      </c>
    </row>
    <row r="2917" spans="1:12" x14ac:dyDescent="0.25">
      <c r="A2917">
        <v>205274562</v>
      </c>
      <c r="B2917" s="1">
        <v>45159</v>
      </c>
      <c r="C2917" s="1">
        <f t="shared" ref="C2917:C2926" ca="1" si="408">TODAY()</f>
        <v>45938</v>
      </c>
      <c r="D2917" t="s">
        <v>7</v>
      </c>
      <c r="E2917">
        <v>39</v>
      </c>
      <c r="F2917" t="s">
        <v>6</v>
      </c>
      <c r="G2917" s="8">
        <f t="shared" ca="1" si="402"/>
        <v>779</v>
      </c>
      <c r="H2917">
        <f t="shared" si="403"/>
        <v>2</v>
      </c>
      <c r="I2917" t="str">
        <f t="shared" si="401"/>
        <v>Monday</v>
      </c>
      <c r="L2917">
        <f t="shared" ca="1" si="404"/>
        <v>0</v>
      </c>
    </row>
    <row r="2918" spans="1:12" x14ac:dyDescent="0.25">
      <c r="A2918">
        <v>152698255</v>
      </c>
      <c r="B2918" s="1">
        <v>45159</v>
      </c>
      <c r="C2918" s="1">
        <f t="shared" ca="1" si="408"/>
        <v>45938</v>
      </c>
      <c r="D2918" t="s">
        <v>7</v>
      </c>
      <c r="E2918">
        <v>39</v>
      </c>
      <c r="F2918" t="s">
        <v>6</v>
      </c>
      <c r="G2918" s="8">
        <f t="shared" ca="1" si="402"/>
        <v>779</v>
      </c>
      <c r="H2918">
        <f t="shared" si="403"/>
        <v>2</v>
      </c>
      <c r="I2918" t="str">
        <f t="shared" si="401"/>
        <v>Monday</v>
      </c>
      <c r="L2918">
        <f t="shared" ca="1" si="404"/>
        <v>0</v>
      </c>
    </row>
    <row r="2919" spans="1:12" x14ac:dyDescent="0.25">
      <c r="A2919">
        <v>209361492</v>
      </c>
      <c r="B2919" s="1">
        <v>45159</v>
      </c>
      <c r="C2919" s="1">
        <f t="shared" ca="1" si="408"/>
        <v>45938</v>
      </c>
      <c r="D2919" t="s">
        <v>7</v>
      </c>
      <c r="E2919">
        <v>39</v>
      </c>
      <c r="F2919" t="s">
        <v>6</v>
      </c>
      <c r="G2919" s="8">
        <f t="shared" ca="1" si="402"/>
        <v>779</v>
      </c>
      <c r="H2919">
        <f t="shared" si="403"/>
        <v>2</v>
      </c>
      <c r="I2919" t="str">
        <f t="shared" si="401"/>
        <v>Monday</v>
      </c>
      <c r="L2919">
        <f t="shared" ca="1" si="404"/>
        <v>0</v>
      </c>
    </row>
    <row r="2920" spans="1:12" x14ac:dyDescent="0.25">
      <c r="A2920">
        <v>205530810</v>
      </c>
      <c r="B2920" s="1">
        <v>45159</v>
      </c>
      <c r="C2920" s="1">
        <f t="shared" ca="1" si="408"/>
        <v>45938</v>
      </c>
      <c r="D2920" t="s">
        <v>7</v>
      </c>
      <c r="E2920">
        <v>39</v>
      </c>
      <c r="F2920" t="s">
        <v>6</v>
      </c>
      <c r="G2920" s="8">
        <f t="shared" ca="1" si="402"/>
        <v>779</v>
      </c>
      <c r="H2920">
        <f t="shared" si="403"/>
        <v>2</v>
      </c>
      <c r="I2920" t="str">
        <f t="shared" si="401"/>
        <v>Monday</v>
      </c>
      <c r="L2920">
        <f t="shared" ca="1" si="404"/>
        <v>0</v>
      </c>
    </row>
    <row r="2921" spans="1:12" x14ac:dyDescent="0.25">
      <c r="A2921">
        <v>220343801</v>
      </c>
      <c r="B2921" s="1">
        <v>45159</v>
      </c>
      <c r="C2921" s="1">
        <f t="shared" ca="1" si="408"/>
        <v>45938</v>
      </c>
      <c r="D2921" t="s">
        <v>7</v>
      </c>
      <c r="E2921">
        <v>39</v>
      </c>
      <c r="F2921" t="s">
        <v>6</v>
      </c>
      <c r="G2921" s="8">
        <f t="shared" ca="1" si="402"/>
        <v>779</v>
      </c>
      <c r="H2921">
        <f t="shared" si="403"/>
        <v>2</v>
      </c>
      <c r="I2921" t="str">
        <f t="shared" si="401"/>
        <v>Monday</v>
      </c>
      <c r="L2921">
        <f t="shared" ca="1" si="404"/>
        <v>0</v>
      </c>
    </row>
    <row r="2922" spans="1:12" x14ac:dyDescent="0.25">
      <c r="A2922">
        <v>150441222</v>
      </c>
      <c r="B2922" s="1">
        <v>45159</v>
      </c>
      <c r="C2922" s="1">
        <f t="shared" ca="1" si="408"/>
        <v>45938</v>
      </c>
      <c r="D2922" t="s">
        <v>7</v>
      </c>
      <c r="E2922">
        <v>39</v>
      </c>
      <c r="F2922" t="s">
        <v>6</v>
      </c>
      <c r="G2922" s="8">
        <f t="shared" ca="1" si="402"/>
        <v>779</v>
      </c>
      <c r="H2922">
        <f t="shared" si="403"/>
        <v>2</v>
      </c>
      <c r="I2922" t="str">
        <f t="shared" si="401"/>
        <v>Monday</v>
      </c>
      <c r="L2922">
        <f t="shared" ca="1" si="404"/>
        <v>0</v>
      </c>
    </row>
    <row r="2923" spans="1:12" x14ac:dyDescent="0.25">
      <c r="A2923">
        <v>214640803</v>
      </c>
      <c r="B2923" s="1">
        <v>45159</v>
      </c>
      <c r="C2923" s="1">
        <f t="shared" ca="1" si="408"/>
        <v>45938</v>
      </c>
      <c r="D2923" t="s">
        <v>7</v>
      </c>
      <c r="E2923">
        <v>39</v>
      </c>
      <c r="F2923" t="s">
        <v>6</v>
      </c>
      <c r="G2923" s="8">
        <f t="shared" ca="1" si="402"/>
        <v>779</v>
      </c>
      <c r="H2923">
        <f t="shared" si="403"/>
        <v>2</v>
      </c>
      <c r="I2923" t="str">
        <f t="shared" si="401"/>
        <v>Monday</v>
      </c>
      <c r="L2923">
        <f t="shared" ca="1" si="404"/>
        <v>0</v>
      </c>
    </row>
    <row r="2924" spans="1:12" x14ac:dyDescent="0.25">
      <c r="A2924">
        <v>219569853</v>
      </c>
      <c r="B2924" s="1">
        <v>45159</v>
      </c>
      <c r="C2924" s="1">
        <f t="shared" ca="1" si="408"/>
        <v>45938</v>
      </c>
      <c r="D2924" t="s">
        <v>7</v>
      </c>
      <c r="E2924">
        <v>39</v>
      </c>
      <c r="F2924" t="s">
        <v>6</v>
      </c>
      <c r="G2924" s="8">
        <f t="shared" ca="1" si="402"/>
        <v>779</v>
      </c>
      <c r="H2924">
        <f t="shared" si="403"/>
        <v>2</v>
      </c>
      <c r="I2924" t="str">
        <f t="shared" si="401"/>
        <v>Monday</v>
      </c>
      <c r="L2924">
        <f t="shared" ca="1" si="404"/>
        <v>0</v>
      </c>
    </row>
    <row r="2925" spans="1:12" x14ac:dyDescent="0.25">
      <c r="A2925">
        <v>220197494</v>
      </c>
      <c r="B2925" s="1">
        <v>45159</v>
      </c>
      <c r="C2925" s="1">
        <f t="shared" ca="1" si="408"/>
        <v>45938</v>
      </c>
      <c r="D2925" t="s">
        <v>7</v>
      </c>
      <c r="E2925">
        <v>39</v>
      </c>
      <c r="F2925" t="s">
        <v>6</v>
      </c>
      <c r="G2925" s="8">
        <f t="shared" ca="1" si="402"/>
        <v>779</v>
      </c>
      <c r="H2925">
        <f t="shared" si="403"/>
        <v>2</v>
      </c>
      <c r="I2925" t="str">
        <f t="shared" si="401"/>
        <v>Monday</v>
      </c>
      <c r="L2925">
        <f t="shared" ca="1" si="404"/>
        <v>0</v>
      </c>
    </row>
    <row r="2926" spans="1:12" x14ac:dyDescent="0.25">
      <c r="A2926">
        <v>220323698</v>
      </c>
      <c r="B2926" s="1">
        <v>45159</v>
      </c>
      <c r="C2926" s="1">
        <f t="shared" ca="1" si="408"/>
        <v>45938</v>
      </c>
      <c r="D2926" t="s">
        <v>7</v>
      </c>
      <c r="E2926">
        <v>39</v>
      </c>
      <c r="F2926" t="s">
        <v>6</v>
      </c>
      <c r="G2926" s="8">
        <f t="shared" ca="1" si="402"/>
        <v>779</v>
      </c>
      <c r="H2926">
        <f t="shared" si="403"/>
        <v>2</v>
      </c>
      <c r="I2926" t="str">
        <f t="shared" si="401"/>
        <v>Monday</v>
      </c>
      <c r="L2926">
        <f t="shared" ca="1" si="404"/>
        <v>0</v>
      </c>
    </row>
    <row r="2927" spans="1:12" x14ac:dyDescent="0.25">
      <c r="A2927">
        <v>215180470</v>
      </c>
      <c r="B2927" s="1">
        <v>45159</v>
      </c>
      <c r="C2927" s="1">
        <v>45159</v>
      </c>
      <c r="D2927" t="s">
        <v>7</v>
      </c>
      <c r="E2927">
        <v>39</v>
      </c>
      <c r="F2927" t="s">
        <v>6</v>
      </c>
      <c r="G2927" s="8">
        <f t="shared" si="402"/>
        <v>0</v>
      </c>
      <c r="H2927">
        <f t="shared" si="403"/>
        <v>2</v>
      </c>
      <c r="I2927" t="str">
        <f t="shared" si="401"/>
        <v>Monday</v>
      </c>
      <c r="L2927">
        <f t="shared" si="404"/>
        <v>1</v>
      </c>
    </row>
    <row r="2928" spans="1:12" x14ac:dyDescent="0.25">
      <c r="A2928">
        <v>177323966</v>
      </c>
      <c r="B2928" s="1">
        <v>45159</v>
      </c>
      <c r="C2928" s="1">
        <v>45166</v>
      </c>
      <c r="D2928" t="s">
        <v>7</v>
      </c>
      <c r="E2928">
        <v>39</v>
      </c>
      <c r="F2928" t="s">
        <v>6</v>
      </c>
      <c r="G2928" s="8">
        <f t="shared" si="402"/>
        <v>7</v>
      </c>
      <c r="H2928">
        <f t="shared" si="403"/>
        <v>2</v>
      </c>
      <c r="I2928" t="str">
        <f t="shared" si="401"/>
        <v>Monday</v>
      </c>
      <c r="L2928">
        <f t="shared" si="404"/>
        <v>0</v>
      </c>
    </row>
    <row r="2929" spans="1:12" x14ac:dyDescent="0.25">
      <c r="A2929">
        <v>214682826</v>
      </c>
      <c r="B2929" s="1">
        <v>45159</v>
      </c>
      <c r="C2929" s="1">
        <v>45160</v>
      </c>
      <c r="D2929" t="s">
        <v>7</v>
      </c>
      <c r="E2929">
        <v>39</v>
      </c>
      <c r="F2929" t="s">
        <v>6</v>
      </c>
      <c r="G2929" s="8">
        <f t="shared" si="402"/>
        <v>1</v>
      </c>
      <c r="H2929">
        <f t="shared" si="403"/>
        <v>2</v>
      </c>
      <c r="I2929" t="str">
        <f t="shared" si="401"/>
        <v>Monday</v>
      </c>
      <c r="L2929">
        <f t="shared" si="404"/>
        <v>1</v>
      </c>
    </row>
    <row r="2930" spans="1:12" x14ac:dyDescent="0.25">
      <c r="A2930">
        <v>220414820</v>
      </c>
      <c r="B2930" s="1">
        <v>45160</v>
      </c>
      <c r="C2930" s="1">
        <f t="shared" ref="C2930:C2939" ca="1" si="409">TODAY()</f>
        <v>45938</v>
      </c>
      <c r="D2930" t="s">
        <v>7</v>
      </c>
      <c r="E2930">
        <v>39</v>
      </c>
      <c r="F2930" t="s">
        <v>6</v>
      </c>
      <c r="G2930" s="8">
        <f t="shared" ca="1" si="402"/>
        <v>778</v>
      </c>
      <c r="H2930">
        <f t="shared" si="403"/>
        <v>3</v>
      </c>
      <c r="I2930" t="str">
        <f t="shared" si="401"/>
        <v>Tuesday</v>
      </c>
      <c r="L2930">
        <f t="shared" ca="1" si="404"/>
        <v>0</v>
      </c>
    </row>
    <row r="2931" spans="1:12" x14ac:dyDescent="0.25">
      <c r="A2931">
        <v>214682826</v>
      </c>
      <c r="B2931" s="1">
        <v>45160</v>
      </c>
      <c r="C2931" s="1">
        <f t="shared" ca="1" si="409"/>
        <v>45938</v>
      </c>
      <c r="D2931" t="s">
        <v>7</v>
      </c>
      <c r="E2931">
        <v>39</v>
      </c>
      <c r="F2931" t="s">
        <v>6</v>
      </c>
      <c r="G2931" s="8">
        <f t="shared" ca="1" si="402"/>
        <v>778</v>
      </c>
      <c r="H2931">
        <f t="shared" si="403"/>
        <v>3</v>
      </c>
      <c r="I2931" t="str">
        <f t="shared" si="401"/>
        <v>Tuesday</v>
      </c>
      <c r="L2931">
        <f t="shared" ca="1" si="404"/>
        <v>0</v>
      </c>
    </row>
    <row r="2932" spans="1:12" x14ac:dyDescent="0.25">
      <c r="A2932">
        <v>206147500</v>
      </c>
      <c r="B2932" s="1">
        <v>45160</v>
      </c>
      <c r="C2932" s="1">
        <f t="shared" ca="1" si="409"/>
        <v>45938</v>
      </c>
      <c r="D2932" t="s">
        <v>7</v>
      </c>
      <c r="E2932">
        <v>39</v>
      </c>
      <c r="F2932" t="s">
        <v>6</v>
      </c>
      <c r="G2932" s="8">
        <f t="shared" ca="1" si="402"/>
        <v>778</v>
      </c>
      <c r="H2932">
        <f t="shared" si="403"/>
        <v>3</v>
      </c>
      <c r="I2932" t="str">
        <f t="shared" si="401"/>
        <v>Tuesday</v>
      </c>
      <c r="L2932">
        <f t="shared" ca="1" si="404"/>
        <v>0</v>
      </c>
    </row>
    <row r="2933" spans="1:12" x14ac:dyDescent="0.25">
      <c r="A2933">
        <v>220402308</v>
      </c>
      <c r="B2933" s="1">
        <v>45160</v>
      </c>
      <c r="C2933" s="1">
        <f t="shared" ca="1" si="409"/>
        <v>45938</v>
      </c>
      <c r="D2933" t="s">
        <v>7</v>
      </c>
      <c r="E2933">
        <v>39</v>
      </c>
      <c r="F2933" t="s">
        <v>6</v>
      </c>
      <c r="G2933" s="8">
        <f t="shared" ca="1" si="402"/>
        <v>778</v>
      </c>
      <c r="H2933">
        <f t="shared" si="403"/>
        <v>3</v>
      </c>
      <c r="I2933" t="str">
        <f t="shared" si="401"/>
        <v>Tuesday</v>
      </c>
      <c r="L2933">
        <f t="shared" ca="1" si="404"/>
        <v>0</v>
      </c>
    </row>
    <row r="2934" spans="1:12" x14ac:dyDescent="0.25">
      <c r="A2934">
        <v>220205806</v>
      </c>
      <c r="B2934" s="1">
        <v>45160</v>
      </c>
      <c r="C2934" s="1">
        <f t="shared" ca="1" si="409"/>
        <v>45938</v>
      </c>
      <c r="D2934" t="s">
        <v>7</v>
      </c>
      <c r="E2934">
        <v>39</v>
      </c>
      <c r="F2934" t="s">
        <v>6</v>
      </c>
      <c r="G2934" s="8">
        <f t="shared" ca="1" si="402"/>
        <v>778</v>
      </c>
      <c r="H2934">
        <f t="shared" si="403"/>
        <v>3</v>
      </c>
      <c r="I2934" t="str">
        <f t="shared" si="401"/>
        <v>Tuesday</v>
      </c>
      <c r="L2934">
        <f t="shared" ca="1" si="404"/>
        <v>0</v>
      </c>
    </row>
    <row r="2935" spans="1:12" x14ac:dyDescent="0.25">
      <c r="A2935">
        <v>152792045</v>
      </c>
      <c r="B2935" s="1">
        <v>45160</v>
      </c>
      <c r="C2935" s="1">
        <f t="shared" ca="1" si="409"/>
        <v>45938</v>
      </c>
      <c r="D2935" t="s">
        <v>7</v>
      </c>
      <c r="E2935">
        <v>39</v>
      </c>
      <c r="F2935" t="s">
        <v>6</v>
      </c>
      <c r="G2935" s="8">
        <f t="shared" ca="1" si="402"/>
        <v>778</v>
      </c>
      <c r="H2935">
        <f t="shared" si="403"/>
        <v>3</v>
      </c>
      <c r="I2935" t="str">
        <f t="shared" si="401"/>
        <v>Tuesday</v>
      </c>
      <c r="L2935">
        <f t="shared" ca="1" si="404"/>
        <v>0</v>
      </c>
    </row>
    <row r="2936" spans="1:12" x14ac:dyDescent="0.25">
      <c r="A2936">
        <v>220381016</v>
      </c>
      <c r="B2936" s="1">
        <v>45160</v>
      </c>
      <c r="C2936" s="1">
        <f t="shared" ca="1" si="409"/>
        <v>45938</v>
      </c>
      <c r="D2936" t="s">
        <v>7</v>
      </c>
      <c r="E2936">
        <v>39</v>
      </c>
      <c r="F2936" t="s">
        <v>6</v>
      </c>
      <c r="G2936" s="8">
        <f t="shared" ca="1" si="402"/>
        <v>778</v>
      </c>
      <c r="H2936">
        <f t="shared" si="403"/>
        <v>3</v>
      </c>
      <c r="I2936" t="str">
        <f t="shared" si="401"/>
        <v>Tuesday</v>
      </c>
      <c r="L2936">
        <f t="shared" ca="1" si="404"/>
        <v>0</v>
      </c>
    </row>
    <row r="2937" spans="1:12" x14ac:dyDescent="0.25">
      <c r="A2937">
        <v>220385078</v>
      </c>
      <c r="B2937" s="1">
        <v>45160</v>
      </c>
      <c r="C2937" s="1">
        <f t="shared" ca="1" si="409"/>
        <v>45938</v>
      </c>
      <c r="D2937" t="s">
        <v>7</v>
      </c>
      <c r="E2937">
        <v>39</v>
      </c>
      <c r="F2937" t="s">
        <v>6</v>
      </c>
      <c r="G2937" s="8">
        <f t="shared" ca="1" si="402"/>
        <v>778</v>
      </c>
      <c r="H2937">
        <f t="shared" si="403"/>
        <v>3</v>
      </c>
      <c r="I2937" t="str">
        <f t="shared" si="401"/>
        <v>Tuesday</v>
      </c>
      <c r="L2937">
        <f t="shared" ca="1" si="404"/>
        <v>0</v>
      </c>
    </row>
    <row r="2938" spans="1:12" x14ac:dyDescent="0.25">
      <c r="A2938">
        <v>220414853</v>
      </c>
      <c r="B2938" s="1">
        <v>45160</v>
      </c>
      <c r="C2938" s="1">
        <f t="shared" ca="1" si="409"/>
        <v>45938</v>
      </c>
      <c r="D2938" t="s">
        <v>7</v>
      </c>
      <c r="E2938">
        <v>39</v>
      </c>
      <c r="F2938" t="s">
        <v>6</v>
      </c>
      <c r="G2938" s="8">
        <f t="shared" ca="1" si="402"/>
        <v>778</v>
      </c>
      <c r="H2938">
        <f t="shared" si="403"/>
        <v>3</v>
      </c>
      <c r="I2938" t="str">
        <f t="shared" si="401"/>
        <v>Tuesday</v>
      </c>
      <c r="L2938">
        <f t="shared" ca="1" si="404"/>
        <v>0</v>
      </c>
    </row>
    <row r="2939" spans="1:12" x14ac:dyDescent="0.25">
      <c r="A2939">
        <v>220366524</v>
      </c>
      <c r="B2939" s="1">
        <v>45160</v>
      </c>
      <c r="C2939" s="1">
        <f t="shared" ca="1" si="409"/>
        <v>45938</v>
      </c>
      <c r="D2939" t="s">
        <v>7</v>
      </c>
      <c r="E2939">
        <v>39</v>
      </c>
      <c r="F2939" t="s">
        <v>6</v>
      </c>
      <c r="G2939" s="8">
        <f t="shared" ca="1" si="402"/>
        <v>778</v>
      </c>
      <c r="H2939">
        <f t="shared" si="403"/>
        <v>3</v>
      </c>
      <c r="I2939" t="str">
        <f t="shared" si="401"/>
        <v>Tuesday</v>
      </c>
      <c r="L2939">
        <f t="shared" ca="1" si="404"/>
        <v>0</v>
      </c>
    </row>
    <row r="2940" spans="1:12" x14ac:dyDescent="0.25">
      <c r="A2940">
        <v>220407436</v>
      </c>
      <c r="B2940" s="1">
        <v>45160</v>
      </c>
      <c r="C2940" s="1">
        <v>45161</v>
      </c>
      <c r="D2940" t="s">
        <v>8</v>
      </c>
      <c r="E2940">
        <v>39</v>
      </c>
      <c r="F2940" t="s">
        <v>6</v>
      </c>
      <c r="G2940" s="8">
        <f t="shared" si="402"/>
        <v>1</v>
      </c>
      <c r="H2940">
        <f t="shared" si="403"/>
        <v>3</v>
      </c>
      <c r="I2940" t="str">
        <f t="shared" si="401"/>
        <v>Tuesday</v>
      </c>
      <c r="L2940">
        <f t="shared" si="404"/>
        <v>1</v>
      </c>
    </row>
    <row r="2941" spans="1:12" x14ac:dyDescent="0.25">
      <c r="A2941">
        <v>192182455</v>
      </c>
      <c r="B2941" s="1">
        <v>45161</v>
      </c>
      <c r="C2941" s="1">
        <f t="shared" ref="C2941:C2954" ca="1" si="410">TODAY()</f>
        <v>45938</v>
      </c>
      <c r="D2941" t="s">
        <v>7</v>
      </c>
      <c r="E2941">
        <v>39</v>
      </c>
      <c r="F2941" t="s">
        <v>6</v>
      </c>
      <c r="G2941" s="8">
        <f t="shared" ca="1" si="402"/>
        <v>777</v>
      </c>
      <c r="H2941">
        <f t="shared" si="403"/>
        <v>4</v>
      </c>
      <c r="I2941" t="str">
        <f t="shared" si="401"/>
        <v>Wednesday</v>
      </c>
      <c r="L2941">
        <f t="shared" ca="1" si="404"/>
        <v>0</v>
      </c>
    </row>
    <row r="2942" spans="1:12" x14ac:dyDescent="0.25">
      <c r="A2942">
        <v>219439597</v>
      </c>
      <c r="B2942" s="1">
        <v>45161</v>
      </c>
      <c r="C2942" s="1">
        <f t="shared" ca="1" si="410"/>
        <v>45938</v>
      </c>
      <c r="D2942" t="s">
        <v>7</v>
      </c>
      <c r="E2942">
        <v>39</v>
      </c>
      <c r="F2942" t="s">
        <v>6</v>
      </c>
      <c r="G2942" s="8">
        <f t="shared" ca="1" si="402"/>
        <v>777</v>
      </c>
      <c r="H2942">
        <f t="shared" si="403"/>
        <v>4</v>
      </c>
      <c r="I2942" t="str">
        <f t="shared" si="401"/>
        <v>Wednesday</v>
      </c>
      <c r="L2942">
        <f t="shared" ca="1" si="404"/>
        <v>0</v>
      </c>
    </row>
    <row r="2943" spans="1:12" x14ac:dyDescent="0.25">
      <c r="A2943">
        <v>219576812</v>
      </c>
      <c r="B2943" s="1">
        <v>45161</v>
      </c>
      <c r="C2943" s="1">
        <f t="shared" ca="1" si="410"/>
        <v>45938</v>
      </c>
      <c r="D2943" t="s">
        <v>7</v>
      </c>
      <c r="E2943">
        <v>39</v>
      </c>
      <c r="F2943" t="s">
        <v>6</v>
      </c>
      <c r="G2943" s="8">
        <f t="shared" ca="1" si="402"/>
        <v>777</v>
      </c>
      <c r="H2943">
        <f t="shared" si="403"/>
        <v>4</v>
      </c>
      <c r="I2943" t="str">
        <f t="shared" si="401"/>
        <v>Wednesday</v>
      </c>
      <c r="L2943">
        <f t="shared" ca="1" si="404"/>
        <v>0</v>
      </c>
    </row>
    <row r="2944" spans="1:12" x14ac:dyDescent="0.25">
      <c r="A2944">
        <v>143111905</v>
      </c>
      <c r="B2944" s="1">
        <v>45161</v>
      </c>
      <c r="C2944" s="1">
        <f t="shared" ca="1" si="410"/>
        <v>45938</v>
      </c>
      <c r="D2944" t="s">
        <v>7</v>
      </c>
      <c r="E2944">
        <v>39</v>
      </c>
      <c r="F2944" t="s">
        <v>6</v>
      </c>
      <c r="G2944" s="8">
        <f t="shared" ca="1" si="402"/>
        <v>777</v>
      </c>
      <c r="H2944">
        <f t="shared" si="403"/>
        <v>4</v>
      </c>
      <c r="I2944" t="str">
        <f t="shared" si="401"/>
        <v>Wednesday</v>
      </c>
      <c r="L2944">
        <f t="shared" ca="1" si="404"/>
        <v>0</v>
      </c>
    </row>
    <row r="2945" spans="1:12" x14ac:dyDescent="0.25">
      <c r="A2945">
        <v>123297208</v>
      </c>
      <c r="B2945" s="1">
        <v>45161</v>
      </c>
      <c r="C2945" s="1">
        <f t="shared" ca="1" si="410"/>
        <v>45938</v>
      </c>
      <c r="D2945" t="s">
        <v>7</v>
      </c>
      <c r="E2945">
        <v>39</v>
      </c>
      <c r="F2945" t="s">
        <v>6</v>
      </c>
      <c r="G2945" s="8">
        <f t="shared" ca="1" si="402"/>
        <v>777</v>
      </c>
      <c r="H2945">
        <f t="shared" si="403"/>
        <v>4</v>
      </c>
      <c r="I2945" t="str">
        <f t="shared" si="401"/>
        <v>Wednesday</v>
      </c>
      <c r="L2945">
        <f t="shared" ca="1" si="404"/>
        <v>0</v>
      </c>
    </row>
    <row r="2946" spans="1:12" x14ac:dyDescent="0.25">
      <c r="A2946">
        <v>213194584</v>
      </c>
      <c r="B2946" s="1">
        <v>45161</v>
      </c>
      <c r="C2946" s="1">
        <f t="shared" ca="1" si="410"/>
        <v>45938</v>
      </c>
      <c r="D2946" t="s">
        <v>7</v>
      </c>
      <c r="E2946">
        <v>39</v>
      </c>
      <c r="F2946" t="s">
        <v>6</v>
      </c>
      <c r="G2946" s="8">
        <f t="shared" ca="1" si="402"/>
        <v>777</v>
      </c>
      <c r="H2946">
        <f t="shared" si="403"/>
        <v>4</v>
      </c>
      <c r="I2946" t="str">
        <f t="shared" ref="I2946:I3009" si="411">TEXT(B2946,"DDDD")</f>
        <v>Wednesday</v>
      </c>
      <c r="L2946">
        <f t="shared" ca="1" si="404"/>
        <v>0</v>
      </c>
    </row>
    <row r="2947" spans="1:12" x14ac:dyDescent="0.25">
      <c r="A2947">
        <v>220455205</v>
      </c>
      <c r="B2947" s="1">
        <v>45161</v>
      </c>
      <c r="C2947" s="1">
        <f t="shared" ca="1" si="410"/>
        <v>45938</v>
      </c>
      <c r="D2947" t="s">
        <v>7</v>
      </c>
      <c r="E2947">
        <v>39</v>
      </c>
      <c r="F2947" t="s">
        <v>6</v>
      </c>
      <c r="G2947" s="8">
        <f t="shared" ref="G2947:G3010" ca="1" si="412">IFERROR(DATEDIF(B2947,C2947,"D"),"0")</f>
        <v>777</v>
      </c>
      <c r="H2947">
        <f t="shared" ref="H2947:H3010" si="413">WEEKDAY(B2947,1)</f>
        <v>4</v>
      </c>
      <c r="I2947" t="str">
        <f t="shared" si="411"/>
        <v>Wednesday</v>
      </c>
      <c r="L2947">
        <f t="shared" ref="L2947:L3010" ca="1" si="414">IF( OR($G2947=0,$G2947 = 1, $G2947 = 2), 1, 0 )</f>
        <v>0</v>
      </c>
    </row>
    <row r="2948" spans="1:12" x14ac:dyDescent="0.25">
      <c r="A2948">
        <v>220425056</v>
      </c>
      <c r="B2948" s="1">
        <v>45161</v>
      </c>
      <c r="C2948" s="1">
        <f t="shared" ca="1" si="410"/>
        <v>45938</v>
      </c>
      <c r="D2948" t="s">
        <v>7</v>
      </c>
      <c r="E2948">
        <v>39</v>
      </c>
      <c r="F2948" t="s">
        <v>6</v>
      </c>
      <c r="G2948" s="8">
        <f t="shared" ca="1" si="412"/>
        <v>777</v>
      </c>
      <c r="H2948">
        <f t="shared" si="413"/>
        <v>4</v>
      </c>
      <c r="I2948" t="str">
        <f t="shared" si="411"/>
        <v>Wednesday</v>
      </c>
      <c r="L2948">
        <f t="shared" ca="1" si="414"/>
        <v>0</v>
      </c>
    </row>
    <row r="2949" spans="1:12" x14ac:dyDescent="0.25">
      <c r="A2949">
        <v>219685108</v>
      </c>
      <c r="B2949" s="1">
        <v>45161</v>
      </c>
      <c r="C2949" s="1">
        <f t="shared" ca="1" si="410"/>
        <v>45938</v>
      </c>
      <c r="D2949" t="s">
        <v>7</v>
      </c>
      <c r="E2949">
        <v>39</v>
      </c>
      <c r="F2949" t="s">
        <v>6</v>
      </c>
      <c r="G2949" s="8">
        <f t="shared" ca="1" si="412"/>
        <v>777</v>
      </c>
      <c r="H2949">
        <f t="shared" si="413"/>
        <v>4</v>
      </c>
      <c r="I2949" t="str">
        <f t="shared" si="411"/>
        <v>Wednesday</v>
      </c>
      <c r="L2949">
        <f t="shared" ca="1" si="414"/>
        <v>0</v>
      </c>
    </row>
    <row r="2950" spans="1:12" x14ac:dyDescent="0.25">
      <c r="A2950">
        <v>220531090</v>
      </c>
      <c r="B2950" s="1">
        <v>45162</v>
      </c>
      <c r="C2950" s="1">
        <f t="shared" ca="1" si="410"/>
        <v>45938</v>
      </c>
      <c r="D2950" t="s">
        <v>7</v>
      </c>
      <c r="E2950">
        <v>39</v>
      </c>
      <c r="F2950" t="s">
        <v>6</v>
      </c>
      <c r="G2950" s="8">
        <f t="shared" ca="1" si="412"/>
        <v>776</v>
      </c>
      <c r="H2950">
        <f t="shared" si="413"/>
        <v>5</v>
      </c>
      <c r="I2950" t="str">
        <f t="shared" si="411"/>
        <v>Thursday</v>
      </c>
      <c r="L2950">
        <f t="shared" ca="1" si="414"/>
        <v>0</v>
      </c>
    </row>
    <row r="2951" spans="1:12" x14ac:dyDescent="0.25">
      <c r="A2951">
        <v>220510482</v>
      </c>
      <c r="B2951" s="1">
        <v>45162</v>
      </c>
      <c r="C2951" s="1">
        <f t="shared" ca="1" si="410"/>
        <v>45938</v>
      </c>
      <c r="D2951" t="s">
        <v>7</v>
      </c>
      <c r="E2951">
        <v>39</v>
      </c>
      <c r="F2951" t="s">
        <v>6</v>
      </c>
      <c r="G2951" s="8">
        <f t="shared" ca="1" si="412"/>
        <v>776</v>
      </c>
      <c r="H2951">
        <f t="shared" si="413"/>
        <v>5</v>
      </c>
      <c r="I2951" t="str">
        <f t="shared" si="411"/>
        <v>Thursday</v>
      </c>
      <c r="L2951">
        <f t="shared" ca="1" si="414"/>
        <v>0</v>
      </c>
    </row>
    <row r="2952" spans="1:12" x14ac:dyDescent="0.25">
      <c r="A2952">
        <v>149856123</v>
      </c>
      <c r="B2952" s="1">
        <v>45162</v>
      </c>
      <c r="C2952" s="1">
        <f t="shared" ca="1" si="410"/>
        <v>45938</v>
      </c>
      <c r="D2952" t="s">
        <v>7</v>
      </c>
      <c r="E2952">
        <v>39</v>
      </c>
      <c r="F2952" t="s">
        <v>6</v>
      </c>
      <c r="G2952" s="8">
        <f t="shared" ca="1" si="412"/>
        <v>776</v>
      </c>
      <c r="H2952">
        <f t="shared" si="413"/>
        <v>5</v>
      </c>
      <c r="I2952" t="str">
        <f t="shared" si="411"/>
        <v>Thursday</v>
      </c>
      <c r="L2952">
        <f t="shared" ca="1" si="414"/>
        <v>0</v>
      </c>
    </row>
    <row r="2953" spans="1:12" x14ac:dyDescent="0.25">
      <c r="A2953">
        <v>217506938</v>
      </c>
      <c r="B2953" s="1">
        <v>45162</v>
      </c>
      <c r="C2953" s="1">
        <f t="shared" ca="1" si="410"/>
        <v>45938</v>
      </c>
      <c r="D2953" t="s">
        <v>7</v>
      </c>
      <c r="E2953">
        <v>39</v>
      </c>
      <c r="F2953" t="s">
        <v>6</v>
      </c>
      <c r="G2953" s="8">
        <f t="shared" ca="1" si="412"/>
        <v>776</v>
      </c>
      <c r="H2953">
        <f t="shared" si="413"/>
        <v>5</v>
      </c>
      <c r="I2953" t="str">
        <f t="shared" si="411"/>
        <v>Thursday</v>
      </c>
      <c r="L2953">
        <f t="shared" ca="1" si="414"/>
        <v>0</v>
      </c>
    </row>
    <row r="2954" spans="1:12" x14ac:dyDescent="0.25">
      <c r="A2954">
        <v>189403535</v>
      </c>
      <c r="B2954" s="1">
        <v>45162</v>
      </c>
      <c r="C2954" s="1">
        <f t="shared" ca="1" si="410"/>
        <v>45938</v>
      </c>
      <c r="D2954" t="s">
        <v>7</v>
      </c>
      <c r="E2954">
        <v>39</v>
      </c>
      <c r="F2954" t="s">
        <v>6</v>
      </c>
      <c r="G2954" s="8">
        <f t="shared" ca="1" si="412"/>
        <v>776</v>
      </c>
      <c r="H2954">
        <f t="shared" si="413"/>
        <v>5</v>
      </c>
      <c r="I2954" t="str">
        <f t="shared" si="411"/>
        <v>Thursday</v>
      </c>
      <c r="L2954">
        <f t="shared" ca="1" si="414"/>
        <v>0</v>
      </c>
    </row>
    <row r="2955" spans="1:12" x14ac:dyDescent="0.25">
      <c r="A2955">
        <v>132318451</v>
      </c>
      <c r="B2955" s="1">
        <v>45162</v>
      </c>
      <c r="C2955" s="1">
        <v>45163</v>
      </c>
      <c r="D2955" t="s">
        <v>7</v>
      </c>
      <c r="E2955">
        <v>39</v>
      </c>
      <c r="F2955" t="s">
        <v>6</v>
      </c>
      <c r="G2955" s="8">
        <f t="shared" si="412"/>
        <v>1</v>
      </c>
      <c r="H2955">
        <f t="shared" si="413"/>
        <v>5</v>
      </c>
      <c r="I2955" t="str">
        <f t="shared" si="411"/>
        <v>Thursday</v>
      </c>
      <c r="L2955">
        <f t="shared" si="414"/>
        <v>1</v>
      </c>
    </row>
    <row r="2956" spans="1:12" x14ac:dyDescent="0.25">
      <c r="A2956">
        <v>220495479</v>
      </c>
      <c r="B2956" s="1">
        <v>45162</v>
      </c>
      <c r="C2956" s="1">
        <v>45163</v>
      </c>
      <c r="D2956" t="s">
        <v>8</v>
      </c>
      <c r="E2956">
        <v>39</v>
      </c>
      <c r="F2956" t="s">
        <v>6</v>
      </c>
      <c r="G2956" s="8">
        <f t="shared" si="412"/>
        <v>1</v>
      </c>
      <c r="H2956">
        <f t="shared" si="413"/>
        <v>5</v>
      </c>
      <c r="I2956" t="str">
        <f t="shared" si="411"/>
        <v>Thursday</v>
      </c>
      <c r="L2956">
        <f t="shared" si="414"/>
        <v>1</v>
      </c>
    </row>
    <row r="2957" spans="1:12" x14ac:dyDescent="0.25">
      <c r="A2957">
        <v>164903790</v>
      </c>
      <c r="B2957" s="1">
        <v>45163</v>
      </c>
      <c r="C2957" s="1">
        <f t="shared" ref="C2957:C2964" ca="1" si="415">TODAY()</f>
        <v>45938</v>
      </c>
      <c r="D2957" t="s">
        <v>7</v>
      </c>
      <c r="E2957">
        <v>39</v>
      </c>
      <c r="F2957" t="s">
        <v>6</v>
      </c>
      <c r="G2957" s="8">
        <f t="shared" ca="1" si="412"/>
        <v>775</v>
      </c>
      <c r="H2957">
        <f t="shared" si="413"/>
        <v>6</v>
      </c>
      <c r="I2957" t="str">
        <f t="shared" si="411"/>
        <v>Friday</v>
      </c>
      <c r="L2957">
        <f t="shared" ca="1" si="414"/>
        <v>0</v>
      </c>
    </row>
    <row r="2958" spans="1:12" x14ac:dyDescent="0.25">
      <c r="A2958">
        <v>220371835</v>
      </c>
      <c r="B2958" s="1">
        <v>45163</v>
      </c>
      <c r="C2958" s="1">
        <f t="shared" ca="1" si="415"/>
        <v>45938</v>
      </c>
      <c r="D2958" t="s">
        <v>7</v>
      </c>
      <c r="E2958">
        <v>39</v>
      </c>
      <c r="F2958" t="s">
        <v>6</v>
      </c>
      <c r="G2958" s="8">
        <f t="shared" ca="1" si="412"/>
        <v>775</v>
      </c>
      <c r="H2958">
        <f t="shared" si="413"/>
        <v>6</v>
      </c>
      <c r="I2958" t="str">
        <f t="shared" si="411"/>
        <v>Friday</v>
      </c>
      <c r="L2958">
        <f t="shared" ca="1" si="414"/>
        <v>0</v>
      </c>
    </row>
    <row r="2959" spans="1:12" x14ac:dyDescent="0.25">
      <c r="A2959">
        <v>125932988</v>
      </c>
      <c r="B2959" s="1">
        <v>45163</v>
      </c>
      <c r="C2959" s="1">
        <f t="shared" ca="1" si="415"/>
        <v>45938</v>
      </c>
      <c r="D2959" t="s">
        <v>7</v>
      </c>
      <c r="E2959">
        <v>39</v>
      </c>
      <c r="F2959" t="s">
        <v>6</v>
      </c>
      <c r="G2959" s="8">
        <f t="shared" ca="1" si="412"/>
        <v>775</v>
      </c>
      <c r="H2959">
        <f t="shared" si="413"/>
        <v>6</v>
      </c>
      <c r="I2959" t="str">
        <f t="shared" si="411"/>
        <v>Friday</v>
      </c>
      <c r="L2959">
        <f t="shared" ca="1" si="414"/>
        <v>0</v>
      </c>
    </row>
    <row r="2960" spans="1:12" x14ac:dyDescent="0.25">
      <c r="A2960">
        <v>214924190</v>
      </c>
      <c r="B2960" s="1">
        <v>45163</v>
      </c>
      <c r="C2960" s="1">
        <f t="shared" ca="1" si="415"/>
        <v>45938</v>
      </c>
      <c r="D2960" t="s">
        <v>7</v>
      </c>
      <c r="E2960">
        <v>39</v>
      </c>
      <c r="F2960" t="s">
        <v>6</v>
      </c>
      <c r="G2960" s="8">
        <f t="shared" ca="1" si="412"/>
        <v>775</v>
      </c>
      <c r="H2960">
        <f t="shared" si="413"/>
        <v>6</v>
      </c>
      <c r="I2960" t="str">
        <f t="shared" si="411"/>
        <v>Friday</v>
      </c>
      <c r="L2960">
        <f t="shared" ca="1" si="414"/>
        <v>0</v>
      </c>
    </row>
    <row r="2961" spans="1:12" x14ac:dyDescent="0.25">
      <c r="A2961">
        <v>117300170</v>
      </c>
      <c r="B2961" s="1">
        <v>45163</v>
      </c>
      <c r="C2961" s="1">
        <f t="shared" ca="1" si="415"/>
        <v>45938</v>
      </c>
      <c r="D2961" t="s">
        <v>7</v>
      </c>
      <c r="E2961">
        <v>39</v>
      </c>
      <c r="F2961" t="s">
        <v>6</v>
      </c>
      <c r="G2961" s="8">
        <f t="shared" ca="1" si="412"/>
        <v>775</v>
      </c>
      <c r="H2961">
        <f t="shared" si="413"/>
        <v>6</v>
      </c>
      <c r="I2961" t="str">
        <f t="shared" si="411"/>
        <v>Friday</v>
      </c>
      <c r="L2961">
        <f t="shared" ca="1" si="414"/>
        <v>0</v>
      </c>
    </row>
    <row r="2962" spans="1:12" x14ac:dyDescent="0.25">
      <c r="A2962">
        <v>162913792</v>
      </c>
      <c r="B2962" s="1">
        <v>45163</v>
      </c>
      <c r="C2962" s="1">
        <f t="shared" ca="1" si="415"/>
        <v>45938</v>
      </c>
      <c r="D2962" t="s">
        <v>7</v>
      </c>
      <c r="E2962">
        <v>39</v>
      </c>
      <c r="F2962" t="s">
        <v>6</v>
      </c>
      <c r="G2962" s="8">
        <f t="shared" ca="1" si="412"/>
        <v>775</v>
      </c>
      <c r="H2962">
        <f t="shared" si="413"/>
        <v>6</v>
      </c>
      <c r="I2962" t="str">
        <f t="shared" si="411"/>
        <v>Friday</v>
      </c>
      <c r="L2962">
        <f t="shared" ca="1" si="414"/>
        <v>0</v>
      </c>
    </row>
    <row r="2963" spans="1:12" x14ac:dyDescent="0.25">
      <c r="A2963">
        <v>220551506</v>
      </c>
      <c r="B2963" s="1">
        <v>45163</v>
      </c>
      <c r="C2963" s="1">
        <f t="shared" ca="1" si="415"/>
        <v>45938</v>
      </c>
      <c r="D2963" t="s">
        <v>7</v>
      </c>
      <c r="E2963">
        <v>39</v>
      </c>
      <c r="F2963" t="s">
        <v>6</v>
      </c>
      <c r="G2963" s="8">
        <f t="shared" ca="1" si="412"/>
        <v>775</v>
      </c>
      <c r="H2963">
        <f t="shared" si="413"/>
        <v>6</v>
      </c>
      <c r="I2963" t="str">
        <f t="shared" si="411"/>
        <v>Friday</v>
      </c>
      <c r="L2963">
        <f t="shared" ca="1" si="414"/>
        <v>0</v>
      </c>
    </row>
    <row r="2964" spans="1:12" x14ac:dyDescent="0.25">
      <c r="A2964">
        <v>161187523</v>
      </c>
      <c r="B2964" s="1">
        <v>45163</v>
      </c>
      <c r="C2964" s="1">
        <f t="shared" ca="1" si="415"/>
        <v>45938</v>
      </c>
      <c r="D2964" t="s">
        <v>7</v>
      </c>
      <c r="E2964">
        <v>39</v>
      </c>
      <c r="F2964" t="s">
        <v>6</v>
      </c>
      <c r="G2964" s="8">
        <f t="shared" ca="1" si="412"/>
        <v>775</v>
      </c>
      <c r="H2964">
        <f t="shared" si="413"/>
        <v>6</v>
      </c>
      <c r="I2964" t="str">
        <f t="shared" si="411"/>
        <v>Friday</v>
      </c>
      <c r="L2964">
        <f t="shared" ca="1" si="414"/>
        <v>0</v>
      </c>
    </row>
    <row r="2965" spans="1:12" x14ac:dyDescent="0.25">
      <c r="A2965">
        <v>220562110</v>
      </c>
      <c r="B2965" s="1">
        <v>45163</v>
      </c>
      <c r="C2965" s="1">
        <v>45164</v>
      </c>
      <c r="D2965" t="s">
        <v>8</v>
      </c>
      <c r="E2965">
        <v>39</v>
      </c>
      <c r="F2965" t="s">
        <v>6</v>
      </c>
      <c r="G2965" s="8">
        <f t="shared" si="412"/>
        <v>1</v>
      </c>
      <c r="H2965">
        <f t="shared" si="413"/>
        <v>6</v>
      </c>
      <c r="I2965" t="str">
        <f t="shared" si="411"/>
        <v>Friday</v>
      </c>
      <c r="L2965">
        <f t="shared" si="414"/>
        <v>1</v>
      </c>
    </row>
    <row r="2966" spans="1:12" x14ac:dyDescent="0.25">
      <c r="A2966">
        <v>220589305</v>
      </c>
      <c r="B2966" s="1">
        <v>45164</v>
      </c>
      <c r="C2966" s="1">
        <f t="shared" ref="C2966:C2969" ca="1" si="416">TODAY()</f>
        <v>45938</v>
      </c>
      <c r="D2966" t="s">
        <v>7</v>
      </c>
      <c r="E2966">
        <v>39</v>
      </c>
      <c r="F2966" t="s">
        <v>6</v>
      </c>
      <c r="G2966" s="8">
        <f t="shared" ca="1" si="412"/>
        <v>774</v>
      </c>
      <c r="H2966">
        <f t="shared" si="413"/>
        <v>7</v>
      </c>
      <c r="I2966" t="str">
        <f t="shared" si="411"/>
        <v>Saturday</v>
      </c>
      <c r="L2966">
        <f t="shared" ca="1" si="414"/>
        <v>0</v>
      </c>
    </row>
    <row r="2967" spans="1:12" x14ac:dyDescent="0.25">
      <c r="A2967">
        <v>220496139</v>
      </c>
      <c r="B2967" s="1">
        <v>45164</v>
      </c>
      <c r="C2967" s="1">
        <f t="shared" ca="1" si="416"/>
        <v>45938</v>
      </c>
      <c r="D2967" t="s">
        <v>7</v>
      </c>
      <c r="E2967">
        <v>39</v>
      </c>
      <c r="F2967" t="s">
        <v>6</v>
      </c>
      <c r="G2967" s="8">
        <f t="shared" ca="1" si="412"/>
        <v>774</v>
      </c>
      <c r="H2967">
        <f t="shared" si="413"/>
        <v>7</v>
      </c>
      <c r="I2967" t="str">
        <f t="shared" si="411"/>
        <v>Saturday</v>
      </c>
      <c r="L2967">
        <f t="shared" ca="1" si="414"/>
        <v>0</v>
      </c>
    </row>
    <row r="2968" spans="1:12" x14ac:dyDescent="0.25">
      <c r="A2968">
        <v>219211334</v>
      </c>
      <c r="B2968" s="1">
        <v>45164</v>
      </c>
      <c r="C2968" s="1">
        <f t="shared" ca="1" si="416"/>
        <v>45938</v>
      </c>
      <c r="D2968" t="s">
        <v>7</v>
      </c>
      <c r="E2968">
        <v>39</v>
      </c>
      <c r="F2968" t="s">
        <v>6</v>
      </c>
      <c r="G2968" s="8">
        <f t="shared" ca="1" si="412"/>
        <v>774</v>
      </c>
      <c r="H2968">
        <f t="shared" si="413"/>
        <v>7</v>
      </c>
      <c r="I2968" t="str">
        <f t="shared" si="411"/>
        <v>Saturday</v>
      </c>
      <c r="L2968">
        <f t="shared" ca="1" si="414"/>
        <v>0</v>
      </c>
    </row>
    <row r="2969" spans="1:12" x14ac:dyDescent="0.25">
      <c r="A2969">
        <v>220582817</v>
      </c>
      <c r="B2969" s="1">
        <v>45164</v>
      </c>
      <c r="C2969" s="1">
        <f t="shared" ca="1" si="416"/>
        <v>45938</v>
      </c>
      <c r="D2969" t="s">
        <v>7</v>
      </c>
      <c r="E2969">
        <v>39</v>
      </c>
      <c r="F2969" t="s">
        <v>6</v>
      </c>
      <c r="G2969" s="8">
        <f t="shared" ca="1" si="412"/>
        <v>774</v>
      </c>
      <c r="H2969">
        <f t="shared" si="413"/>
        <v>7</v>
      </c>
      <c r="I2969" t="str">
        <f t="shared" si="411"/>
        <v>Saturday</v>
      </c>
      <c r="L2969">
        <f t="shared" ca="1" si="414"/>
        <v>0</v>
      </c>
    </row>
    <row r="2970" spans="1:12" x14ac:dyDescent="0.25">
      <c r="A2970">
        <v>217513777</v>
      </c>
      <c r="B2970" s="1">
        <v>45164</v>
      </c>
      <c r="C2970" s="1">
        <v>45166</v>
      </c>
      <c r="D2970" t="s">
        <v>7</v>
      </c>
      <c r="E2970">
        <v>39</v>
      </c>
      <c r="F2970" t="s">
        <v>6</v>
      </c>
      <c r="G2970" s="8">
        <f t="shared" si="412"/>
        <v>2</v>
      </c>
      <c r="H2970">
        <f t="shared" si="413"/>
        <v>7</v>
      </c>
      <c r="I2970" t="str">
        <f t="shared" si="411"/>
        <v>Saturday</v>
      </c>
      <c r="L2970">
        <f t="shared" si="414"/>
        <v>1</v>
      </c>
    </row>
    <row r="2971" spans="1:12" x14ac:dyDescent="0.25">
      <c r="A2971">
        <v>220576148</v>
      </c>
      <c r="B2971" s="1">
        <v>45164</v>
      </c>
      <c r="C2971" s="1">
        <v>45174</v>
      </c>
      <c r="D2971" t="s">
        <v>7</v>
      </c>
      <c r="E2971">
        <v>39</v>
      </c>
      <c r="F2971" t="s">
        <v>6</v>
      </c>
      <c r="G2971" s="8">
        <f t="shared" si="412"/>
        <v>10</v>
      </c>
      <c r="H2971">
        <f t="shared" si="413"/>
        <v>7</v>
      </c>
      <c r="I2971" t="str">
        <f t="shared" si="411"/>
        <v>Saturday</v>
      </c>
      <c r="L2971">
        <f t="shared" si="414"/>
        <v>0</v>
      </c>
    </row>
    <row r="2972" spans="1:12" x14ac:dyDescent="0.25">
      <c r="A2972">
        <v>219294264</v>
      </c>
      <c r="B2972" s="1">
        <v>45165</v>
      </c>
      <c r="C2972" s="1">
        <f t="shared" ref="C2972:C2979" ca="1" si="417">TODAY()</f>
        <v>45938</v>
      </c>
      <c r="D2972" t="s">
        <v>7</v>
      </c>
      <c r="E2972">
        <v>39</v>
      </c>
      <c r="F2972" t="s">
        <v>6</v>
      </c>
      <c r="G2972" s="8">
        <f t="shared" ca="1" si="412"/>
        <v>773</v>
      </c>
      <c r="H2972">
        <f t="shared" si="413"/>
        <v>1</v>
      </c>
      <c r="I2972" t="str">
        <f t="shared" si="411"/>
        <v>Sunday</v>
      </c>
      <c r="L2972">
        <f t="shared" ca="1" si="414"/>
        <v>0</v>
      </c>
    </row>
    <row r="2973" spans="1:12" x14ac:dyDescent="0.25">
      <c r="A2973">
        <v>220617197</v>
      </c>
      <c r="B2973" s="1">
        <v>45165</v>
      </c>
      <c r="C2973" s="1">
        <f t="shared" ca="1" si="417"/>
        <v>45938</v>
      </c>
      <c r="D2973" t="s">
        <v>7</v>
      </c>
      <c r="E2973">
        <v>39</v>
      </c>
      <c r="F2973" t="s">
        <v>6</v>
      </c>
      <c r="G2973" s="8">
        <f t="shared" ca="1" si="412"/>
        <v>773</v>
      </c>
      <c r="H2973">
        <f t="shared" si="413"/>
        <v>1</v>
      </c>
      <c r="I2973" t="str">
        <f t="shared" si="411"/>
        <v>Sunday</v>
      </c>
      <c r="L2973">
        <f t="shared" ca="1" si="414"/>
        <v>0</v>
      </c>
    </row>
    <row r="2974" spans="1:12" x14ac:dyDescent="0.25">
      <c r="A2974">
        <v>220227691</v>
      </c>
      <c r="B2974" s="1">
        <v>45165</v>
      </c>
      <c r="C2974" s="1">
        <f t="shared" ca="1" si="417"/>
        <v>45938</v>
      </c>
      <c r="D2974" t="s">
        <v>7</v>
      </c>
      <c r="E2974">
        <v>39</v>
      </c>
      <c r="F2974" t="s">
        <v>6</v>
      </c>
      <c r="G2974" s="8">
        <f t="shared" ca="1" si="412"/>
        <v>773</v>
      </c>
      <c r="H2974">
        <f t="shared" si="413"/>
        <v>1</v>
      </c>
      <c r="I2974" t="str">
        <f t="shared" si="411"/>
        <v>Sunday</v>
      </c>
      <c r="L2974">
        <f t="shared" ca="1" si="414"/>
        <v>0</v>
      </c>
    </row>
    <row r="2975" spans="1:12" x14ac:dyDescent="0.25">
      <c r="A2975">
        <v>220672607</v>
      </c>
      <c r="B2975" s="1">
        <v>45166</v>
      </c>
      <c r="C2975" s="1">
        <f t="shared" ca="1" si="417"/>
        <v>45938</v>
      </c>
      <c r="D2975" t="s">
        <v>7</v>
      </c>
      <c r="E2975">
        <v>39</v>
      </c>
      <c r="F2975" t="s">
        <v>6</v>
      </c>
      <c r="G2975" s="8">
        <f t="shared" ca="1" si="412"/>
        <v>772</v>
      </c>
      <c r="H2975">
        <f t="shared" si="413"/>
        <v>2</v>
      </c>
      <c r="I2975" t="str">
        <f t="shared" si="411"/>
        <v>Monday</v>
      </c>
      <c r="L2975">
        <f t="shared" ca="1" si="414"/>
        <v>0</v>
      </c>
    </row>
    <row r="2976" spans="1:12" x14ac:dyDescent="0.25">
      <c r="A2976">
        <v>218608353</v>
      </c>
      <c r="B2976" s="1">
        <v>45166</v>
      </c>
      <c r="C2976" s="1">
        <f t="shared" ca="1" si="417"/>
        <v>45938</v>
      </c>
      <c r="D2976" t="s">
        <v>7</v>
      </c>
      <c r="E2976">
        <v>39</v>
      </c>
      <c r="F2976" t="s">
        <v>6</v>
      </c>
      <c r="G2976" s="8">
        <f t="shared" ca="1" si="412"/>
        <v>772</v>
      </c>
      <c r="H2976">
        <f t="shared" si="413"/>
        <v>2</v>
      </c>
      <c r="I2976" t="str">
        <f t="shared" si="411"/>
        <v>Monday</v>
      </c>
      <c r="L2976">
        <f t="shared" ca="1" si="414"/>
        <v>0</v>
      </c>
    </row>
    <row r="2977" spans="1:12" x14ac:dyDescent="0.25">
      <c r="A2977">
        <v>135128238</v>
      </c>
      <c r="B2977" s="1">
        <v>45166</v>
      </c>
      <c r="C2977" s="1">
        <f t="shared" ca="1" si="417"/>
        <v>45938</v>
      </c>
      <c r="D2977" t="s">
        <v>7</v>
      </c>
      <c r="E2977">
        <v>39</v>
      </c>
      <c r="F2977" t="s">
        <v>6</v>
      </c>
      <c r="G2977" s="8">
        <f t="shared" ca="1" si="412"/>
        <v>772</v>
      </c>
      <c r="H2977">
        <f t="shared" si="413"/>
        <v>2</v>
      </c>
      <c r="I2977" t="str">
        <f t="shared" si="411"/>
        <v>Monday</v>
      </c>
      <c r="L2977">
        <f t="shared" ca="1" si="414"/>
        <v>0</v>
      </c>
    </row>
    <row r="2978" spans="1:12" x14ac:dyDescent="0.25">
      <c r="A2978">
        <v>220285147</v>
      </c>
      <c r="B2978" s="1">
        <v>45166</v>
      </c>
      <c r="C2978" s="1">
        <f t="shared" ca="1" si="417"/>
        <v>45938</v>
      </c>
      <c r="D2978" t="s">
        <v>7</v>
      </c>
      <c r="E2978">
        <v>39</v>
      </c>
      <c r="F2978" t="s">
        <v>6</v>
      </c>
      <c r="G2978" s="8">
        <f t="shared" ca="1" si="412"/>
        <v>772</v>
      </c>
      <c r="H2978">
        <f t="shared" si="413"/>
        <v>2</v>
      </c>
      <c r="I2978" t="str">
        <f t="shared" si="411"/>
        <v>Monday</v>
      </c>
      <c r="L2978">
        <f t="shared" ca="1" si="414"/>
        <v>0</v>
      </c>
    </row>
    <row r="2979" spans="1:12" x14ac:dyDescent="0.25">
      <c r="A2979">
        <v>218645057</v>
      </c>
      <c r="B2979" s="1">
        <v>45166</v>
      </c>
      <c r="C2979" s="1">
        <f t="shared" ca="1" si="417"/>
        <v>45938</v>
      </c>
      <c r="D2979" t="s">
        <v>7</v>
      </c>
      <c r="E2979">
        <v>39</v>
      </c>
      <c r="F2979" t="s">
        <v>6</v>
      </c>
      <c r="G2979" s="8">
        <f t="shared" ca="1" si="412"/>
        <v>772</v>
      </c>
      <c r="H2979">
        <f t="shared" si="413"/>
        <v>2</v>
      </c>
      <c r="I2979" t="str">
        <f t="shared" si="411"/>
        <v>Monday</v>
      </c>
      <c r="L2979">
        <f t="shared" ca="1" si="414"/>
        <v>0</v>
      </c>
    </row>
    <row r="2980" spans="1:12" x14ac:dyDescent="0.25">
      <c r="A2980">
        <v>128199550</v>
      </c>
      <c r="B2980" s="1">
        <v>45166</v>
      </c>
      <c r="C2980" s="1">
        <v>45169</v>
      </c>
      <c r="D2980" t="s">
        <v>7</v>
      </c>
      <c r="E2980">
        <v>39</v>
      </c>
      <c r="F2980" t="s">
        <v>6</v>
      </c>
      <c r="G2980" s="8">
        <f t="shared" si="412"/>
        <v>3</v>
      </c>
      <c r="H2980">
        <f t="shared" si="413"/>
        <v>2</v>
      </c>
      <c r="I2980" t="str">
        <f t="shared" si="411"/>
        <v>Monday</v>
      </c>
      <c r="L2980">
        <f t="shared" si="414"/>
        <v>0</v>
      </c>
    </row>
    <row r="2981" spans="1:12" x14ac:dyDescent="0.25">
      <c r="A2981">
        <v>220747618</v>
      </c>
      <c r="B2981" s="1">
        <v>45167</v>
      </c>
      <c r="C2981" s="1">
        <f t="shared" ref="C2981:C3022" ca="1" si="418">TODAY()</f>
        <v>45938</v>
      </c>
      <c r="D2981" t="s">
        <v>7</v>
      </c>
      <c r="E2981">
        <v>39</v>
      </c>
      <c r="F2981" t="s">
        <v>6</v>
      </c>
      <c r="G2981" s="8">
        <f t="shared" ca="1" si="412"/>
        <v>771</v>
      </c>
      <c r="H2981">
        <f t="shared" si="413"/>
        <v>3</v>
      </c>
      <c r="I2981" t="str">
        <f t="shared" si="411"/>
        <v>Tuesday</v>
      </c>
      <c r="L2981">
        <f t="shared" ca="1" si="414"/>
        <v>0</v>
      </c>
    </row>
    <row r="2982" spans="1:12" x14ac:dyDescent="0.25">
      <c r="A2982">
        <v>207386830</v>
      </c>
      <c r="B2982" s="1">
        <v>45167</v>
      </c>
      <c r="C2982" s="1">
        <f t="shared" ca="1" si="418"/>
        <v>45938</v>
      </c>
      <c r="D2982" t="s">
        <v>7</v>
      </c>
      <c r="E2982">
        <v>39</v>
      </c>
      <c r="F2982" t="s">
        <v>6</v>
      </c>
      <c r="G2982" s="8">
        <f t="shared" ca="1" si="412"/>
        <v>771</v>
      </c>
      <c r="H2982">
        <f t="shared" si="413"/>
        <v>3</v>
      </c>
      <c r="I2982" t="str">
        <f t="shared" si="411"/>
        <v>Tuesday</v>
      </c>
      <c r="L2982">
        <f t="shared" ca="1" si="414"/>
        <v>0</v>
      </c>
    </row>
    <row r="2983" spans="1:12" x14ac:dyDescent="0.25">
      <c r="A2983">
        <v>205109812</v>
      </c>
      <c r="B2983" s="1">
        <v>45167</v>
      </c>
      <c r="C2983" s="1">
        <f t="shared" ca="1" si="418"/>
        <v>45938</v>
      </c>
      <c r="D2983" t="s">
        <v>7</v>
      </c>
      <c r="E2983">
        <v>39</v>
      </c>
      <c r="F2983" t="s">
        <v>6</v>
      </c>
      <c r="G2983" s="8">
        <f t="shared" ca="1" si="412"/>
        <v>771</v>
      </c>
      <c r="H2983">
        <f t="shared" si="413"/>
        <v>3</v>
      </c>
      <c r="I2983" t="str">
        <f t="shared" si="411"/>
        <v>Tuesday</v>
      </c>
      <c r="L2983">
        <f t="shared" ca="1" si="414"/>
        <v>0</v>
      </c>
    </row>
    <row r="2984" spans="1:12" x14ac:dyDescent="0.25">
      <c r="A2984">
        <v>132318451</v>
      </c>
      <c r="B2984" s="1">
        <v>45167</v>
      </c>
      <c r="C2984" s="1">
        <f t="shared" ca="1" si="418"/>
        <v>45938</v>
      </c>
      <c r="D2984" t="s">
        <v>7</v>
      </c>
      <c r="E2984">
        <v>39</v>
      </c>
      <c r="F2984" t="s">
        <v>6</v>
      </c>
      <c r="G2984" s="8">
        <f t="shared" ca="1" si="412"/>
        <v>771</v>
      </c>
      <c r="H2984">
        <f t="shared" si="413"/>
        <v>3</v>
      </c>
      <c r="I2984" t="str">
        <f t="shared" si="411"/>
        <v>Tuesday</v>
      </c>
      <c r="L2984">
        <f t="shared" ca="1" si="414"/>
        <v>0</v>
      </c>
    </row>
    <row r="2985" spans="1:12" x14ac:dyDescent="0.25">
      <c r="A2985">
        <v>218596318</v>
      </c>
      <c r="B2985" s="1">
        <v>45167</v>
      </c>
      <c r="C2985" s="1">
        <f t="shared" ca="1" si="418"/>
        <v>45938</v>
      </c>
      <c r="D2985" t="s">
        <v>7</v>
      </c>
      <c r="E2985">
        <v>39</v>
      </c>
      <c r="F2985" t="s">
        <v>6</v>
      </c>
      <c r="G2985" s="8">
        <f t="shared" ca="1" si="412"/>
        <v>771</v>
      </c>
      <c r="H2985">
        <f t="shared" si="413"/>
        <v>3</v>
      </c>
      <c r="I2985" t="str">
        <f t="shared" si="411"/>
        <v>Tuesday</v>
      </c>
      <c r="L2985">
        <f t="shared" ca="1" si="414"/>
        <v>0</v>
      </c>
    </row>
    <row r="2986" spans="1:12" x14ac:dyDescent="0.25">
      <c r="A2986">
        <v>220699520</v>
      </c>
      <c r="B2986" s="1">
        <v>45167</v>
      </c>
      <c r="C2986" s="1">
        <f t="shared" ca="1" si="418"/>
        <v>45938</v>
      </c>
      <c r="D2986" t="s">
        <v>7</v>
      </c>
      <c r="E2986">
        <v>39</v>
      </c>
      <c r="F2986" t="s">
        <v>6</v>
      </c>
      <c r="G2986" s="8">
        <f t="shared" ca="1" si="412"/>
        <v>771</v>
      </c>
      <c r="H2986">
        <f t="shared" si="413"/>
        <v>3</v>
      </c>
      <c r="I2986" t="str">
        <f t="shared" si="411"/>
        <v>Tuesday</v>
      </c>
      <c r="L2986">
        <f t="shared" ca="1" si="414"/>
        <v>0</v>
      </c>
    </row>
    <row r="2987" spans="1:12" x14ac:dyDescent="0.25">
      <c r="A2987">
        <v>218307579</v>
      </c>
      <c r="B2987" s="1">
        <v>45167</v>
      </c>
      <c r="C2987" s="1">
        <f t="shared" ca="1" si="418"/>
        <v>45938</v>
      </c>
      <c r="D2987" t="s">
        <v>7</v>
      </c>
      <c r="E2987">
        <v>39</v>
      </c>
      <c r="F2987" t="s">
        <v>6</v>
      </c>
      <c r="G2987" s="8">
        <f t="shared" ca="1" si="412"/>
        <v>771</v>
      </c>
      <c r="H2987">
        <f t="shared" si="413"/>
        <v>3</v>
      </c>
      <c r="I2987" t="str">
        <f t="shared" si="411"/>
        <v>Tuesday</v>
      </c>
      <c r="L2987">
        <f t="shared" ca="1" si="414"/>
        <v>0</v>
      </c>
    </row>
    <row r="2988" spans="1:12" x14ac:dyDescent="0.25">
      <c r="A2988">
        <v>218514844</v>
      </c>
      <c r="B2988" s="1">
        <v>45168</v>
      </c>
      <c r="C2988" s="1">
        <f t="shared" ca="1" si="418"/>
        <v>45938</v>
      </c>
      <c r="D2988" t="s">
        <v>7</v>
      </c>
      <c r="E2988">
        <v>39</v>
      </c>
      <c r="F2988" t="s">
        <v>6</v>
      </c>
      <c r="G2988" s="8">
        <f t="shared" ca="1" si="412"/>
        <v>770</v>
      </c>
      <c r="H2988">
        <f t="shared" si="413"/>
        <v>4</v>
      </c>
      <c r="I2988" t="str">
        <f t="shared" si="411"/>
        <v>Wednesday</v>
      </c>
      <c r="L2988">
        <f t="shared" ca="1" si="414"/>
        <v>0</v>
      </c>
    </row>
    <row r="2989" spans="1:12" x14ac:dyDescent="0.25">
      <c r="A2989">
        <v>188622328</v>
      </c>
      <c r="B2989" s="1">
        <v>45168</v>
      </c>
      <c r="C2989" s="1">
        <f t="shared" ca="1" si="418"/>
        <v>45938</v>
      </c>
      <c r="D2989" t="s">
        <v>7</v>
      </c>
      <c r="E2989">
        <v>39</v>
      </c>
      <c r="F2989" t="s">
        <v>6</v>
      </c>
      <c r="G2989" s="8">
        <f t="shared" ca="1" si="412"/>
        <v>770</v>
      </c>
      <c r="H2989">
        <f t="shared" si="413"/>
        <v>4</v>
      </c>
      <c r="I2989" t="str">
        <f t="shared" si="411"/>
        <v>Wednesday</v>
      </c>
      <c r="L2989">
        <f t="shared" ca="1" si="414"/>
        <v>0</v>
      </c>
    </row>
    <row r="2990" spans="1:12" x14ac:dyDescent="0.25">
      <c r="A2990">
        <v>220790640</v>
      </c>
      <c r="B2990" s="1">
        <v>45168</v>
      </c>
      <c r="C2990" s="1">
        <f t="shared" ca="1" si="418"/>
        <v>45938</v>
      </c>
      <c r="D2990" t="s">
        <v>7</v>
      </c>
      <c r="E2990">
        <v>39</v>
      </c>
      <c r="F2990" t="s">
        <v>6</v>
      </c>
      <c r="G2990" s="8">
        <f t="shared" ca="1" si="412"/>
        <v>770</v>
      </c>
      <c r="H2990">
        <f t="shared" si="413"/>
        <v>4</v>
      </c>
      <c r="I2990" t="str">
        <f t="shared" si="411"/>
        <v>Wednesday</v>
      </c>
      <c r="L2990">
        <f t="shared" ca="1" si="414"/>
        <v>0</v>
      </c>
    </row>
    <row r="2991" spans="1:12" x14ac:dyDescent="0.25">
      <c r="A2991">
        <v>220675005</v>
      </c>
      <c r="B2991" s="1">
        <v>45168</v>
      </c>
      <c r="C2991" s="1">
        <f t="shared" ca="1" si="418"/>
        <v>45938</v>
      </c>
      <c r="D2991" t="s">
        <v>7</v>
      </c>
      <c r="E2991">
        <v>39</v>
      </c>
      <c r="F2991" t="s">
        <v>6</v>
      </c>
      <c r="G2991" s="8">
        <f t="shared" ca="1" si="412"/>
        <v>770</v>
      </c>
      <c r="H2991">
        <f t="shared" si="413"/>
        <v>4</v>
      </c>
      <c r="I2991" t="str">
        <f t="shared" si="411"/>
        <v>Wednesday</v>
      </c>
      <c r="L2991">
        <f t="shared" ca="1" si="414"/>
        <v>0</v>
      </c>
    </row>
    <row r="2992" spans="1:12" x14ac:dyDescent="0.25">
      <c r="A2992">
        <v>142757196</v>
      </c>
      <c r="B2992" s="1">
        <v>45168</v>
      </c>
      <c r="C2992" s="1">
        <f t="shared" ca="1" si="418"/>
        <v>45938</v>
      </c>
      <c r="D2992" t="s">
        <v>7</v>
      </c>
      <c r="E2992">
        <v>39</v>
      </c>
      <c r="F2992" t="s">
        <v>6</v>
      </c>
      <c r="G2992" s="8">
        <f t="shared" ca="1" si="412"/>
        <v>770</v>
      </c>
      <c r="H2992">
        <f t="shared" si="413"/>
        <v>4</v>
      </c>
      <c r="I2992" t="str">
        <f t="shared" si="411"/>
        <v>Wednesday</v>
      </c>
      <c r="L2992">
        <f t="shared" ca="1" si="414"/>
        <v>0</v>
      </c>
    </row>
    <row r="2993" spans="1:12" x14ac:dyDescent="0.25">
      <c r="A2993">
        <v>220411940</v>
      </c>
      <c r="B2993" s="1">
        <v>45168</v>
      </c>
      <c r="C2993" s="1">
        <f t="shared" ca="1" si="418"/>
        <v>45938</v>
      </c>
      <c r="D2993" t="s">
        <v>7</v>
      </c>
      <c r="E2993">
        <v>39</v>
      </c>
      <c r="F2993" t="s">
        <v>6</v>
      </c>
      <c r="G2993" s="8">
        <f t="shared" ca="1" si="412"/>
        <v>770</v>
      </c>
      <c r="H2993">
        <f t="shared" si="413"/>
        <v>4</v>
      </c>
      <c r="I2993" t="str">
        <f t="shared" si="411"/>
        <v>Wednesday</v>
      </c>
      <c r="L2993">
        <f t="shared" ca="1" si="414"/>
        <v>0</v>
      </c>
    </row>
    <row r="2994" spans="1:12" x14ac:dyDescent="0.25">
      <c r="A2994">
        <v>155613371</v>
      </c>
      <c r="B2994" s="1">
        <v>45168</v>
      </c>
      <c r="C2994" s="1">
        <f t="shared" ca="1" si="418"/>
        <v>45938</v>
      </c>
      <c r="D2994" t="s">
        <v>7</v>
      </c>
      <c r="E2994">
        <v>39</v>
      </c>
      <c r="F2994" t="s">
        <v>6</v>
      </c>
      <c r="G2994" s="8">
        <f t="shared" ca="1" si="412"/>
        <v>770</v>
      </c>
      <c r="H2994">
        <f t="shared" si="413"/>
        <v>4</v>
      </c>
      <c r="I2994" t="str">
        <f t="shared" si="411"/>
        <v>Wednesday</v>
      </c>
      <c r="L2994">
        <f t="shared" ca="1" si="414"/>
        <v>0</v>
      </c>
    </row>
    <row r="2995" spans="1:12" x14ac:dyDescent="0.25">
      <c r="A2995">
        <v>164548755</v>
      </c>
      <c r="B2995" s="1">
        <v>45168</v>
      </c>
      <c r="C2995" s="1">
        <f t="shared" ca="1" si="418"/>
        <v>45938</v>
      </c>
      <c r="D2995" t="s">
        <v>7</v>
      </c>
      <c r="E2995">
        <v>39</v>
      </c>
      <c r="F2995" t="s">
        <v>6</v>
      </c>
      <c r="G2995" s="8">
        <f t="shared" ca="1" si="412"/>
        <v>770</v>
      </c>
      <c r="H2995">
        <f t="shared" si="413"/>
        <v>4</v>
      </c>
      <c r="I2995" t="str">
        <f t="shared" si="411"/>
        <v>Wednesday</v>
      </c>
      <c r="L2995">
        <f t="shared" ca="1" si="414"/>
        <v>0</v>
      </c>
    </row>
    <row r="2996" spans="1:12" x14ac:dyDescent="0.25">
      <c r="A2996">
        <v>220546810</v>
      </c>
      <c r="B2996" s="1">
        <v>45168</v>
      </c>
      <c r="C2996" s="1">
        <f t="shared" ca="1" si="418"/>
        <v>45938</v>
      </c>
      <c r="D2996" t="s">
        <v>7</v>
      </c>
      <c r="E2996">
        <v>39</v>
      </c>
      <c r="F2996" t="s">
        <v>6</v>
      </c>
      <c r="G2996" s="8">
        <f t="shared" ca="1" si="412"/>
        <v>770</v>
      </c>
      <c r="H2996">
        <f t="shared" si="413"/>
        <v>4</v>
      </c>
      <c r="I2996" t="str">
        <f t="shared" si="411"/>
        <v>Wednesday</v>
      </c>
      <c r="L2996">
        <f t="shared" ca="1" si="414"/>
        <v>0</v>
      </c>
    </row>
    <row r="2997" spans="1:12" x14ac:dyDescent="0.25">
      <c r="A2997">
        <v>215202566</v>
      </c>
      <c r="B2997" s="1">
        <v>45168</v>
      </c>
      <c r="C2997" s="1">
        <v>45168</v>
      </c>
      <c r="D2997" t="s">
        <v>7</v>
      </c>
      <c r="E2997">
        <v>39</v>
      </c>
      <c r="F2997" t="s">
        <v>6</v>
      </c>
      <c r="G2997" s="8">
        <f t="shared" si="412"/>
        <v>0</v>
      </c>
      <c r="H2997">
        <f t="shared" si="413"/>
        <v>4</v>
      </c>
      <c r="I2997" t="str">
        <f t="shared" si="411"/>
        <v>Wednesday</v>
      </c>
      <c r="L2997">
        <f t="shared" si="414"/>
        <v>1</v>
      </c>
    </row>
    <row r="2998" spans="1:12" x14ac:dyDescent="0.25">
      <c r="A2998">
        <v>135092264</v>
      </c>
      <c r="B2998" s="1">
        <v>45169</v>
      </c>
      <c r="C2998" s="1">
        <f t="shared" ca="1" si="418"/>
        <v>45938</v>
      </c>
      <c r="D2998" t="s">
        <v>7</v>
      </c>
      <c r="E2998">
        <v>39</v>
      </c>
      <c r="F2998" t="s">
        <v>6</v>
      </c>
      <c r="G2998" s="8">
        <f t="shared" ca="1" si="412"/>
        <v>769</v>
      </c>
      <c r="H2998">
        <f t="shared" si="413"/>
        <v>5</v>
      </c>
      <c r="I2998" t="str">
        <f t="shared" si="411"/>
        <v>Thursday</v>
      </c>
      <c r="L2998">
        <f t="shared" ca="1" si="414"/>
        <v>0</v>
      </c>
    </row>
    <row r="2999" spans="1:12" x14ac:dyDescent="0.25">
      <c r="A2999">
        <v>220854418</v>
      </c>
      <c r="B2999" s="1">
        <v>45169</v>
      </c>
      <c r="C2999" s="1">
        <f t="shared" ca="1" si="418"/>
        <v>45938</v>
      </c>
      <c r="D2999" t="s">
        <v>7</v>
      </c>
      <c r="E2999">
        <v>39</v>
      </c>
      <c r="F2999" t="s">
        <v>6</v>
      </c>
      <c r="G2999" s="8">
        <f t="shared" ca="1" si="412"/>
        <v>769</v>
      </c>
      <c r="H2999">
        <f t="shared" si="413"/>
        <v>5</v>
      </c>
      <c r="I2999" t="str">
        <f t="shared" si="411"/>
        <v>Thursday</v>
      </c>
      <c r="L2999">
        <f t="shared" ca="1" si="414"/>
        <v>0</v>
      </c>
    </row>
    <row r="3000" spans="1:12" x14ac:dyDescent="0.25">
      <c r="A3000">
        <v>220851140</v>
      </c>
      <c r="B3000" s="1">
        <v>45169</v>
      </c>
      <c r="C3000" s="1">
        <f t="shared" ca="1" si="418"/>
        <v>45938</v>
      </c>
      <c r="D3000" t="s">
        <v>7</v>
      </c>
      <c r="E3000">
        <v>39</v>
      </c>
      <c r="F3000" t="s">
        <v>6</v>
      </c>
      <c r="G3000" s="8">
        <f t="shared" ca="1" si="412"/>
        <v>769</v>
      </c>
      <c r="H3000">
        <f t="shared" si="413"/>
        <v>5</v>
      </c>
      <c r="I3000" t="str">
        <f t="shared" si="411"/>
        <v>Thursday</v>
      </c>
      <c r="L3000">
        <f t="shared" ca="1" si="414"/>
        <v>0</v>
      </c>
    </row>
    <row r="3001" spans="1:12" x14ac:dyDescent="0.25">
      <c r="A3001">
        <v>220843911</v>
      </c>
      <c r="B3001" s="1">
        <v>45169</v>
      </c>
      <c r="C3001" s="1">
        <f t="shared" ca="1" si="418"/>
        <v>45938</v>
      </c>
      <c r="D3001" t="s">
        <v>7</v>
      </c>
      <c r="E3001">
        <v>39</v>
      </c>
      <c r="F3001" t="s">
        <v>6</v>
      </c>
      <c r="G3001" s="8">
        <f t="shared" ca="1" si="412"/>
        <v>769</v>
      </c>
      <c r="H3001">
        <f t="shared" si="413"/>
        <v>5</v>
      </c>
      <c r="I3001" t="str">
        <f t="shared" si="411"/>
        <v>Thursday</v>
      </c>
      <c r="L3001">
        <f t="shared" ca="1" si="414"/>
        <v>0</v>
      </c>
    </row>
    <row r="3002" spans="1:12" x14ac:dyDescent="0.25">
      <c r="A3002">
        <v>216137022</v>
      </c>
      <c r="B3002" s="1">
        <v>45169</v>
      </c>
      <c r="C3002" s="1">
        <f t="shared" ca="1" si="418"/>
        <v>45938</v>
      </c>
      <c r="D3002" t="s">
        <v>7</v>
      </c>
      <c r="E3002">
        <v>39</v>
      </c>
      <c r="F3002" t="s">
        <v>6</v>
      </c>
      <c r="G3002" s="8">
        <f t="shared" ca="1" si="412"/>
        <v>769</v>
      </c>
      <c r="H3002">
        <f t="shared" si="413"/>
        <v>5</v>
      </c>
      <c r="I3002" t="str">
        <f t="shared" si="411"/>
        <v>Thursday</v>
      </c>
      <c r="L3002">
        <f t="shared" ca="1" si="414"/>
        <v>0</v>
      </c>
    </row>
    <row r="3003" spans="1:12" x14ac:dyDescent="0.25">
      <c r="A3003">
        <v>161151062</v>
      </c>
      <c r="B3003" s="1">
        <v>45169</v>
      </c>
      <c r="C3003" s="1">
        <f t="shared" ca="1" si="418"/>
        <v>45938</v>
      </c>
      <c r="D3003" t="s">
        <v>7</v>
      </c>
      <c r="E3003">
        <v>39</v>
      </c>
      <c r="F3003" t="s">
        <v>6</v>
      </c>
      <c r="G3003" s="8">
        <f t="shared" ca="1" si="412"/>
        <v>769</v>
      </c>
      <c r="H3003">
        <f t="shared" si="413"/>
        <v>5</v>
      </c>
      <c r="I3003" t="str">
        <f t="shared" si="411"/>
        <v>Thursday</v>
      </c>
      <c r="L3003">
        <f t="shared" ca="1" si="414"/>
        <v>0</v>
      </c>
    </row>
    <row r="3004" spans="1:12" x14ac:dyDescent="0.25">
      <c r="A3004">
        <v>148085880</v>
      </c>
      <c r="B3004" s="1">
        <v>45169</v>
      </c>
      <c r="C3004" s="1">
        <f t="shared" ca="1" si="418"/>
        <v>45938</v>
      </c>
      <c r="D3004" t="s">
        <v>7</v>
      </c>
      <c r="E3004">
        <v>39</v>
      </c>
      <c r="F3004" t="s">
        <v>6</v>
      </c>
      <c r="G3004" s="8">
        <f t="shared" ca="1" si="412"/>
        <v>769</v>
      </c>
      <c r="H3004">
        <f t="shared" si="413"/>
        <v>5</v>
      </c>
      <c r="I3004" t="str">
        <f t="shared" si="411"/>
        <v>Thursday</v>
      </c>
      <c r="L3004">
        <f t="shared" ca="1" si="414"/>
        <v>0</v>
      </c>
    </row>
    <row r="3005" spans="1:12" x14ac:dyDescent="0.25">
      <c r="A3005">
        <v>182061738</v>
      </c>
      <c r="B3005" s="1">
        <v>45170</v>
      </c>
      <c r="C3005" s="1">
        <f t="shared" ca="1" si="418"/>
        <v>45938</v>
      </c>
      <c r="D3005" t="s">
        <v>7</v>
      </c>
      <c r="E3005">
        <v>39</v>
      </c>
      <c r="F3005" t="s">
        <v>6</v>
      </c>
      <c r="G3005" s="8">
        <f t="shared" ca="1" si="412"/>
        <v>768</v>
      </c>
      <c r="H3005">
        <f t="shared" si="413"/>
        <v>6</v>
      </c>
      <c r="I3005" t="str">
        <f t="shared" si="411"/>
        <v>Friday</v>
      </c>
      <c r="L3005">
        <f t="shared" ca="1" si="414"/>
        <v>0</v>
      </c>
    </row>
    <row r="3006" spans="1:12" x14ac:dyDescent="0.25">
      <c r="A3006">
        <v>220860582</v>
      </c>
      <c r="B3006" s="1">
        <v>45170</v>
      </c>
      <c r="C3006" s="1">
        <f t="shared" ca="1" si="418"/>
        <v>45938</v>
      </c>
      <c r="D3006" t="s">
        <v>7</v>
      </c>
      <c r="E3006">
        <v>39</v>
      </c>
      <c r="F3006" t="s">
        <v>6</v>
      </c>
      <c r="G3006" s="8">
        <f t="shared" ca="1" si="412"/>
        <v>768</v>
      </c>
      <c r="H3006">
        <f t="shared" si="413"/>
        <v>6</v>
      </c>
      <c r="I3006" t="str">
        <f t="shared" si="411"/>
        <v>Friday</v>
      </c>
      <c r="L3006">
        <f t="shared" ca="1" si="414"/>
        <v>0</v>
      </c>
    </row>
    <row r="3007" spans="1:12" x14ac:dyDescent="0.25">
      <c r="A3007">
        <v>218315334</v>
      </c>
      <c r="B3007" s="1">
        <v>45170</v>
      </c>
      <c r="C3007" s="1">
        <f t="shared" ca="1" si="418"/>
        <v>45938</v>
      </c>
      <c r="D3007" t="s">
        <v>7</v>
      </c>
      <c r="E3007">
        <v>39</v>
      </c>
      <c r="F3007" t="s">
        <v>6</v>
      </c>
      <c r="G3007" s="8">
        <f t="shared" ca="1" si="412"/>
        <v>768</v>
      </c>
      <c r="H3007">
        <f t="shared" si="413"/>
        <v>6</v>
      </c>
      <c r="I3007" t="str">
        <f t="shared" si="411"/>
        <v>Friday</v>
      </c>
      <c r="L3007">
        <f t="shared" ca="1" si="414"/>
        <v>0</v>
      </c>
    </row>
    <row r="3008" spans="1:12" x14ac:dyDescent="0.25">
      <c r="A3008">
        <v>217246008</v>
      </c>
      <c r="B3008" s="1">
        <v>45170</v>
      </c>
      <c r="C3008" s="1">
        <f t="shared" ca="1" si="418"/>
        <v>45938</v>
      </c>
      <c r="D3008" t="s">
        <v>7</v>
      </c>
      <c r="E3008">
        <v>39</v>
      </c>
      <c r="F3008" t="s">
        <v>6</v>
      </c>
      <c r="G3008" s="8">
        <f t="shared" ca="1" si="412"/>
        <v>768</v>
      </c>
      <c r="H3008">
        <f t="shared" si="413"/>
        <v>6</v>
      </c>
      <c r="I3008" t="str">
        <f t="shared" si="411"/>
        <v>Friday</v>
      </c>
      <c r="L3008">
        <f t="shared" ca="1" si="414"/>
        <v>0</v>
      </c>
    </row>
    <row r="3009" spans="1:12" x14ac:dyDescent="0.25">
      <c r="A3009">
        <v>220835326</v>
      </c>
      <c r="B3009" s="1">
        <v>45170</v>
      </c>
      <c r="C3009" s="1">
        <f t="shared" ca="1" si="418"/>
        <v>45938</v>
      </c>
      <c r="D3009" t="s">
        <v>7</v>
      </c>
      <c r="E3009">
        <v>39</v>
      </c>
      <c r="F3009" t="s">
        <v>6</v>
      </c>
      <c r="G3009" s="8">
        <f t="shared" ca="1" si="412"/>
        <v>768</v>
      </c>
      <c r="H3009">
        <f t="shared" si="413"/>
        <v>6</v>
      </c>
      <c r="I3009" t="str">
        <f t="shared" si="411"/>
        <v>Friday</v>
      </c>
      <c r="L3009">
        <f t="shared" ca="1" si="414"/>
        <v>0</v>
      </c>
    </row>
    <row r="3010" spans="1:12" x14ac:dyDescent="0.25">
      <c r="A3010">
        <v>219470485</v>
      </c>
      <c r="B3010" s="1">
        <v>45170</v>
      </c>
      <c r="C3010" s="1">
        <f t="shared" ca="1" si="418"/>
        <v>45938</v>
      </c>
      <c r="D3010" t="s">
        <v>7</v>
      </c>
      <c r="E3010">
        <v>39</v>
      </c>
      <c r="F3010" t="s">
        <v>6</v>
      </c>
      <c r="G3010" s="8">
        <f t="shared" ca="1" si="412"/>
        <v>768</v>
      </c>
      <c r="H3010">
        <f t="shared" si="413"/>
        <v>6</v>
      </c>
      <c r="I3010" t="str">
        <f t="shared" ref="I3010:I3070" si="419">TEXT(B3010,"DDDD")</f>
        <v>Friday</v>
      </c>
      <c r="L3010">
        <f t="shared" ca="1" si="414"/>
        <v>0</v>
      </c>
    </row>
    <row r="3011" spans="1:12" x14ac:dyDescent="0.25">
      <c r="A3011">
        <v>182153913</v>
      </c>
      <c r="B3011" s="1">
        <v>45171</v>
      </c>
      <c r="C3011" s="1">
        <f t="shared" ca="1" si="418"/>
        <v>45938</v>
      </c>
      <c r="D3011" t="s">
        <v>7</v>
      </c>
      <c r="E3011">
        <v>39</v>
      </c>
      <c r="F3011" t="s">
        <v>6</v>
      </c>
      <c r="G3011" s="8">
        <f t="shared" ref="G3011:G3070" ca="1" si="420">IFERROR(DATEDIF(B3011,C3011,"D"),"0")</f>
        <v>767</v>
      </c>
      <c r="H3011">
        <f t="shared" ref="H3011:H3070" si="421">WEEKDAY(B3011,1)</f>
        <v>7</v>
      </c>
      <c r="I3011" t="str">
        <f t="shared" si="419"/>
        <v>Saturday</v>
      </c>
      <c r="L3011">
        <f t="shared" ref="L3011:L3070" ca="1" si="422">IF( OR($G3011=0,$G3011 = 1, $G3011 = 2), 1, 0 )</f>
        <v>0</v>
      </c>
    </row>
    <row r="3012" spans="1:12" x14ac:dyDescent="0.25">
      <c r="A3012">
        <v>217223132</v>
      </c>
      <c r="B3012" s="1">
        <v>45171</v>
      </c>
      <c r="C3012" s="1">
        <f t="shared" ca="1" si="418"/>
        <v>45938</v>
      </c>
      <c r="D3012" t="s">
        <v>7</v>
      </c>
      <c r="E3012">
        <v>39</v>
      </c>
      <c r="F3012" t="s">
        <v>6</v>
      </c>
      <c r="G3012" s="8">
        <f t="shared" ca="1" si="420"/>
        <v>767</v>
      </c>
      <c r="H3012">
        <f t="shared" si="421"/>
        <v>7</v>
      </c>
      <c r="I3012" t="str">
        <f t="shared" si="419"/>
        <v>Saturday</v>
      </c>
      <c r="L3012">
        <f t="shared" ca="1" si="422"/>
        <v>0</v>
      </c>
    </row>
    <row r="3013" spans="1:12" x14ac:dyDescent="0.25">
      <c r="A3013">
        <v>219643599</v>
      </c>
      <c r="B3013" s="1">
        <v>45171</v>
      </c>
      <c r="C3013" s="1">
        <f t="shared" ca="1" si="418"/>
        <v>45938</v>
      </c>
      <c r="D3013" t="s">
        <v>7</v>
      </c>
      <c r="E3013">
        <v>39</v>
      </c>
      <c r="F3013" t="s">
        <v>6</v>
      </c>
      <c r="G3013" s="8">
        <f t="shared" ca="1" si="420"/>
        <v>767</v>
      </c>
      <c r="H3013">
        <f t="shared" si="421"/>
        <v>7</v>
      </c>
      <c r="I3013" t="str">
        <f t="shared" si="419"/>
        <v>Saturday</v>
      </c>
      <c r="L3013">
        <f t="shared" ca="1" si="422"/>
        <v>0</v>
      </c>
    </row>
    <row r="3014" spans="1:12" x14ac:dyDescent="0.25">
      <c r="A3014">
        <v>152851458</v>
      </c>
      <c r="B3014" s="1">
        <v>45171</v>
      </c>
      <c r="C3014" s="1">
        <f t="shared" ca="1" si="418"/>
        <v>45938</v>
      </c>
      <c r="D3014" t="s">
        <v>7</v>
      </c>
      <c r="E3014">
        <v>39</v>
      </c>
      <c r="F3014" t="s">
        <v>6</v>
      </c>
      <c r="G3014" s="8">
        <f t="shared" ca="1" si="420"/>
        <v>767</v>
      </c>
      <c r="H3014">
        <f t="shared" si="421"/>
        <v>7</v>
      </c>
      <c r="I3014" t="str">
        <f t="shared" si="419"/>
        <v>Saturday</v>
      </c>
      <c r="L3014">
        <f t="shared" ca="1" si="422"/>
        <v>0</v>
      </c>
    </row>
    <row r="3015" spans="1:12" x14ac:dyDescent="0.25">
      <c r="A3015">
        <v>219657672</v>
      </c>
      <c r="B3015" s="1">
        <v>45171</v>
      </c>
      <c r="C3015" s="1">
        <f t="shared" ca="1" si="418"/>
        <v>45938</v>
      </c>
      <c r="D3015" t="s">
        <v>7</v>
      </c>
      <c r="E3015">
        <v>39</v>
      </c>
      <c r="F3015" t="s">
        <v>6</v>
      </c>
      <c r="G3015" s="8">
        <f t="shared" ca="1" si="420"/>
        <v>767</v>
      </c>
      <c r="H3015">
        <f t="shared" si="421"/>
        <v>7</v>
      </c>
      <c r="I3015" t="str">
        <f t="shared" si="419"/>
        <v>Saturday</v>
      </c>
      <c r="L3015">
        <f t="shared" ca="1" si="422"/>
        <v>0</v>
      </c>
    </row>
    <row r="3016" spans="1:12" x14ac:dyDescent="0.25">
      <c r="A3016">
        <v>220973656</v>
      </c>
      <c r="B3016" s="1">
        <v>45172</v>
      </c>
      <c r="C3016" s="1">
        <f t="shared" ca="1" si="418"/>
        <v>45938</v>
      </c>
      <c r="D3016" t="s">
        <v>7</v>
      </c>
      <c r="E3016">
        <v>39</v>
      </c>
      <c r="F3016" t="s">
        <v>6</v>
      </c>
      <c r="G3016" s="8">
        <f t="shared" ca="1" si="420"/>
        <v>766</v>
      </c>
      <c r="H3016">
        <f t="shared" si="421"/>
        <v>1</v>
      </c>
      <c r="I3016" t="str">
        <f t="shared" si="419"/>
        <v>Sunday</v>
      </c>
      <c r="L3016">
        <f t="shared" ca="1" si="422"/>
        <v>0</v>
      </c>
    </row>
    <row r="3017" spans="1:12" x14ac:dyDescent="0.25">
      <c r="A3017">
        <v>159717680</v>
      </c>
      <c r="B3017" s="1">
        <v>45172</v>
      </c>
      <c r="C3017" s="1">
        <f t="shared" ca="1" si="418"/>
        <v>45938</v>
      </c>
      <c r="D3017" t="s">
        <v>7</v>
      </c>
      <c r="E3017">
        <v>39</v>
      </c>
      <c r="F3017" t="s">
        <v>6</v>
      </c>
      <c r="G3017" s="8">
        <f t="shared" ca="1" si="420"/>
        <v>766</v>
      </c>
      <c r="H3017">
        <f t="shared" si="421"/>
        <v>1</v>
      </c>
      <c r="I3017" t="str">
        <f t="shared" si="419"/>
        <v>Sunday</v>
      </c>
      <c r="L3017">
        <f t="shared" ca="1" si="422"/>
        <v>0</v>
      </c>
    </row>
    <row r="3018" spans="1:12" x14ac:dyDescent="0.25">
      <c r="A3018">
        <v>220420126</v>
      </c>
      <c r="B3018" s="1">
        <v>45172</v>
      </c>
      <c r="C3018" s="1">
        <f t="shared" ca="1" si="418"/>
        <v>45938</v>
      </c>
      <c r="D3018" t="s">
        <v>7</v>
      </c>
      <c r="E3018">
        <v>39</v>
      </c>
      <c r="F3018" t="s">
        <v>6</v>
      </c>
      <c r="G3018" s="8">
        <f t="shared" ca="1" si="420"/>
        <v>766</v>
      </c>
      <c r="H3018">
        <f t="shared" si="421"/>
        <v>1</v>
      </c>
      <c r="I3018" t="str">
        <f t="shared" si="419"/>
        <v>Sunday</v>
      </c>
      <c r="L3018">
        <f t="shared" ca="1" si="422"/>
        <v>0</v>
      </c>
    </row>
    <row r="3019" spans="1:12" x14ac:dyDescent="0.25">
      <c r="A3019">
        <v>220965750</v>
      </c>
      <c r="B3019" s="1">
        <v>45172</v>
      </c>
      <c r="C3019" s="1">
        <f t="shared" ca="1" si="418"/>
        <v>45938</v>
      </c>
      <c r="D3019" t="s">
        <v>7</v>
      </c>
      <c r="E3019">
        <v>39</v>
      </c>
      <c r="F3019" t="s">
        <v>6</v>
      </c>
      <c r="G3019" s="8">
        <f t="shared" ca="1" si="420"/>
        <v>766</v>
      </c>
      <c r="H3019">
        <f t="shared" si="421"/>
        <v>1</v>
      </c>
      <c r="I3019" t="str">
        <f t="shared" si="419"/>
        <v>Sunday</v>
      </c>
      <c r="L3019">
        <f t="shared" ca="1" si="422"/>
        <v>0</v>
      </c>
    </row>
    <row r="3020" spans="1:12" x14ac:dyDescent="0.25">
      <c r="A3020">
        <v>219065931</v>
      </c>
      <c r="B3020" s="1">
        <v>45172</v>
      </c>
      <c r="C3020" s="1">
        <f t="shared" ca="1" si="418"/>
        <v>45938</v>
      </c>
      <c r="D3020" t="s">
        <v>7</v>
      </c>
      <c r="E3020">
        <v>39</v>
      </c>
      <c r="F3020" t="s">
        <v>6</v>
      </c>
      <c r="G3020" s="8">
        <f t="shared" ca="1" si="420"/>
        <v>766</v>
      </c>
      <c r="H3020">
        <f t="shared" si="421"/>
        <v>1</v>
      </c>
      <c r="I3020" t="str">
        <f t="shared" si="419"/>
        <v>Sunday</v>
      </c>
      <c r="L3020">
        <f t="shared" ca="1" si="422"/>
        <v>0</v>
      </c>
    </row>
    <row r="3021" spans="1:12" x14ac:dyDescent="0.25">
      <c r="A3021">
        <v>220707034</v>
      </c>
      <c r="B3021" s="1">
        <v>45172</v>
      </c>
      <c r="C3021" s="1">
        <f t="shared" ca="1" si="418"/>
        <v>45938</v>
      </c>
      <c r="D3021" t="s">
        <v>7</v>
      </c>
      <c r="E3021">
        <v>39</v>
      </c>
      <c r="F3021" t="s">
        <v>6</v>
      </c>
      <c r="G3021" s="8">
        <f t="shared" ca="1" si="420"/>
        <v>766</v>
      </c>
      <c r="H3021">
        <f t="shared" si="421"/>
        <v>1</v>
      </c>
      <c r="I3021" t="str">
        <f t="shared" si="419"/>
        <v>Sunday</v>
      </c>
      <c r="L3021">
        <f t="shared" ca="1" si="422"/>
        <v>0</v>
      </c>
    </row>
    <row r="3022" spans="1:12" x14ac:dyDescent="0.25">
      <c r="A3022">
        <v>220875396</v>
      </c>
      <c r="B3022" s="1">
        <v>45172</v>
      </c>
      <c r="C3022" s="1">
        <f t="shared" ca="1" si="418"/>
        <v>45938</v>
      </c>
      <c r="D3022" t="s">
        <v>7</v>
      </c>
      <c r="E3022">
        <v>39</v>
      </c>
      <c r="F3022" t="s">
        <v>6</v>
      </c>
      <c r="G3022" s="8">
        <f t="shared" ca="1" si="420"/>
        <v>766</v>
      </c>
      <c r="H3022">
        <f t="shared" si="421"/>
        <v>1</v>
      </c>
      <c r="I3022" t="str">
        <f t="shared" si="419"/>
        <v>Sunday</v>
      </c>
      <c r="L3022">
        <f t="shared" ca="1" si="422"/>
        <v>0</v>
      </c>
    </row>
    <row r="3023" spans="1:12" x14ac:dyDescent="0.25">
      <c r="A3023">
        <v>134054676</v>
      </c>
      <c r="B3023" s="1">
        <v>45172</v>
      </c>
      <c r="C3023" s="1">
        <v>45174</v>
      </c>
      <c r="D3023" t="s">
        <v>7</v>
      </c>
      <c r="E3023">
        <v>39</v>
      </c>
      <c r="F3023" t="s">
        <v>6</v>
      </c>
      <c r="G3023" s="8">
        <f t="shared" si="420"/>
        <v>2</v>
      </c>
      <c r="H3023">
        <f t="shared" si="421"/>
        <v>1</v>
      </c>
      <c r="I3023" t="str">
        <f t="shared" si="419"/>
        <v>Sunday</v>
      </c>
      <c r="L3023">
        <f t="shared" si="422"/>
        <v>1</v>
      </c>
    </row>
    <row r="3024" spans="1:12" x14ac:dyDescent="0.25">
      <c r="A3024">
        <v>183702574</v>
      </c>
      <c r="B3024" s="1">
        <v>45172</v>
      </c>
      <c r="C3024" s="1">
        <v>45172</v>
      </c>
      <c r="D3024" t="s">
        <v>7</v>
      </c>
      <c r="E3024">
        <v>39</v>
      </c>
      <c r="F3024" t="s">
        <v>6</v>
      </c>
      <c r="G3024" s="8">
        <f t="shared" si="420"/>
        <v>0</v>
      </c>
      <c r="H3024">
        <f t="shared" si="421"/>
        <v>1</v>
      </c>
      <c r="I3024" t="str">
        <f t="shared" si="419"/>
        <v>Sunday</v>
      </c>
      <c r="L3024">
        <f t="shared" si="422"/>
        <v>1</v>
      </c>
    </row>
    <row r="3025" spans="1:12" x14ac:dyDescent="0.25">
      <c r="A3025">
        <v>220997288</v>
      </c>
      <c r="B3025" s="1">
        <v>45173</v>
      </c>
      <c r="C3025" s="1">
        <f t="shared" ref="C3025:C3070" ca="1" si="423">TODAY()</f>
        <v>45938</v>
      </c>
      <c r="D3025" t="s">
        <v>7</v>
      </c>
      <c r="E3025">
        <v>39</v>
      </c>
      <c r="F3025" t="s">
        <v>6</v>
      </c>
      <c r="G3025" s="8">
        <f t="shared" ca="1" si="420"/>
        <v>765</v>
      </c>
      <c r="H3025">
        <f t="shared" si="421"/>
        <v>2</v>
      </c>
      <c r="I3025" t="str">
        <f t="shared" si="419"/>
        <v>Monday</v>
      </c>
      <c r="L3025">
        <f t="shared" ca="1" si="422"/>
        <v>0</v>
      </c>
    </row>
    <row r="3026" spans="1:12" x14ac:dyDescent="0.25">
      <c r="A3026">
        <v>218617631</v>
      </c>
      <c r="B3026" s="1">
        <v>45173</v>
      </c>
      <c r="C3026" s="1">
        <f t="shared" ca="1" si="423"/>
        <v>45938</v>
      </c>
      <c r="D3026" t="s">
        <v>7</v>
      </c>
      <c r="E3026">
        <v>39</v>
      </c>
      <c r="F3026" t="s">
        <v>6</v>
      </c>
      <c r="G3026" s="8">
        <f t="shared" ca="1" si="420"/>
        <v>765</v>
      </c>
      <c r="H3026">
        <f t="shared" si="421"/>
        <v>2</v>
      </c>
      <c r="I3026" t="str">
        <f t="shared" si="419"/>
        <v>Monday</v>
      </c>
      <c r="L3026">
        <f t="shared" ca="1" si="422"/>
        <v>0</v>
      </c>
    </row>
    <row r="3027" spans="1:12" x14ac:dyDescent="0.25">
      <c r="A3027">
        <v>220952702</v>
      </c>
      <c r="B3027" s="1">
        <v>45173</v>
      </c>
      <c r="C3027" s="1">
        <f t="shared" ca="1" si="423"/>
        <v>45938</v>
      </c>
      <c r="D3027" t="s">
        <v>7</v>
      </c>
      <c r="E3027">
        <v>39</v>
      </c>
      <c r="F3027" t="s">
        <v>6</v>
      </c>
      <c r="G3027" s="8">
        <f t="shared" ca="1" si="420"/>
        <v>765</v>
      </c>
      <c r="H3027">
        <f t="shared" si="421"/>
        <v>2</v>
      </c>
      <c r="I3027" t="str">
        <f t="shared" si="419"/>
        <v>Monday</v>
      </c>
      <c r="L3027">
        <f t="shared" ca="1" si="422"/>
        <v>0</v>
      </c>
    </row>
    <row r="3028" spans="1:12" x14ac:dyDescent="0.25">
      <c r="A3028">
        <v>156460574</v>
      </c>
      <c r="B3028" s="1">
        <v>45173</v>
      </c>
      <c r="C3028" s="1">
        <f t="shared" ca="1" si="423"/>
        <v>45938</v>
      </c>
      <c r="D3028" t="s">
        <v>7</v>
      </c>
      <c r="E3028">
        <v>39</v>
      </c>
      <c r="F3028" t="s">
        <v>6</v>
      </c>
      <c r="G3028" s="8">
        <f t="shared" ca="1" si="420"/>
        <v>765</v>
      </c>
      <c r="H3028">
        <f t="shared" si="421"/>
        <v>2</v>
      </c>
      <c r="I3028" t="str">
        <f t="shared" si="419"/>
        <v>Monday</v>
      </c>
      <c r="L3028">
        <f t="shared" ca="1" si="422"/>
        <v>0</v>
      </c>
    </row>
    <row r="3029" spans="1:12" x14ac:dyDescent="0.25">
      <c r="A3029">
        <v>221012872</v>
      </c>
      <c r="B3029" s="1">
        <v>45173</v>
      </c>
      <c r="C3029" s="1">
        <f t="shared" ca="1" si="423"/>
        <v>45938</v>
      </c>
      <c r="D3029" t="s">
        <v>7</v>
      </c>
      <c r="E3029">
        <v>39</v>
      </c>
      <c r="F3029" t="s">
        <v>6</v>
      </c>
      <c r="G3029" s="8">
        <f t="shared" ca="1" si="420"/>
        <v>765</v>
      </c>
      <c r="H3029">
        <f t="shared" si="421"/>
        <v>2</v>
      </c>
      <c r="I3029" t="str">
        <f t="shared" si="419"/>
        <v>Monday</v>
      </c>
      <c r="L3029">
        <f t="shared" ca="1" si="422"/>
        <v>0</v>
      </c>
    </row>
    <row r="3030" spans="1:12" x14ac:dyDescent="0.25">
      <c r="A3030">
        <v>220845656</v>
      </c>
      <c r="B3030" s="1">
        <v>45173</v>
      </c>
      <c r="C3030" s="1">
        <f t="shared" ca="1" si="423"/>
        <v>45938</v>
      </c>
      <c r="D3030" t="s">
        <v>7</v>
      </c>
      <c r="E3030">
        <v>39</v>
      </c>
      <c r="F3030" t="s">
        <v>6</v>
      </c>
      <c r="G3030" s="8">
        <f t="shared" ca="1" si="420"/>
        <v>765</v>
      </c>
      <c r="H3030">
        <f t="shared" si="421"/>
        <v>2</v>
      </c>
      <c r="I3030" t="str">
        <f t="shared" si="419"/>
        <v>Monday</v>
      </c>
      <c r="L3030">
        <f t="shared" ca="1" si="422"/>
        <v>0</v>
      </c>
    </row>
    <row r="3031" spans="1:12" x14ac:dyDescent="0.25">
      <c r="A3031">
        <v>220989516</v>
      </c>
      <c r="B3031" s="1">
        <v>45173</v>
      </c>
      <c r="C3031" s="1">
        <f t="shared" ca="1" si="423"/>
        <v>45938</v>
      </c>
      <c r="D3031" t="s">
        <v>7</v>
      </c>
      <c r="E3031">
        <v>39</v>
      </c>
      <c r="F3031" t="s">
        <v>6</v>
      </c>
      <c r="G3031" s="8">
        <f t="shared" ca="1" si="420"/>
        <v>765</v>
      </c>
      <c r="H3031">
        <f t="shared" si="421"/>
        <v>2</v>
      </c>
      <c r="I3031" t="str">
        <f t="shared" si="419"/>
        <v>Monday</v>
      </c>
      <c r="L3031">
        <f t="shared" ca="1" si="422"/>
        <v>0</v>
      </c>
    </row>
    <row r="3032" spans="1:12" x14ac:dyDescent="0.25">
      <c r="A3032">
        <v>135317128</v>
      </c>
      <c r="B3032" s="1">
        <v>45173</v>
      </c>
      <c r="C3032" s="1">
        <f t="shared" ca="1" si="423"/>
        <v>45938</v>
      </c>
      <c r="D3032" t="s">
        <v>7</v>
      </c>
      <c r="E3032">
        <v>39</v>
      </c>
      <c r="F3032" t="s">
        <v>6</v>
      </c>
      <c r="G3032" s="8">
        <f t="shared" ca="1" si="420"/>
        <v>765</v>
      </c>
      <c r="H3032">
        <f t="shared" si="421"/>
        <v>2</v>
      </c>
      <c r="I3032" t="str">
        <f t="shared" si="419"/>
        <v>Monday</v>
      </c>
      <c r="L3032">
        <f t="shared" ca="1" si="422"/>
        <v>0</v>
      </c>
    </row>
    <row r="3033" spans="1:12" x14ac:dyDescent="0.25">
      <c r="A3033">
        <v>220984730</v>
      </c>
      <c r="B3033" s="1">
        <v>45173</v>
      </c>
      <c r="C3033" s="1">
        <f t="shared" ca="1" si="423"/>
        <v>45938</v>
      </c>
      <c r="D3033" t="s">
        <v>7</v>
      </c>
      <c r="E3033">
        <v>39</v>
      </c>
      <c r="F3033" t="s">
        <v>6</v>
      </c>
      <c r="G3033" s="8">
        <f t="shared" ca="1" si="420"/>
        <v>765</v>
      </c>
      <c r="H3033">
        <f t="shared" si="421"/>
        <v>2</v>
      </c>
      <c r="I3033" t="str">
        <f t="shared" si="419"/>
        <v>Monday</v>
      </c>
      <c r="L3033">
        <f t="shared" ca="1" si="422"/>
        <v>0</v>
      </c>
    </row>
    <row r="3034" spans="1:12" x14ac:dyDescent="0.25">
      <c r="A3034">
        <v>220984628</v>
      </c>
      <c r="B3034" s="1">
        <v>45173</v>
      </c>
      <c r="C3034" s="1">
        <f t="shared" ca="1" si="423"/>
        <v>45938</v>
      </c>
      <c r="D3034" t="s">
        <v>7</v>
      </c>
      <c r="E3034">
        <v>39</v>
      </c>
      <c r="F3034" t="s">
        <v>6</v>
      </c>
      <c r="G3034" s="8">
        <f t="shared" ca="1" si="420"/>
        <v>765</v>
      </c>
      <c r="H3034">
        <f t="shared" si="421"/>
        <v>2</v>
      </c>
      <c r="I3034" t="str">
        <f t="shared" si="419"/>
        <v>Monday</v>
      </c>
      <c r="L3034">
        <f t="shared" ca="1" si="422"/>
        <v>0</v>
      </c>
    </row>
    <row r="3035" spans="1:12" x14ac:dyDescent="0.25">
      <c r="A3035">
        <v>220989226</v>
      </c>
      <c r="B3035" s="1">
        <v>45173</v>
      </c>
      <c r="C3035" s="1">
        <f t="shared" ca="1" si="423"/>
        <v>45938</v>
      </c>
      <c r="D3035" t="s">
        <v>7</v>
      </c>
      <c r="E3035">
        <v>39</v>
      </c>
      <c r="F3035" t="s">
        <v>6</v>
      </c>
      <c r="G3035" s="8">
        <f t="shared" ca="1" si="420"/>
        <v>765</v>
      </c>
      <c r="H3035">
        <f t="shared" si="421"/>
        <v>2</v>
      </c>
      <c r="I3035" t="str">
        <f t="shared" si="419"/>
        <v>Monday</v>
      </c>
      <c r="L3035">
        <f t="shared" ca="1" si="422"/>
        <v>0</v>
      </c>
    </row>
    <row r="3036" spans="1:12" x14ac:dyDescent="0.25">
      <c r="A3036">
        <v>220988969</v>
      </c>
      <c r="B3036" s="1">
        <v>45173</v>
      </c>
      <c r="C3036" s="1">
        <f t="shared" ca="1" si="423"/>
        <v>45938</v>
      </c>
      <c r="D3036" t="s">
        <v>7</v>
      </c>
      <c r="E3036">
        <v>39</v>
      </c>
      <c r="F3036" t="s">
        <v>6</v>
      </c>
      <c r="G3036" s="8">
        <f t="shared" ca="1" si="420"/>
        <v>765</v>
      </c>
      <c r="H3036">
        <f t="shared" si="421"/>
        <v>2</v>
      </c>
      <c r="I3036" t="str">
        <f t="shared" si="419"/>
        <v>Monday</v>
      </c>
      <c r="L3036">
        <f t="shared" ca="1" si="422"/>
        <v>0</v>
      </c>
    </row>
    <row r="3037" spans="1:12" x14ac:dyDescent="0.25">
      <c r="A3037">
        <v>220988022</v>
      </c>
      <c r="B3037" s="1">
        <v>45173</v>
      </c>
      <c r="C3037" s="1">
        <f t="shared" ca="1" si="423"/>
        <v>45938</v>
      </c>
      <c r="D3037" t="s">
        <v>7</v>
      </c>
      <c r="E3037">
        <v>39</v>
      </c>
      <c r="F3037" t="s">
        <v>6</v>
      </c>
      <c r="G3037" s="8">
        <f t="shared" ca="1" si="420"/>
        <v>765</v>
      </c>
      <c r="H3037">
        <f t="shared" si="421"/>
        <v>2</v>
      </c>
      <c r="I3037" t="str">
        <f t="shared" si="419"/>
        <v>Monday</v>
      </c>
      <c r="L3037">
        <f t="shared" ca="1" si="422"/>
        <v>0</v>
      </c>
    </row>
    <row r="3038" spans="1:12" x14ac:dyDescent="0.25">
      <c r="A3038">
        <v>220984390</v>
      </c>
      <c r="B3038" s="1">
        <v>45173</v>
      </c>
      <c r="C3038" s="1">
        <f t="shared" ca="1" si="423"/>
        <v>45938</v>
      </c>
      <c r="D3038" t="s">
        <v>7</v>
      </c>
      <c r="E3038">
        <v>39</v>
      </c>
      <c r="F3038" t="s">
        <v>6</v>
      </c>
      <c r="G3038" s="8">
        <f t="shared" ca="1" si="420"/>
        <v>765</v>
      </c>
      <c r="H3038">
        <f t="shared" si="421"/>
        <v>2</v>
      </c>
      <c r="I3038" t="str">
        <f t="shared" si="419"/>
        <v>Monday</v>
      </c>
      <c r="L3038">
        <f t="shared" ca="1" si="422"/>
        <v>0</v>
      </c>
    </row>
    <row r="3039" spans="1:12" x14ac:dyDescent="0.25">
      <c r="A3039">
        <v>181480437</v>
      </c>
      <c r="B3039" s="1">
        <v>45173</v>
      </c>
      <c r="C3039" s="1">
        <f t="shared" ca="1" si="423"/>
        <v>45938</v>
      </c>
      <c r="D3039" t="s">
        <v>7</v>
      </c>
      <c r="E3039">
        <v>39</v>
      </c>
      <c r="F3039" t="s">
        <v>6</v>
      </c>
      <c r="G3039" s="8">
        <f t="shared" ca="1" si="420"/>
        <v>765</v>
      </c>
      <c r="H3039">
        <f t="shared" si="421"/>
        <v>2</v>
      </c>
      <c r="I3039" t="str">
        <f t="shared" si="419"/>
        <v>Monday</v>
      </c>
      <c r="L3039">
        <f t="shared" ca="1" si="422"/>
        <v>0</v>
      </c>
    </row>
    <row r="3040" spans="1:12" x14ac:dyDescent="0.25">
      <c r="A3040">
        <v>125219153</v>
      </c>
      <c r="B3040" s="1">
        <v>45174</v>
      </c>
      <c r="C3040" s="1">
        <f t="shared" ca="1" si="423"/>
        <v>45938</v>
      </c>
      <c r="D3040" t="s">
        <v>7</v>
      </c>
      <c r="E3040">
        <v>39</v>
      </c>
      <c r="F3040" t="s">
        <v>6</v>
      </c>
      <c r="G3040" s="8">
        <f t="shared" ca="1" si="420"/>
        <v>764</v>
      </c>
      <c r="H3040">
        <f t="shared" si="421"/>
        <v>3</v>
      </c>
      <c r="I3040" t="str">
        <f t="shared" si="419"/>
        <v>Tuesday</v>
      </c>
      <c r="L3040">
        <f t="shared" ca="1" si="422"/>
        <v>0</v>
      </c>
    </row>
    <row r="3041" spans="1:12" x14ac:dyDescent="0.25">
      <c r="A3041">
        <v>160833652</v>
      </c>
      <c r="B3041" s="1">
        <v>45174</v>
      </c>
      <c r="C3041" s="1">
        <f t="shared" ca="1" si="423"/>
        <v>45938</v>
      </c>
      <c r="D3041" t="s">
        <v>7</v>
      </c>
      <c r="E3041">
        <v>39</v>
      </c>
      <c r="F3041" t="s">
        <v>6</v>
      </c>
      <c r="G3041" s="8">
        <f t="shared" ca="1" si="420"/>
        <v>764</v>
      </c>
      <c r="H3041">
        <f t="shared" si="421"/>
        <v>3</v>
      </c>
      <c r="I3041" t="str">
        <f t="shared" si="419"/>
        <v>Tuesday</v>
      </c>
      <c r="L3041">
        <f t="shared" ca="1" si="422"/>
        <v>0</v>
      </c>
    </row>
    <row r="3042" spans="1:12" x14ac:dyDescent="0.25">
      <c r="A3042">
        <v>221073196</v>
      </c>
      <c r="B3042" s="1">
        <v>45174</v>
      </c>
      <c r="C3042" s="1">
        <f t="shared" ca="1" si="423"/>
        <v>45938</v>
      </c>
      <c r="D3042" t="s">
        <v>7</v>
      </c>
      <c r="E3042">
        <v>39</v>
      </c>
      <c r="F3042" t="s">
        <v>6</v>
      </c>
      <c r="G3042" s="8">
        <f t="shared" ca="1" si="420"/>
        <v>764</v>
      </c>
      <c r="H3042">
        <f t="shared" si="421"/>
        <v>3</v>
      </c>
      <c r="I3042" t="str">
        <f t="shared" si="419"/>
        <v>Tuesday</v>
      </c>
      <c r="L3042">
        <f t="shared" ca="1" si="422"/>
        <v>0</v>
      </c>
    </row>
    <row r="3043" spans="1:12" x14ac:dyDescent="0.25">
      <c r="A3043">
        <v>153733292</v>
      </c>
      <c r="B3043" s="1">
        <v>45174</v>
      </c>
      <c r="C3043" s="1">
        <f t="shared" ca="1" si="423"/>
        <v>45938</v>
      </c>
      <c r="D3043" t="s">
        <v>7</v>
      </c>
      <c r="E3043">
        <v>39</v>
      </c>
      <c r="F3043" t="s">
        <v>6</v>
      </c>
      <c r="G3043" s="8">
        <f t="shared" ca="1" si="420"/>
        <v>764</v>
      </c>
      <c r="H3043">
        <f t="shared" si="421"/>
        <v>3</v>
      </c>
      <c r="I3043" t="str">
        <f t="shared" si="419"/>
        <v>Tuesday</v>
      </c>
      <c r="L3043">
        <f t="shared" ca="1" si="422"/>
        <v>0</v>
      </c>
    </row>
    <row r="3044" spans="1:12" x14ac:dyDescent="0.25">
      <c r="A3044">
        <v>152692003</v>
      </c>
      <c r="B3044" s="1">
        <v>45174</v>
      </c>
      <c r="C3044" s="1">
        <f t="shared" ca="1" si="423"/>
        <v>45938</v>
      </c>
      <c r="D3044" t="s">
        <v>7</v>
      </c>
      <c r="E3044">
        <v>39</v>
      </c>
      <c r="F3044" t="s">
        <v>6</v>
      </c>
      <c r="G3044" s="8">
        <f t="shared" ca="1" si="420"/>
        <v>764</v>
      </c>
      <c r="H3044">
        <f t="shared" si="421"/>
        <v>3</v>
      </c>
      <c r="I3044" t="str">
        <f t="shared" si="419"/>
        <v>Tuesday</v>
      </c>
      <c r="L3044">
        <f t="shared" ca="1" si="422"/>
        <v>0</v>
      </c>
    </row>
    <row r="3045" spans="1:12" x14ac:dyDescent="0.25">
      <c r="A3045">
        <v>220528931</v>
      </c>
      <c r="B3045" s="1">
        <v>45174</v>
      </c>
      <c r="C3045" s="1">
        <f t="shared" ca="1" si="423"/>
        <v>45938</v>
      </c>
      <c r="D3045" t="s">
        <v>7</v>
      </c>
      <c r="E3045">
        <v>39</v>
      </c>
      <c r="F3045" t="s">
        <v>6</v>
      </c>
      <c r="G3045" s="8">
        <f t="shared" ca="1" si="420"/>
        <v>764</v>
      </c>
      <c r="H3045">
        <f t="shared" si="421"/>
        <v>3</v>
      </c>
      <c r="I3045" t="str">
        <f t="shared" si="419"/>
        <v>Tuesday</v>
      </c>
      <c r="L3045">
        <f t="shared" ca="1" si="422"/>
        <v>0</v>
      </c>
    </row>
    <row r="3046" spans="1:12" x14ac:dyDescent="0.25">
      <c r="A3046">
        <v>221052611</v>
      </c>
      <c r="B3046" s="1">
        <v>45174</v>
      </c>
      <c r="C3046" s="1">
        <f t="shared" ca="1" si="423"/>
        <v>45938</v>
      </c>
      <c r="D3046" t="s">
        <v>7</v>
      </c>
      <c r="E3046">
        <v>39</v>
      </c>
      <c r="F3046" t="s">
        <v>6</v>
      </c>
      <c r="G3046" s="8">
        <f t="shared" ca="1" si="420"/>
        <v>764</v>
      </c>
      <c r="H3046">
        <f t="shared" si="421"/>
        <v>3</v>
      </c>
      <c r="I3046" t="str">
        <f t="shared" si="419"/>
        <v>Tuesday</v>
      </c>
      <c r="L3046">
        <f t="shared" ca="1" si="422"/>
        <v>0</v>
      </c>
    </row>
    <row r="3047" spans="1:12" x14ac:dyDescent="0.25">
      <c r="A3047">
        <v>220665801</v>
      </c>
      <c r="B3047" s="1">
        <v>45174</v>
      </c>
      <c r="C3047" s="1">
        <f t="shared" ca="1" si="423"/>
        <v>45938</v>
      </c>
      <c r="D3047" t="s">
        <v>7</v>
      </c>
      <c r="E3047">
        <v>39</v>
      </c>
      <c r="F3047" t="s">
        <v>6</v>
      </c>
      <c r="G3047" s="8">
        <f t="shared" ca="1" si="420"/>
        <v>764</v>
      </c>
      <c r="H3047">
        <f t="shared" si="421"/>
        <v>3</v>
      </c>
      <c r="I3047" t="str">
        <f t="shared" si="419"/>
        <v>Tuesday</v>
      </c>
      <c r="L3047">
        <f t="shared" ca="1" si="422"/>
        <v>0</v>
      </c>
    </row>
    <row r="3048" spans="1:12" x14ac:dyDescent="0.25">
      <c r="A3048">
        <v>221028388</v>
      </c>
      <c r="B3048" s="1">
        <v>45174</v>
      </c>
      <c r="C3048" s="1">
        <f t="shared" ca="1" si="423"/>
        <v>45938</v>
      </c>
      <c r="D3048" t="s">
        <v>7</v>
      </c>
      <c r="E3048">
        <v>39</v>
      </c>
      <c r="F3048" t="s">
        <v>6</v>
      </c>
      <c r="G3048" s="8">
        <f t="shared" ca="1" si="420"/>
        <v>764</v>
      </c>
      <c r="H3048">
        <f t="shared" si="421"/>
        <v>3</v>
      </c>
      <c r="I3048" t="str">
        <f t="shared" si="419"/>
        <v>Tuesday</v>
      </c>
      <c r="L3048">
        <f t="shared" ca="1" si="422"/>
        <v>0</v>
      </c>
    </row>
    <row r="3049" spans="1:12" x14ac:dyDescent="0.25">
      <c r="A3049">
        <v>206284545</v>
      </c>
      <c r="B3049" s="1">
        <v>45174</v>
      </c>
      <c r="C3049" s="1">
        <f t="shared" ca="1" si="423"/>
        <v>45938</v>
      </c>
      <c r="D3049" t="s">
        <v>7</v>
      </c>
      <c r="E3049">
        <v>39</v>
      </c>
      <c r="F3049" t="s">
        <v>6</v>
      </c>
      <c r="G3049" s="8">
        <f t="shared" ca="1" si="420"/>
        <v>764</v>
      </c>
      <c r="H3049">
        <f t="shared" si="421"/>
        <v>3</v>
      </c>
      <c r="I3049" t="str">
        <f t="shared" si="419"/>
        <v>Tuesday</v>
      </c>
      <c r="L3049">
        <f t="shared" ca="1" si="422"/>
        <v>0</v>
      </c>
    </row>
    <row r="3050" spans="1:12" x14ac:dyDescent="0.25">
      <c r="A3050">
        <v>178531928</v>
      </c>
      <c r="B3050" s="1">
        <v>45174</v>
      </c>
      <c r="C3050" s="1">
        <f t="shared" ca="1" si="423"/>
        <v>45938</v>
      </c>
      <c r="D3050" t="s">
        <v>7</v>
      </c>
      <c r="E3050">
        <v>39</v>
      </c>
      <c r="F3050" t="s">
        <v>6</v>
      </c>
      <c r="G3050" s="8">
        <f t="shared" ca="1" si="420"/>
        <v>764</v>
      </c>
      <c r="H3050">
        <f t="shared" si="421"/>
        <v>3</v>
      </c>
      <c r="I3050" t="str">
        <f t="shared" si="419"/>
        <v>Tuesday</v>
      </c>
      <c r="L3050">
        <f t="shared" ca="1" si="422"/>
        <v>0</v>
      </c>
    </row>
    <row r="3051" spans="1:12" x14ac:dyDescent="0.25">
      <c r="A3051">
        <v>220994271</v>
      </c>
      <c r="B3051" s="1">
        <v>45174</v>
      </c>
      <c r="C3051" s="1">
        <f t="shared" ca="1" si="423"/>
        <v>45938</v>
      </c>
      <c r="D3051" t="s">
        <v>7</v>
      </c>
      <c r="E3051">
        <v>39</v>
      </c>
      <c r="F3051" t="s">
        <v>6</v>
      </c>
      <c r="G3051" s="8">
        <f t="shared" ca="1" si="420"/>
        <v>764</v>
      </c>
      <c r="H3051">
        <f t="shared" si="421"/>
        <v>3</v>
      </c>
      <c r="I3051" t="str">
        <f t="shared" si="419"/>
        <v>Tuesday</v>
      </c>
      <c r="L3051">
        <f t="shared" ca="1" si="422"/>
        <v>0</v>
      </c>
    </row>
    <row r="3052" spans="1:12" x14ac:dyDescent="0.25">
      <c r="A3052">
        <v>218720472</v>
      </c>
      <c r="B3052" s="1">
        <v>45174</v>
      </c>
      <c r="C3052" s="1">
        <f t="shared" ca="1" si="423"/>
        <v>45938</v>
      </c>
      <c r="D3052" t="s">
        <v>7</v>
      </c>
      <c r="E3052">
        <v>39</v>
      </c>
      <c r="F3052" t="s">
        <v>6</v>
      </c>
      <c r="G3052" s="8">
        <f t="shared" ca="1" si="420"/>
        <v>764</v>
      </c>
      <c r="H3052">
        <f t="shared" si="421"/>
        <v>3</v>
      </c>
      <c r="I3052" t="str">
        <f t="shared" si="419"/>
        <v>Tuesday</v>
      </c>
      <c r="L3052">
        <f t="shared" ca="1" si="422"/>
        <v>0</v>
      </c>
    </row>
    <row r="3053" spans="1:12" x14ac:dyDescent="0.25">
      <c r="A3053">
        <v>218900441</v>
      </c>
      <c r="B3053" s="1">
        <v>45175</v>
      </c>
      <c r="C3053" s="1">
        <f t="shared" ca="1" si="423"/>
        <v>45938</v>
      </c>
      <c r="D3053" t="s">
        <v>7</v>
      </c>
      <c r="E3053">
        <v>39</v>
      </c>
      <c r="F3053" t="s">
        <v>6</v>
      </c>
      <c r="G3053" s="8">
        <f t="shared" ca="1" si="420"/>
        <v>763</v>
      </c>
      <c r="H3053">
        <f t="shared" si="421"/>
        <v>4</v>
      </c>
      <c r="I3053" t="str">
        <f t="shared" si="419"/>
        <v>Wednesday</v>
      </c>
      <c r="L3053">
        <f t="shared" ca="1" si="422"/>
        <v>0</v>
      </c>
    </row>
    <row r="3054" spans="1:12" x14ac:dyDescent="0.25">
      <c r="A3054">
        <v>221123938</v>
      </c>
      <c r="B3054" s="1">
        <v>45175</v>
      </c>
      <c r="C3054" s="1">
        <f t="shared" ca="1" si="423"/>
        <v>45938</v>
      </c>
      <c r="D3054" t="s">
        <v>7</v>
      </c>
      <c r="E3054">
        <v>39</v>
      </c>
      <c r="F3054" t="s">
        <v>6</v>
      </c>
      <c r="G3054" s="8">
        <f t="shared" ca="1" si="420"/>
        <v>763</v>
      </c>
      <c r="H3054">
        <f t="shared" si="421"/>
        <v>4</v>
      </c>
      <c r="I3054" t="str">
        <f t="shared" si="419"/>
        <v>Wednesday</v>
      </c>
      <c r="L3054">
        <f t="shared" ca="1" si="422"/>
        <v>0</v>
      </c>
    </row>
    <row r="3055" spans="1:12" x14ac:dyDescent="0.25">
      <c r="A3055">
        <v>166750222</v>
      </c>
      <c r="B3055" s="1">
        <v>45175</v>
      </c>
      <c r="C3055" s="1">
        <f t="shared" ca="1" si="423"/>
        <v>45938</v>
      </c>
      <c r="D3055" t="s">
        <v>7</v>
      </c>
      <c r="E3055">
        <v>39</v>
      </c>
      <c r="F3055" t="s">
        <v>6</v>
      </c>
      <c r="G3055" s="8">
        <f t="shared" ca="1" si="420"/>
        <v>763</v>
      </c>
      <c r="H3055">
        <f t="shared" si="421"/>
        <v>4</v>
      </c>
      <c r="I3055" t="str">
        <f t="shared" si="419"/>
        <v>Wednesday</v>
      </c>
      <c r="L3055">
        <f t="shared" ca="1" si="422"/>
        <v>0</v>
      </c>
    </row>
    <row r="3056" spans="1:12" x14ac:dyDescent="0.25">
      <c r="A3056">
        <v>154783053</v>
      </c>
      <c r="B3056" s="1">
        <v>45175</v>
      </c>
      <c r="C3056" s="1">
        <f t="shared" ca="1" si="423"/>
        <v>45938</v>
      </c>
      <c r="D3056" t="s">
        <v>7</v>
      </c>
      <c r="E3056">
        <v>39</v>
      </c>
      <c r="F3056" t="s">
        <v>6</v>
      </c>
      <c r="G3056" s="8">
        <f t="shared" ca="1" si="420"/>
        <v>763</v>
      </c>
      <c r="H3056">
        <f t="shared" si="421"/>
        <v>4</v>
      </c>
      <c r="I3056" t="str">
        <f t="shared" si="419"/>
        <v>Wednesday</v>
      </c>
      <c r="L3056">
        <f t="shared" ca="1" si="422"/>
        <v>0</v>
      </c>
    </row>
    <row r="3057" spans="1:12" x14ac:dyDescent="0.25">
      <c r="A3057">
        <v>221100604</v>
      </c>
      <c r="B3057" s="1">
        <v>45175</v>
      </c>
      <c r="C3057" s="1">
        <f t="shared" ca="1" si="423"/>
        <v>45938</v>
      </c>
      <c r="D3057" t="s">
        <v>7</v>
      </c>
      <c r="E3057">
        <v>39</v>
      </c>
      <c r="F3057" t="s">
        <v>6</v>
      </c>
      <c r="G3057" s="8">
        <f t="shared" ca="1" si="420"/>
        <v>763</v>
      </c>
      <c r="H3057">
        <f t="shared" si="421"/>
        <v>4</v>
      </c>
      <c r="I3057" t="str">
        <f t="shared" si="419"/>
        <v>Wednesday</v>
      </c>
      <c r="L3057">
        <f t="shared" ca="1" si="422"/>
        <v>0</v>
      </c>
    </row>
    <row r="3058" spans="1:12" x14ac:dyDescent="0.25">
      <c r="A3058">
        <v>220703723</v>
      </c>
      <c r="B3058" s="1">
        <v>45175</v>
      </c>
      <c r="C3058" s="1">
        <f t="shared" ca="1" si="423"/>
        <v>45938</v>
      </c>
      <c r="D3058" t="s">
        <v>7</v>
      </c>
      <c r="E3058">
        <v>39</v>
      </c>
      <c r="F3058" t="s">
        <v>6</v>
      </c>
      <c r="G3058" s="8">
        <f t="shared" ca="1" si="420"/>
        <v>763</v>
      </c>
      <c r="H3058">
        <f t="shared" si="421"/>
        <v>4</v>
      </c>
      <c r="I3058" t="str">
        <f t="shared" si="419"/>
        <v>Wednesday</v>
      </c>
      <c r="L3058">
        <f t="shared" ca="1" si="422"/>
        <v>0</v>
      </c>
    </row>
    <row r="3059" spans="1:12" x14ac:dyDescent="0.25">
      <c r="A3059">
        <v>220815627</v>
      </c>
      <c r="B3059" s="1">
        <v>45175</v>
      </c>
      <c r="C3059" s="1">
        <f t="shared" ca="1" si="423"/>
        <v>45938</v>
      </c>
      <c r="D3059" t="s">
        <v>7</v>
      </c>
      <c r="E3059">
        <v>39</v>
      </c>
      <c r="F3059" t="s">
        <v>6</v>
      </c>
      <c r="G3059" s="8">
        <f t="shared" ca="1" si="420"/>
        <v>763</v>
      </c>
      <c r="H3059">
        <f t="shared" si="421"/>
        <v>4</v>
      </c>
      <c r="I3059" t="str">
        <f t="shared" si="419"/>
        <v>Wednesday</v>
      </c>
      <c r="L3059">
        <f t="shared" ca="1" si="422"/>
        <v>0</v>
      </c>
    </row>
    <row r="3060" spans="1:12" x14ac:dyDescent="0.25">
      <c r="A3060">
        <v>214764106</v>
      </c>
      <c r="B3060" s="1">
        <v>45175</v>
      </c>
      <c r="C3060" s="1">
        <f t="shared" ca="1" si="423"/>
        <v>45938</v>
      </c>
      <c r="D3060" t="s">
        <v>7</v>
      </c>
      <c r="E3060">
        <v>39</v>
      </c>
      <c r="F3060" t="s">
        <v>6</v>
      </c>
      <c r="G3060" s="8">
        <f t="shared" ca="1" si="420"/>
        <v>763</v>
      </c>
      <c r="H3060">
        <f t="shared" si="421"/>
        <v>4</v>
      </c>
      <c r="I3060" t="str">
        <f t="shared" si="419"/>
        <v>Wednesday</v>
      </c>
      <c r="L3060">
        <f t="shared" ca="1" si="422"/>
        <v>0</v>
      </c>
    </row>
    <row r="3061" spans="1:12" x14ac:dyDescent="0.25">
      <c r="A3061">
        <v>158763940</v>
      </c>
      <c r="B3061" s="1">
        <v>45176</v>
      </c>
      <c r="C3061" s="1">
        <f t="shared" ca="1" si="423"/>
        <v>45938</v>
      </c>
      <c r="D3061" t="s">
        <v>7</v>
      </c>
      <c r="E3061">
        <v>39</v>
      </c>
      <c r="F3061" t="s">
        <v>6</v>
      </c>
      <c r="G3061" s="8">
        <f t="shared" ca="1" si="420"/>
        <v>762</v>
      </c>
      <c r="H3061">
        <f t="shared" si="421"/>
        <v>5</v>
      </c>
      <c r="I3061" t="str">
        <f t="shared" si="419"/>
        <v>Thursday</v>
      </c>
      <c r="L3061">
        <f t="shared" ca="1" si="422"/>
        <v>0</v>
      </c>
    </row>
    <row r="3062" spans="1:12" x14ac:dyDescent="0.25">
      <c r="A3062">
        <v>220065316</v>
      </c>
      <c r="B3062" s="1">
        <v>45176</v>
      </c>
      <c r="C3062" s="1">
        <f t="shared" ca="1" si="423"/>
        <v>45938</v>
      </c>
      <c r="D3062" t="s">
        <v>7</v>
      </c>
      <c r="E3062">
        <v>39</v>
      </c>
      <c r="F3062" t="s">
        <v>6</v>
      </c>
      <c r="G3062" s="8">
        <f t="shared" ca="1" si="420"/>
        <v>762</v>
      </c>
      <c r="H3062">
        <f t="shared" si="421"/>
        <v>5</v>
      </c>
      <c r="I3062" t="str">
        <f t="shared" si="419"/>
        <v>Thursday</v>
      </c>
      <c r="L3062">
        <f t="shared" ca="1" si="422"/>
        <v>0</v>
      </c>
    </row>
    <row r="3063" spans="1:12" x14ac:dyDescent="0.25">
      <c r="A3063">
        <v>217662862</v>
      </c>
      <c r="B3063" s="1">
        <v>45176</v>
      </c>
      <c r="C3063" s="1">
        <f t="shared" ca="1" si="423"/>
        <v>45938</v>
      </c>
      <c r="D3063" t="s">
        <v>7</v>
      </c>
      <c r="E3063">
        <v>39</v>
      </c>
      <c r="F3063" t="s">
        <v>6</v>
      </c>
      <c r="G3063" s="8">
        <f t="shared" ca="1" si="420"/>
        <v>762</v>
      </c>
      <c r="H3063">
        <f t="shared" si="421"/>
        <v>5</v>
      </c>
      <c r="I3063" t="str">
        <f t="shared" si="419"/>
        <v>Thursday</v>
      </c>
      <c r="L3063">
        <f t="shared" ca="1" si="422"/>
        <v>0</v>
      </c>
    </row>
    <row r="3064" spans="1:12" x14ac:dyDescent="0.25">
      <c r="A3064">
        <v>220328388</v>
      </c>
      <c r="B3064" s="1">
        <v>45176</v>
      </c>
      <c r="C3064" s="1">
        <f t="shared" ca="1" si="423"/>
        <v>45938</v>
      </c>
      <c r="D3064" t="s">
        <v>7</v>
      </c>
      <c r="E3064">
        <v>39</v>
      </c>
      <c r="F3064" t="s">
        <v>6</v>
      </c>
      <c r="G3064" s="8">
        <f t="shared" ca="1" si="420"/>
        <v>762</v>
      </c>
      <c r="H3064">
        <f t="shared" si="421"/>
        <v>5</v>
      </c>
      <c r="I3064" t="str">
        <f t="shared" si="419"/>
        <v>Thursday</v>
      </c>
      <c r="L3064">
        <f t="shared" ca="1" si="422"/>
        <v>0</v>
      </c>
    </row>
    <row r="3065" spans="1:12" x14ac:dyDescent="0.25">
      <c r="A3065">
        <v>219521019</v>
      </c>
      <c r="B3065" s="1">
        <v>45176</v>
      </c>
      <c r="C3065" s="1">
        <f t="shared" ca="1" si="423"/>
        <v>45938</v>
      </c>
      <c r="D3065" t="s">
        <v>7</v>
      </c>
      <c r="E3065">
        <v>39</v>
      </c>
      <c r="F3065" t="s">
        <v>6</v>
      </c>
      <c r="G3065" s="8">
        <f t="shared" ca="1" si="420"/>
        <v>762</v>
      </c>
      <c r="H3065">
        <f t="shared" si="421"/>
        <v>5</v>
      </c>
      <c r="I3065" t="str">
        <f t="shared" si="419"/>
        <v>Thursday</v>
      </c>
      <c r="L3065">
        <f t="shared" ca="1" si="422"/>
        <v>0</v>
      </c>
    </row>
    <row r="3066" spans="1:12" x14ac:dyDescent="0.25">
      <c r="A3066">
        <v>221145374</v>
      </c>
      <c r="B3066" s="1">
        <v>45176</v>
      </c>
      <c r="C3066" s="1">
        <f t="shared" ca="1" si="423"/>
        <v>45938</v>
      </c>
      <c r="D3066" t="s">
        <v>7</v>
      </c>
      <c r="E3066">
        <v>39</v>
      </c>
      <c r="F3066" t="s">
        <v>6</v>
      </c>
      <c r="G3066" s="8">
        <f t="shared" ca="1" si="420"/>
        <v>762</v>
      </c>
      <c r="H3066">
        <f t="shared" si="421"/>
        <v>5</v>
      </c>
      <c r="I3066" t="str">
        <f t="shared" si="419"/>
        <v>Thursday</v>
      </c>
      <c r="L3066">
        <f t="shared" ca="1" si="422"/>
        <v>0</v>
      </c>
    </row>
    <row r="3067" spans="1:12" x14ac:dyDescent="0.25">
      <c r="A3067">
        <v>221130434</v>
      </c>
      <c r="B3067" s="1">
        <v>45176</v>
      </c>
      <c r="C3067" s="1">
        <f t="shared" ca="1" si="423"/>
        <v>45938</v>
      </c>
      <c r="D3067" t="s">
        <v>7</v>
      </c>
      <c r="E3067">
        <v>39</v>
      </c>
      <c r="F3067" t="s">
        <v>6</v>
      </c>
      <c r="G3067" s="8">
        <f t="shared" ca="1" si="420"/>
        <v>762</v>
      </c>
      <c r="H3067">
        <f t="shared" si="421"/>
        <v>5</v>
      </c>
      <c r="I3067" t="str">
        <f t="shared" si="419"/>
        <v>Thursday</v>
      </c>
      <c r="L3067">
        <f t="shared" ca="1" si="422"/>
        <v>0</v>
      </c>
    </row>
    <row r="3068" spans="1:12" x14ac:dyDescent="0.25">
      <c r="A3068">
        <v>221189604</v>
      </c>
      <c r="B3068" s="1">
        <v>45177</v>
      </c>
      <c r="C3068" s="1">
        <f t="shared" ca="1" si="423"/>
        <v>45938</v>
      </c>
      <c r="D3068" t="s">
        <v>7</v>
      </c>
      <c r="E3068">
        <v>39</v>
      </c>
      <c r="F3068" t="s">
        <v>6</v>
      </c>
      <c r="G3068" s="8">
        <f t="shared" ca="1" si="420"/>
        <v>761</v>
      </c>
      <c r="H3068">
        <f t="shared" si="421"/>
        <v>6</v>
      </c>
      <c r="I3068" t="str">
        <f t="shared" si="419"/>
        <v>Friday</v>
      </c>
      <c r="L3068">
        <f t="shared" ca="1" si="422"/>
        <v>0</v>
      </c>
    </row>
    <row r="3069" spans="1:12" x14ac:dyDescent="0.25">
      <c r="A3069">
        <v>215174643</v>
      </c>
      <c r="B3069" s="1">
        <v>45177</v>
      </c>
      <c r="C3069" s="1">
        <f t="shared" ca="1" si="423"/>
        <v>45938</v>
      </c>
      <c r="D3069" t="s">
        <v>7</v>
      </c>
      <c r="E3069">
        <v>39</v>
      </c>
      <c r="F3069" t="s">
        <v>6</v>
      </c>
      <c r="G3069" s="8">
        <f t="shared" ca="1" si="420"/>
        <v>761</v>
      </c>
      <c r="H3069">
        <f t="shared" si="421"/>
        <v>6</v>
      </c>
      <c r="I3069" t="str">
        <f t="shared" si="419"/>
        <v>Friday</v>
      </c>
      <c r="L3069">
        <f t="shared" ca="1" si="422"/>
        <v>0</v>
      </c>
    </row>
    <row r="3070" spans="1:12" x14ac:dyDescent="0.25">
      <c r="A3070">
        <v>188354637</v>
      </c>
      <c r="B3070" s="1">
        <v>45177</v>
      </c>
      <c r="C3070" s="1">
        <f t="shared" ca="1" si="423"/>
        <v>45938</v>
      </c>
      <c r="D3070" t="s">
        <v>7</v>
      </c>
      <c r="E3070">
        <v>39</v>
      </c>
      <c r="F3070" t="s">
        <v>6</v>
      </c>
      <c r="G3070" s="8">
        <f t="shared" ca="1" si="420"/>
        <v>761</v>
      </c>
      <c r="H3070">
        <f t="shared" si="421"/>
        <v>6</v>
      </c>
      <c r="I3070" t="str">
        <f t="shared" si="419"/>
        <v>Friday</v>
      </c>
      <c r="L3070">
        <f t="shared" ca="1" si="422"/>
        <v>0</v>
      </c>
    </row>
    <row r="3071" spans="1:12" x14ac:dyDescent="0.25">
      <c r="C3071" s="1"/>
    </row>
    <row r="3072" spans="1:12" x14ac:dyDescent="0.25">
      <c r="C3072" s="1"/>
    </row>
    <row r="3073" spans="3:3" x14ac:dyDescent="0.25">
      <c r="C3073" s="1"/>
    </row>
    <row r="3074" spans="3:3" x14ac:dyDescent="0.25">
      <c r="C3074" s="1"/>
    </row>
    <row r="3075" spans="3:3" x14ac:dyDescent="0.25">
      <c r="C3075" s="1"/>
    </row>
    <row r="3076" spans="3:3" x14ac:dyDescent="0.25">
      <c r="C3076" s="1"/>
    </row>
    <row r="3077" spans="3:3" x14ac:dyDescent="0.25">
      <c r="C3077" s="1"/>
    </row>
    <row r="3078" spans="3:3" x14ac:dyDescent="0.25">
      <c r="C3078" s="1"/>
    </row>
    <row r="3079" spans="3:3" x14ac:dyDescent="0.25">
      <c r="C3079" s="1"/>
    </row>
    <row r="3080" spans="3:3" x14ac:dyDescent="0.25">
      <c r="C3080" s="1"/>
    </row>
    <row r="3081" spans="3:3" x14ac:dyDescent="0.25">
      <c r="C3081" s="1"/>
    </row>
    <row r="3082" spans="3:3" x14ac:dyDescent="0.25">
      <c r="C3082" s="1"/>
    </row>
    <row r="3083" spans="3:3" x14ac:dyDescent="0.25">
      <c r="C3083" s="1"/>
    </row>
    <row r="3084" spans="3:3" x14ac:dyDescent="0.25">
      <c r="C3084" s="1"/>
    </row>
    <row r="3085" spans="3:3" x14ac:dyDescent="0.25">
      <c r="C3085" s="1"/>
    </row>
    <row r="3086" spans="3:3" x14ac:dyDescent="0.25">
      <c r="C3086" s="1"/>
    </row>
    <row r="3087" spans="3:3" x14ac:dyDescent="0.25">
      <c r="C3087" s="1"/>
    </row>
    <row r="3088" spans="3:3" x14ac:dyDescent="0.25">
      <c r="C3088" s="1"/>
    </row>
    <row r="3089" spans="3:3" x14ac:dyDescent="0.25">
      <c r="C3089" s="1"/>
    </row>
    <row r="3090" spans="3:3" x14ac:dyDescent="0.25">
      <c r="C3090" s="1"/>
    </row>
    <row r="3091" spans="3:3" x14ac:dyDescent="0.25">
      <c r="C3091" s="1"/>
    </row>
    <row r="3092" spans="3:3" x14ac:dyDescent="0.25">
      <c r="C3092" s="1"/>
    </row>
    <row r="3093" spans="3:3" x14ac:dyDescent="0.25">
      <c r="C3093" s="1"/>
    </row>
    <row r="3094" spans="3:3" x14ac:dyDescent="0.25">
      <c r="C3094" s="1"/>
    </row>
    <row r="3095" spans="3:3" x14ac:dyDescent="0.25">
      <c r="C3095" s="1"/>
    </row>
    <row r="3096" spans="3:3" x14ac:dyDescent="0.25">
      <c r="C3096" s="1"/>
    </row>
    <row r="3097" spans="3:3" x14ac:dyDescent="0.25">
      <c r="C3097" s="1"/>
    </row>
    <row r="3098" spans="3:3" x14ac:dyDescent="0.25">
      <c r="C3098" s="1"/>
    </row>
    <row r="3099" spans="3:3" x14ac:dyDescent="0.25">
      <c r="C3099" s="1"/>
    </row>
    <row r="3100" spans="3:3" x14ac:dyDescent="0.25">
      <c r="C3100" s="1"/>
    </row>
    <row r="3101" spans="3:3" x14ac:dyDescent="0.25">
      <c r="C3101" s="1"/>
    </row>
    <row r="3102" spans="3:3" x14ac:dyDescent="0.25">
      <c r="C3102" s="1"/>
    </row>
    <row r="3103" spans="3:3" x14ac:dyDescent="0.25">
      <c r="C3103" s="1"/>
    </row>
    <row r="3104" spans="3:3" x14ac:dyDescent="0.25">
      <c r="C3104" s="1"/>
    </row>
    <row r="3105" spans="3:3" x14ac:dyDescent="0.25">
      <c r="C3105" s="1"/>
    </row>
    <row r="3106" spans="3:3" x14ac:dyDescent="0.25">
      <c r="C3106" s="1"/>
    </row>
    <row r="3107" spans="3:3" x14ac:dyDescent="0.25">
      <c r="C3107" s="1"/>
    </row>
    <row r="3108" spans="3:3" x14ac:dyDescent="0.25">
      <c r="C3108" s="1"/>
    </row>
    <row r="3109" spans="3:3" x14ac:dyDescent="0.25">
      <c r="C3109" s="1"/>
    </row>
    <row r="3110" spans="3:3" x14ac:dyDescent="0.25">
      <c r="C3110" s="1"/>
    </row>
    <row r="3111" spans="3:3" x14ac:dyDescent="0.25">
      <c r="C3111" s="1"/>
    </row>
    <row r="3112" spans="3:3" x14ac:dyDescent="0.25">
      <c r="C3112" s="1"/>
    </row>
    <row r="3113" spans="3:3" x14ac:dyDescent="0.25">
      <c r="C3113" s="1"/>
    </row>
    <row r="3114" spans="3:3" x14ac:dyDescent="0.25">
      <c r="C3114" s="1"/>
    </row>
    <row r="3115" spans="3:3" x14ac:dyDescent="0.25">
      <c r="C3115" s="1"/>
    </row>
    <row r="3116" spans="3:3" x14ac:dyDescent="0.25">
      <c r="C3116" s="1"/>
    </row>
    <row r="3117" spans="3:3" x14ac:dyDescent="0.25">
      <c r="C3117" s="1"/>
    </row>
    <row r="3118" spans="3:3" x14ac:dyDescent="0.25">
      <c r="C3118" s="1"/>
    </row>
    <row r="3119" spans="3:3" x14ac:dyDescent="0.25">
      <c r="C3119" s="1"/>
    </row>
    <row r="3120" spans="3:3" x14ac:dyDescent="0.25">
      <c r="C3120" s="1"/>
    </row>
    <row r="3121" spans="3:3" x14ac:dyDescent="0.25">
      <c r="C3121" s="1"/>
    </row>
    <row r="3122" spans="3:3" x14ac:dyDescent="0.25">
      <c r="C3122" s="1"/>
    </row>
    <row r="3123" spans="3:3" x14ac:dyDescent="0.25">
      <c r="C3123" s="1"/>
    </row>
    <row r="3124" spans="3:3" x14ac:dyDescent="0.25">
      <c r="C3124" s="1"/>
    </row>
    <row r="3125" spans="3:3" x14ac:dyDescent="0.25">
      <c r="C3125" s="1"/>
    </row>
    <row r="3126" spans="3:3" x14ac:dyDescent="0.25">
      <c r="C3126" s="1"/>
    </row>
    <row r="3127" spans="3:3" x14ac:dyDescent="0.25">
      <c r="C3127" s="1"/>
    </row>
    <row r="3128" spans="3:3" x14ac:dyDescent="0.25">
      <c r="C3128" s="1"/>
    </row>
    <row r="3129" spans="3:3" x14ac:dyDescent="0.25">
      <c r="C3129" s="1"/>
    </row>
    <row r="3130" spans="3:3" x14ac:dyDescent="0.25">
      <c r="C3130" s="1"/>
    </row>
    <row r="3131" spans="3:3" x14ac:dyDescent="0.25">
      <c r="C3131" s="1"/>
    </row>
    <row r="3132" spans="3:3" x14ac:dyDescent="0.25">
      <c r="C3132" s="1"/>
    </row>
    <row r="3133" spans="3:3" x14ac:dyDescent="0.25">
      <c r="C3133" s="1"/>
    </row>
    <row r="3134" spans="3:3" x14ac:dyDescent="0.25">
      <c r="C3134" s="1"/>
    </row>
    <row r="3135" spans="3:3" x14ac:dyDescent="0.25">
      <c r="C3135" s="1"/>
    </row>
    <row r="3136" spans="3:3" x14ac:dyDescent="0.25">
      <c r="C3136" s="1"/>
    </row>
    <row r="3137" spans="3:3" x14ac:dyDescent="0.25">
      <c r="C3137" s="1"/>
    </row>
    <row r="3138" spans="3:3" x14ac:dyDescent="0.25">
      <c r="C3138" s="1"/>
    </row>
    <row r="3139" spans="3:3" x14ac:dyDescent="0.25">
      <c r="C3139" s="1"/>
    </row>
    <row r="3140" spans="3:3" x14ac:dyDescent="0.25">
      <c r="C3140" s="1"/>
    </row>
    <row r="3141" spans="3:3" x14ac:dyDescent="0.25">
      <c r="C3141" s="1"/>
    </row>
    <row r="3142" spans="3:3" x14ac:dyDescent="0.25">
      <c r="C3142" s="1"/>
    </row>
    <row r="3143" spans="3:3" x14ac:dyDescent="0.25">
      <c r="C3143" s="1"/>
    </row>
    <row r="3144" spans="3:3" x14ac:dyDescent="0.25">
      <c r="C3144" s="1"/>
    </row>
    <row r="3145" spans="3:3" x14ac:dyDescent="0.25">
      <c r="C3145" s="1"/>
    </row>
    <row r="3146" spans="3:3" x14ac:dyDescent="0.25">
      <c r="C3146" s="1"/>
    </row>
    <row r="3147" spans="3:3" x14ac:dyDescent="0.25">
      <c r="C3147" s="1"/>
    </row>
    <row r="3148" spans="3:3" x14ac:dyDescent="0.25">
      <c r="C3148" s="1"/>
    </row>
    <row r="3149" spans="3:3" x14ac:dyDescent="0.25">
      <c r="C3149" s="1"/>
    </row>
    <row r="3150" spans="3:3" x14ac:dyDescent="0.25">
      <c r="C3150" s="1"/>
    </row>
    <row r="3151" spans="3:3" x14ac:dyDescent="0.25">
      <c r="C3151" s="1"/>
    </row>
    <row r="3152" spans="3:3" x14ac:dyDescent="0.25">
      <c r="C3152" s="1"/>
    </row>
    <row r="3153" spans="3:3" x14ac:dyDescent="0.25">
      <c r="C3153" s="1"/>
    </row>
    <row r="3154" spans="3:3" x14ac:dyDescent="0.25">
      <c r="C3154" s="1"/>
    </row>
    <row r="3155" spans="3:3" x14ac:dyDescent="0.25">
      <c r="C3155" s="1"/>
    </row>
    <row r="3156" spans="3:3" x14ac:dyDescent="0.25">
      <c r="C3156" s="1"/>
    </row>
    <row r="3157" spans="3:3" x14ac:dyDescent="0.25">
      <c r="C3157" s="1"/>
    </row>
    <row r="3158" spans="3:3" x14ac:dyDescent="0.25">
      <c r="C3158" s="1"/>
    </row>
    <row r="3159" spans="3:3" x14ac:dyDescent="0.25">
      <c r="C3159" s="1"/>
    </row>
    <row r="3160" spans="3:3" x14ac:dyDescent="0.25">
      <c r="C3160" s="1"/>
    </row>
    <row r="3161" spans="3:3" x14ac:dyDescent="0.25">
      <c r="C3161" s="1"/>
    </row>
  </sheetData>
  <autoFilter ref="A1:J3070" xr:uid="{3F07EAF1-AC15-42B1-9FFC-A7348C62DC76}"/>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5DEA-449E-4C3E-BEA6-BF2F774CC80F}">
  <dimension ref="A1:BY241"/>
  <sheetViews>
    <sheetView tabSelected="1" topLeftCell="AL1" zoomScale="98" zoomScaleNormal="98" workbookViewId="0">
      <selection activeCell="I35" sqref="I35"/>
    </sheetView>
  </sheetViews>
  <sheetFormatPr defaultRowHeight="15" x14ac:dyDescent="0.25"/>
  <cols>
    <col min="1" max="1" width="13.140625" bestFit="1" customWidth="1"/>
    <col min="2" max="2" width="22.28515625" bestFit="1" customWidth="1"/>
    <col min="3" max="3" width="21" bestFit="1" customWidth="1"/>
    <col min="4" max="4" width="5" bestFit="1" customWidth="1"/>
    <col min="5" max="5" width="11.28515625" bestFit="1" customWidth="1"/>
    <col min="6" max="7" width="10.42578125" bestFit="1" customWidth="1"/>
    <col min="8" max="8" width="13.140625" bestFit="1" customWidth="1"/>
    <col min="9" max="9" width="23.42578125" bestFit="1" customWidth="1"/>
    <col min="10" max="10" width="11.28515625" bestFit="1" customWidth="1"/>
    <col min="11" max="12" width="10.42578125" bestFit="1" customWidth="1"/>
    <col min="13" max="13" width="13.140625" bestFit="1" customWidth="1"/>
    <col min="14" max="14" width="31.28515625" bestFit="1" customWidth="1"/>
    <col min="15" max="15" width="24.85546875" bestFit="1" customWidth="1"/>
    <col min="16" max="18" width="10" bestFit="1" customWidth="1"/>
    <col min="19" max="19" width="13.140625" bestFit="1" customWidth="1"/>
    <col min="20" max="20" width="23.42578125" bestFit="1" customWidth="1"/>
    <col min="21" max="24" width="10" bestFit="1" customWidth="1"/>
    <col min="25" max="25" width="13.5703125" bestFit="1" customWidth="1"/>
    <col min="26" max="26" width="29.140625" bestFit="1" customWidth="1"/>
    <col min="27" max="27" width="30.28515625" bestFit="1" customWidth="1"/>
    <col min="28" max="31" width="10" bestFit="1" customWidth="1"/>
    <col min="32" max="32" width="15.140625" bestFit="1" customWidth="1"/>
    <col min="33" max="33" width="21" bestFit="1" customWidth="1"/>
    <col min="34" max="40" width="10" bestFit="1" customWidth="1"/>
    <col min="41" max="41" width="13.5703125" bestFit="1" customWidth="1"/>
    <col min="42" max="42" width="29.140625" bestFit="1" customWidth="1"/>
    <col min="43" max="43" width="4" bestFit="1" customWidth="1"/>
    <col min="44" max="45" width="3" bestFit="1" customWidth="1"/>
    <col min="46" max="48" width="2" bestFit="1" customWidth="1"/>
    <col min="49" max="49" width="3" bestFit="1" customWidth="1"/>
    <col min="50" max="51" width="2" bestFit="1" customWidth="1"/>
    <col min="52" max="53" width="3" bestFit="1" customWidth="1"/>
    <col min="54" max="54" width="13.140625" bestFit="1" customWidth="1"/>
    <col min="55" max="56" width="21" bestFit="1" customWidth="1"/>
    <col min="57" max="57" width="4.5703125" bestFit="1" customWidth="1"/>
    <col min="58" max="58" width="4.140625" bestFit="1" customWidth="1"/>
    <col min="59" max="59" width="4.85546875" bestFit="1" customWidth="1"/>
    <col min="60" max="61" width="4.140625" bestFit="1" customWidth="1"/>
    <col min="62" max="62" width="4.42578125" bestFit="1" customWidth="1"/>
    <col min="63" max="63" width="4.28515625" bestFit="1" customWidth="1"/>
    <col min="64" max="64" width="4.140625" bestFit="1" customWidth="1"/>
    <col min="65" max="65" width="4.5703125" bestFit="1" customWidth="1"/>
    <col min="66" max="66" width="4.28515625" bestFit="1" customWidth="1"/>
    <col min="67" max="68" width="11.28515625" bestFit="1" customWidth="1"/>
    <col min="69" max="69" width="23.42578125" bestFit="1" customWidth="1"/>
    <col min="70" max="70" width="13.140625" bestFit="1" customWidth="1"/>
    <col min="71" max="72" width="17.7109375" bestFit="1" customWidth="1"/>
    <col min="73" max="73" width="13.140625" bestFit="1" customWidth="1"/>
    <col min="74" max="74" width="17.7109375" bestFit="1" customWidth="1"/>
    <col min="75" max="75" width="23.42578125" bestFit="1" customWidth="1"/>
    <col min="76" max="76" width="13.140625" bestFit="1" customWidth="1"/>
    <col min="77" max="77" width="17.7109375" bestFit="1" customWidth="1"/>
    <col min="78" max="78" width="27.7109375" bestFit="1" customWidth="1"/>
    <col min="79" max="79" width="28.42578125" bestFit="1" customWidth="1"/>
    <col min="80" max="80" width="32.7109375" bestFit="1" customWidth="1"/>
    <col min="81" max="81" width="4" bestFit="1" customWidth="1"/>
    <col min="82" max="87" width="3" bestFit="1" customWidth="1"/>
    <col min="88" max="89" width="4" bestFit="1" customWidth="1"/>
    <col min="90" max="90" width="3" bestFit="1" customWidth="1"/>
    <col min="91" max="92" width="4" bestFit="1" customWidth="1"/>
    <col min="93" max="95" width="3" bestFit="1" customWidth="1"/>
    <col min="96" max="96" width="4" bestFit="1" customWidth="1"/>
    <col min="97" max="108" width="3" bestFit="1" customWidth="1"/>
    <col min="109" max="110" width="4" bestFit="1" customWidth="1"/>
    <col min="111" max="112" width="3" bestFit="1" customWidth="1"/>
    <col min="113" max="158" width="4" bestFit="1" customWidth="1"/>
    <col min="159" max="159" width="13.5703125" bestFit="1" customWidth="1"/>
    <col min="160" max="160" width="8.7109375" bestFit="1" customWidth="1"/>
    <col min="161" max="161" width="6.140625" bestFit="1" customWidth="1"/>
    <col min="162" max="162" width="6.42578125" bestFit="1" customWidth="1"/>
    <col min="163" max="163" width="6" bestFit="1" customWidth="1"/>
    <col min="164" max="164" width="6.7109375" bestFit="1" customWidth="1"/>
    <col min="165" max="166" width="6" bestFit="1" customWidth="1"/>
    <col min="167" max="167" width="6.28515625" bestFit="1" customWidth="1"/>
    <col min="168" max="168" width="6.140625" bestFit="1" customWidth="1"/>
    <col min="169" max="169" width="5.85546875" bestFit="1" customWidth="1"/>
    <col min="170" max="170" width="6.42578125" bestFit="1" customWidth="1"/>
    <col min="171" max="171" width="6.140625" bestFit="1" customWidth="1"/>
    <col min="172" max="172" width="11.28515625" bestFit="1" customWidth="1"/>
    <col min="173" max="290" width="4" bestFit="1" customWidth="1"/>
    <col min="291" max="291" width="13.5703125" bestFit="1" customWidth="1"/>
    <col min="292" max="292" width="11.28515625" bestFit="1" customWidth="1"/>
    <col min="293" max="873" width="10" bestFit="1" customWidth="1"/>
    <col min="874" max="874" width="13.140625" bestFit="1" customWidth="1"/>
    <col min="875" max="875" width="20.28515625" bestFit="1" customWidth="1"/>
    <col min="876" max="2931" width="10" bestFit="1" customWidth="1"/>
    <col min="2932" max="2932" width="11.28515625" bestFit="1" customWidth="1"/>
  </cols>
  <sheetData>
    <row r="1" spans="1:77" x14ac:dyDescent="0.25">
      <c r="A1" s="9" t="s">
        <v>20</v>
      </c>
      <c r="H1" s="12" t="s">
        <v>59</v>
      </c>
      <c r="M1" s="12" t="s">
        <v>29</v>
      </c>
      <c r="S1" s="11" t="s">
        <v>32</v>
      </c>
      <c r="V1" s="12"/>
      <c r="Y1" s="9" t="s">
        <v>33</v>
      </c>
      <c r="AF1" s="9" t="s">
        <v>34</v>
      </c>
      <c r="AO1" s="11" t="s">
        <v>50</v>
      </c>
      <c r="BB1" s="11" t="s">
        <v>51</v>
      </c>
      <c r="BH1" s="11" t="s">
        <v>52</v>
      </c>
      <c r="BR1" s="11" t="s">
        <v>53</v>
      </c>
      <c r="BU1" s="11" t="s">
        <v>67</v>
      </c>
      <c r="BX1" s="27" t="s">
        <v>71</v>
      </c>
    </row>
    <row r="2" spans="1:77" x14ac:dyDescent="0.25">
      <c r="S2" s="10" t="s">
        <v>21</v>
      </c>
      <c r="T2" t="s">
        <v>28</v>
      </c>
    </row>
    <row r="3" spans="1:77" x14ac:dyDescent="0.25">
      <c r="A3" s="10" t="s">
        <v>21</v>
      </c>
      <c r="B3" t="s">
        <v>26</v>
      </c>
      <c r="C3" t="s">
        <v>25</v>
      </c>
      <c r="H3" s="10" t="s">
        <v>21</v>
      </c>
      <c r="I3" t="s">
        <v>28</v>
      </c>
      <c r="M3" s="10" t="s">
        <v>21</v>
      </c>
      <c r="N3" t="s">
        <v>30</v>
      </c>
      <c r="S3" s="11" t="s">
        <v>23</v>
      </c>
      <c r="T3">
        <v>32448</v>
      </c>
      <c r="Y3" s="10" t="s">
        <v>21</v>
      </c>
      <c r="Z3" t="s">
        <v>56</v>
      </c>
      <c r="AA3" t="s">
        <v>70</v>
      </c>
      <c r="AF3" s="10" t="s">
        <v>21</v>
      </c>
      <c r="AG3" t="s">
        <v>25</v>
      </c>
      <c r="AO3" s="10" t="s">
        <v>21</v>
      </c>
      <c r="AP3" t="s">
        <v>56</v>
      </c>
      <c r="BB3" s="10" t="s">
        <v>21</v>
      </c>
      <c r="BC3" t="s">
        <v>25</v>
      </c>
      <c r="BR3" s="10" t="s">
        <v>21</v>
      </c>
      <c r="BS3" t="s">
        <v>57</v>
      </c>
      <c r="BU3" s="10" t="s">
        <v>21</v>
      </c>
      <c r="BV3" t="s">
        <v>57</v>
      </c>
      <c r="BX3" s="10" t="s">
        <v>21</v>
      </c>
      <c r="BY3" t="s">
        <v>57</v>
      </c>
    </row>
    <row r="4" spans="1:77" x14ac:dyDescent="0.25">
      <c r="A4" s="11" t="s">
        <v>23</v>
      </c>
      <c r="B4">
        <v>719</v>
      </c>
      <c r="C4">
        <v>832</v>
      </c>
      <c r="H4" s="11" t="s">
        <v>8</v>
      </c>
      <c r="I4" s="26">
        <v>4.3336591723688499E-2</v>
      </c>
      <c r="M4" s="11" t="s">
        <v>23</v>
      </c>
      <c r="N4">
        <v>77.094575799721838</v>
      </c>
      <c r="S4" s="11" t="s">
        <v>24</v>
      </c>
      <c r="T4">
        <v>87243</v>
      </c>
      <c r="Y4" s="11">
        <v>0</v>
      </c>
      <c r="Z4">
        <v>108</v>
      </c>
      <c r="AA4" s="13">
        <v>3.519061583577713E-2</v>
      </c>
      <c r="AF4" s="11" t="s">
        <v>23</v>
      </c>
      <c r="AG4">
        <v>832</v>
      </c>
      <c r="AO4" s="11">
        <v>0</v>
      </c>
      <c r="AP4" s="13">
        <v>3.519061583577713E-2</v>
      </c>
      <c r="BB4" s="11">
        <v>38</v>
      </c>
      <c r="BC4">
        <v>92</v>
      </c>
      <c r="BR4" s="11">
        <v>1</v>
      </c>
      <c r="BS4">
        <v>306</v>
      </c>
      <c r="BU4" s="11" t="s">
        <v>60</v>
      </c>
      <c r="BV4">
        <v>306</v>
      </c>
      <c r="BX4" s="11" t="s">
        <v>23</v>
      </c>
      <c r="BY4">
        <v>832</v>
      </c>
    </row>
    <row r="5" spans="1:77" x14ac:dyDescent="0.25">
      <c r="A5" s="11" t="s">
        <v>24</v>
      </c>
      <c r="B5">
        <v>1285</v>
      </c>
      <c r="C5">
        <v>2237</v>
      </c>
      <c r="H5" s="11" t="s">
        <v>7</v>
      </c>
      <c r="I5" s="26">
        <v>0.95666340827631147</v>
      </c>
      <c r="M5" s="11" t="s">
        <v>24</v>
      </c>
      <c r="N5">
        <v>47.899610894941631</v>
      </c>
      <c r="S5" s="11" t="s">
        <v>22</v>
      </c>
      <c r="T5">
        <v>119691</v>
      </c>
      <c r="Y5" s="11">
        <v>1</v>
      </c>
      <c r="Z5">
        <v>174</v>
      </c>
      <c r="AA5" s="13">
        <v>5.6695992179863146E-2</v>
      </c>
      <c r="AF5" s="14" t="s">
        <v>27</v>
      </c>
      <c r="AG5">
        <v>113</v>
      </c>
      <c r="AO5" s="11">
        <v>1</v>
      </c>
      <c r="AP5" s="13">
        <v>5.6695992179863146E-2</v>
      </c>
      <c r="BB5" s="11">
        <v>37</v>
      </c>
      <c r="BC5">
        <v>64</v>
      </c>
      <c r="BR5" s="11">
        <v>2</v>
      </c>
      <c r="BS5">
        <v>539</v>
      </c>
      <c r="BU5" s="11" t="s">
        <v>61</v>
      </c>
      <c r="BV5">
        <v>539</v>
      </c>
      <c r="BX5" s="14" t="s">
        <v>43</v>
      </c>
      <c r="BY5">
        <v>217</v>
      </c>
    </row>
    <row r="6" spans="1:77" x14ac:dyDescent="0.25">
      <c r="A6" s="11" t="s">
        <v>22</v>
      </c>
      <c r="B6">
        <v>2004</v>
      </c>
      <c r="C6">
        <v>3069</v>
      </c>
      <c r="H6" s="11" t="s">
        <v>22</v>
      </c>
      <c r="I6" s="26">
        <v>1</v>
      </c>
      <c r="M6" s="11" t="s">
        <v>22</v>
      </c>
      <c r="N6">
        <v>58.374251497005986</v>
      </c>
      <c r="Y6" s="11">
        <v>2</v>
      </c>
      <c r="Z6">
        <v>11</v>
      </c>
      <c r="AA6" s="13">
        <v>3.5842293906810036E-3</v>
      </c>
      <c r="AF6" s="14" t="s">
        <v>35</v>
      </c>
      <c r="AG6">
        <v>113</v>
      </c>
      <c r="AO6" s="11">
        <v>2</v>
      </c>
      <c r="AP6" s="13">
        <v>3.5842293906810036E-3</v>
      </c>
      <c r="BB6" s="11">
        <v>31</v>
      </c>
      <c r="BC6">
        <v>58</v>
      </c>
      <c r="BR6" s="11">
        <v>3</v>
      </c>
      <c r="BS6">
        <v>487</v>
      </c>
      <c r="BU6" s="11" t="s">
        <v>62</v>
      </c>
      <c r="BV6">
        <v>487</v>
      </c>
      <c r="BX6" s="14" t="s">
        <v>44</v>
      </c>
      <c r="BY6">
        <v>196</v>
      </c>
    </row>
    <row r="7" spans="1:77" x14ac:dyDescent="0.25">
      <c r="Y7" s="11">
        <v>3</v>
      </c>
      <c r="Z7">
        <v>10</v>
      </c>
      <c r="AA7" s="13">
        <v>3.2583903551645487E-3</v>
      </c>
      <c r="AF7" s="14" t="s">
        <v>36</v>
      </c>
      <c r="AG7">
        <v>84</v>
      </c>
      <c r="AO7" s="11">
        <v>3</v>
      </c>
      <c r="AP7" s="13">
        <v>3.2583903551645487E-3</v>
      </c>
      <c r="BB7" s="11">
        <v>68</v>
      </c>
      <c r="BC7">
        <v>42</v>
      </c>
      <c r="BR7" s="11">
        <v>4</v>
      </c>
      <c r="BS7">
        <v>472</v>
      </c>
      <c r="BU7" s="11" t="s">
        <v>63</v>
      </c>
      <c r="BV7">
        <v>472</v>
      </c>
      <c r="BX7" s="14" t="s">
        <v>45</v>
      </c>
      <c r="BY7">
        <v>189</v>
      </c>
    </row>
    <row r="8" spans="1:77" x14ac:dyDescent="0.25">
      <c r="Y8" s="11">
        <v>4</v>
      </c>
      <c r="Z8">
        <v>6</v>
      </c>
      <c r="AA8" s="13">
        <v>1.9550342130987292E-3</v>
      </c>
      <c r="AF8" s="14" t="s">
        <v>37</v>
      </c>
      <c r="AG8">
        <v>65</v>
      </c>
      <c r="AO8" s="11">
        <v>4</v>
      </c>
      <c r="AP8" s="13">
        <v>1.9550342130987292E-3</v>
      </c>
      <c r="BB8" s="11">
        <v>61</v>
      </c>
      <c r="BC8">
        <v>33</v>
      </c>
      <c r="BR8" s="11">
        <v>5</v>
      </c>
      <c r="BS8">
        <v>505</v>
      </c>
      <c r="BU8" s="11" t="s">
        <v>64</v>
      </c>
      <c r="BV8">
        <v>505</v>
      </c>
      <c r="BX8" s="14" t="s">
        <v>46</v>
      </c>
      <c r="BY8">
        <v>230</v>
      </c>
    </row>
    <row r="9" spans="1:77" x14ac:dyDescent="0.25">
      <c r="Y9" s="11">
        <v>5</v>
      </c>
      <c r="Z9">
        <v>8</v>
      </c>
      <c r="AA9" s="13">
        <v>2.606712284131639E-3</v>
      </c>
      <c r="AF9" s="14" t="s">
        <v>38</v>
      </c>
      <c r="AG9">
        <v>36</v>
      </c>
      <c r="AO9" s="11">
        <v>5</v>
      </c>
      <c r="AP9" s="13">
        <v>2.606712284131639E-3</v>
      </c>
      <c r="BB9" s="11">
        <v>32</v>
      </c>
      <c r="BC9">
        <v>25</v>
      </c>
      <c r="BR9" s="11">
        <v>6</v>
      </c>
      <c r="BS9">
        <v>452</v>
      </c>
      <c r="BU9" s="11" t="s">
        <v>65</v>
      </c>
      <c r="BV9">
        <v>452</v>
      </c>
      <c r="BX9" s="11" t="s">
        <v>24</v>
      </c>
      <c r="BY9">
        <v>2237</v>
      </c>
    </row>
    <row r="10" spans="1:77" x14ac:dyDescent="0.25">
      <c r="Y10" s="11">
        <v>6</v>
      </c>
      <c r="Z10">
        <v>6</v>
      </c>
      <c r="AA10" s="13">
        <v>1.9550342130987292E-3</v>
      </c>
      <c r="AF10" s="14" t="s">
        <v>39</v>
      </c>
      <c r="AG10">
        <v>24</v>
      </c>
      <c r="AO10" s="11">
        <v>6</v>
      </c>
      <c r="AP10" s="13">
        <v>1.9550342130987292E-3</v>
      </c>
      <c r="BB10" s="11">
        <v>34</v>
      </c>
      <c r="BC10">
        <v>24</v>
      </c>
      <c r="BR10" s="11">
        <v>7</v>
      </c>
      <c r="BS10">
        <v>308</v>
      </c>
      <c r="BU10" s="11" t="s">
        <v>66</v>
      </c>
      <c r="BV10">
        <v>308</v>
      </c>
      <c r="BX10" s="14" t="s">
        <v>35</v>
      </c>
      <c r="BY10">
        <v>273</v>
      </c>
    </row>
    <row r="11" spans="1:77" x14ac:dyDescent="0.25">
      <c r="Y11" s="11">
        <v>7</v>
      </c>
      <c r="Z11">
        <v>13</v>
      </c>
      <c r="AA11" s="13">
        <v>4.2359074617139133E-3</v>
      </c>
      <c r="AF11" s="14" t="s">
        <v>40</v>
      </c>
      <c r="AG11">
        <v>20</v>
      </c>
      <c r="AO11" s="11">
        <v>7</v>
      </c>
      <c r="AP11" s="13">
        <v>4.2359074617139133E-3</v>
      </c>
      <c r="BB11" s="11">
        <v>91</v>
      </c>
      <c r="BC11">
        <v>23</v>
      </c>
      <c r="BR11" s="11" t="s">
        <v>22</v>
      </c>
      <c r="BS11">
        <v>3069</v>
      </c>
      <c r="BU11" s="11" t="s">
        <v>22</v>
      </c>
      <c r="BV11">
        <v>3069</v>
      </c>
      <c r="BX11" s="14" t="s">
        <v>36</v>
      </c>
      <c r="BY11">
        <v>275</v>
      </c>
    </row>
    <row r="12" spans="1:77" x14ac:dyDescent="0.25">
      <c r="A12" s="10" t="s">
        <v>21</v>
      </c>
      <c r="B12" t="s">
        <v>26</v>
      </c>
      <c r="Y12" s="11">
        <v>8</v>
      </c>
      <c r="Z12">
        <v>8</v>
      </c>
      <c r="AA12" s="13">
        <v>2.606712284131639E-3</v>
      </c>
      <c r="AF12" s="14" t="s">
        <v>41</v>
      </c>
      <c r="AG12">
        <v>15</v>
      </c>
      <c r="AO12" s="11">
        <v>8</v>
      </c>
      <c r="AP12" s="13">
        <v>2.606712284131639E-3</v>
      </c>
      <c r="BB12" s="11">
        <v>60</v>
      </c>
      <c r="BC12">
        <v>22</v>
      </c>
      <c r="BX12" s="14" t="s">
        <v>37</v>
      </c>
      <c r="BY12">
        <v>266</v>
      </c>
    </row>
    <row r="13" spans="1:77" x14ac:dyDescent="0.25">
      <c r="A13" s="11" t="s">
        <v>23</v>
      </c>
      <c r="B13">
        <v>346</v>
      </c>
      <c r="Y13" s="11">
        <v>9</v>
      </c>
      <c r="Z13">
        <v>5</v>
      </c>
      <c r="AA13" s="13">
        <v>1.6291951775822744E-3</v>
      </c>
      <c r="AF13" s="14" t="s">
        <v>42</v>
      </c>
      <c r="AG13">
        <v>16</v>
      </c>
      <c r="AO13" s="11">
        <v>9</v>
      </c>
      <c r="AP13" s="13">
        <v>1.6291951775822744E-3</v>
      </c>
      <c r="BB13" s="11">
        <v>99</v>
      </c>
      <c r="BC13">
        <v>22</v>
      </c>
      <c r="BX13" s="14" t="s">
        <v>38</v>
      </c>
      <c r="BY13">
        <v>223</v>
      </c>
    </row>
    <row r="14" spans="1:77" x14ac:dyDescent="0.25">
      <c r="A14" s="11" t="s">
        <v>24</v>
      </c>
      <c r="B14">
        <v>1658</v>
      </c>
      <c r="Y14" s="11">
        <v>10</v>
      </c>
      <c r="Z14">
        <v>10</v>
      </c>
      <c r="AA14" s="13">
        <v>3.2583903551645487E-3</v>
      </c>
      <c r="AF14" s="14" t="s">
        <v>43</v>
      </c>
      <c r="AG14">
        <v>33</v>
      </c>
      <c r="AO14" s="11">
        <v>10</v>
      </c>
      <c r="AP14" s="13">
        <v>3.2583903551645487E-3</v>
      </c>
      <c r="BB14" s="11">
        <v>35</v>
      </c>
      <c r="BC14">
        <v>20</v>
      </c>
      <c r="BX14" s="14" t="s">
        <v>39</v>
      </c>
      <c r="BY14">
        <v>285</v>
      </c>
    </row>
    <row r="15" spans="1:77" x14ac:dyDescent="0.25">
      <c r="A15" s="11" t="s">
        <v>22</v>
      </c>
      <c r="B15">
        <v>2004</v>
      </c>
      <c r="J15" s="25">
        <v>8.6800000000000002E-2</v>
      </c>
      <c r="Y15" s="11">
        <v>11</v>
      </c>
      <c r="Z15">
        <v>8</v>
      </c>
      <c r="AA15" s="13">
        <v>2.606712284131639E-3</v>
      </c>
      <c r="AF15" s="14" t="s">
        <v>44</v>
      </c>
      <c r="AG15">
        <v>81</v>
      </c>
      <c r="AO15" s="11">
        <v>11</v>
      </c>
      <c r="AP15" s="13">
        <v>2.606712284131639E-3</v>
      </c>
      <c r="BB15" s="11">
        <v>66</v>
      </c>
      <c r="BC15">
        <v>19</v>
      </c>
      <c r="BX15" s="14" t="s">
        <v>40</v>
      </c>
      <c r="BY15">
        <v>275</v>
      </c>
    </row>
    <row r="16" spans="1:77" x14ac:dyDescent="0.25">
      <c r="Y16" s="11">
        <v>12</v>
      </c>
      <c r="Z16">
        <v>5</v>
      </c>
      <c r="AA16" s="13">
        <v>1.6291951775822744E-3</v>
      </c>
      <c r="AF16" s="14" t="s">
        <v>45</v>
      </c>
      <c r="AG16">
        <v>109</v>
      </c>
      <c r="AO16" s="11">
        <v>12</v>
      </c>
      <c r="AP16" s="13">
        <v>1.6291951775822744E-3</v>
      </c>
      <c r="BB16" s="11">
        <v>58</v>
      </c>
      <c r="BC16">
        <v>18</v>
      </c>
      <c r="BX16" s="14" t="s">
        <v>41</v>
      </c>
      <c r="BY16">
        <v>306</v>
      </c>
    </row>
    <row r="17" spans="2:77" x14ac:dyDescent="0.25">
      <c r="Y17" s="11">
        <v>13</v>
      </c>
      <c r="Z17">
        <v>8</v>
      </c>
      <c r="AA17" s="13">
        <v>2.606712284131639E-3</v>
      </c>
      <c r="AF17" s="14" t="s">
        <v>46</v>
      </c>
      <c r="AG17">
        <v>123</v>
      </c>
      <c r="AO17" s="11">
        <v>13</v>
      </c>
      <c r="AP17" s="13">
        <v>2.606712284131639E-3</v>
      </c>
      <c r="BB17" s="11">
        <v>59</v>
      </c>
      <c r="BC17">
        <v>16</v>
      </c>
      <c r="BX17" s="14" t="s">
        <v>42</v>
      </c>
      <c r="BY17">
        <v>268</v>
      </c>
    </row>
    <row r="18" spans="2:77" x14ac:dyDescent="0.25">
      <c r="Y18" s="11">
        <v>14</v>
      </c>
      <c r="Z18">
        <v>14</v>
      </c>
      <c r="AA18" s="13">
        <v>4.5617464972303682E-3</v>
      </c>
      <c r="AF18" s="11" t="s">
        <v>22</v>
      </c>
      <c r="AG18">
        <v>832</v>
      </c>
      <c r="AO18" s="11">
        <v>14</v>
      </c>
      <c r="AP18" s="13">
        <v>4.5617464972303682E-3</v>
      </c>
      <c r="BB18" s="11">
        <v>46</v>
      </c>
      <c r="BC18">
        <v>16</v>
      </c>
      <c r="BX18" s="14" t="s">
        <v>43</v>
      </c>
      <c r="BY18">
        <v>66</v>
      </c>
    </row>
    <row r="19" spans="2:77" x14ac:dyDescent="0.25">
      <c r="Y19" s="11">
        <v>15</v>
      </c>
      <c r="Z19">
        <v>18</v>
      </c>
      <c r="AA19" s="13">
        <v>5.8651026392961877E-3</v>
      </c>
      <c r="AO19" s="11">
        <v>15</v>
      </c>
      <c r="AP19" s="13">
        <v>5.8651026392961877E-3</v>
      </c>
      <c r="BB19" s="11">
        <v>50</v>
      </c>
      <c r="BC19">
        <v>16</v>
      </c>
      <c r="BX19" s="11" t="s">
        <v>22</v>
      </c>
      <c r="BY19">
        <v>3069</v>
      </c>
    </row>
    <row r="20" spans="2:77" x14ac:dyDescent="0.25">
      <c r="Y20" s="11">
        <v>16</v>
      </c>
      <c r="Z20">
        <v>10</v>
      </c>
      <c r="AA20" s="13">
        <v>3.2583903551645487E-3</v>
      </c>
      <c r="AO20" s="11">
        <v>16</v>
      </c>
      <c r="AP20" s="13">
        <v>3.2583903551645487E-3</v>
      </c>
      <c r="BB20" s="11">
        <v>57</v>
      </c>
      <c r="BC20">
        <v>15</v>
      </c>
    </row>
    <row r="21" spans="2:77" x14ac:dyDescent="0.25">
      <c r="Y21" s="11">
        <v>17</v>
      </c>
      <c r="Z21">
        <v>8</v>
      </c>
      <c r="AA21" s="13">
        <v>2.606712284131639E-3</v>
      </c>
      <c r="AO21" s="11">
        <v>17</v>
      </c>
      <c r="AP21" s="13">
        <v>2.606712284131639E-3</v>
      </c>
      <c r="BB21" s="11">
        <v>55</v>
      </c>
      <c r="BC21">
        <v>14</v>
      </c>
    </row>
    <row r="22" spans="2:77" x14ac:dyDescent="0.25">
      <c r="Y22" s="11">
        <v>18</v>
      </c>
      <c r="Z22">
        <v>9</v>
      </c>
      <c r="AA22" s="13">
        <v>2.9325513196480938E-3</v>
      </c>
      <c r="AO22" s="11">
        <v>18</v>
      </c>
      <c r="AP22" s="13">
        <v>2.9325513196480938E-3</v>
      </c>
      <c r="BB22" s="11">
        <v>49</v>
      </c>
      <c r="BC22">
        <v>14</v>
      </c>
    </row>
    <row r="23" spans="2:77" x14ac:dyDescent="0.25">
      <c r="Y23" s="11">
        <v>19</v>
      </c>
      <c r="Z23">
        <v>9</v>
      </c>
      <c r="AA23" s="13">
        <v>2.9325513196480938E-3</v>
      </c>
      <c r="AO23" s="11">
        <v>19</v>
      </c>
      <c r="AP23" s="13">
        <v>2.9325513196480938E-3</v>
      </c>
      <c r="BB23" s="11">
        <v>56</v>
      </c>
      <c r="BC23">
        <v>14</v>
      </c>
    </row>
    <row r="24" spans="2:77" x14ac:dyDescent="0.25">
      <c r="Y24" s="11">
        <v>20</v>
      </c>
      <c r="Z24">
        <v>19</v>
      </c>
      <c r="AA24" s="13">
        <v>6.1909416748126425E-3</v>
      </c>
      <c r="AO24" s="11">
        <v>20</v>
      </c>
      <c r="AP24" s="13">
        <v>6.1909416748126425E-3</v>
      </c>
      <c r="BB24" s="11">
        <v>45</v>
      </c>
      <c r="BC24">
        <v>13</v>
      </c>
    </row>
    <row r="25" spans="2:77" x14ac:dyDescent="0.25">
      <c r="Y25" s="11">
        <v>21</v>
      </c>
      <c r="Z25">
        <v>20</v>
      </c>
      <c r="AA25" s="13">
        <v>6.5167807103290974E-3</v>
      </c>
      <c r="AO25" s="11">
        <v>21</v>
      </c>
      <c r="AP25" s="13">
        <v>6.5167807103290974E-3</v>
      </c>
      <c r="BB25" s="11">
        <v>85</v>
      </c>
      <c r="BC25">
        <v>13</v>
      </c>
    </row>
    <row r="26" spans="2:77" x14ac:dyDescent="0.25">
      <c r="Y26" s="11">
        <v>22</v>
      </c>
      <c r="Z26">
        <v>19</v>
      </c>
      <c r="AA26" s="13">
        <v>6.1909416748126425E-3</v>
      </c>
      <c r="AO26" s="11">
        <v>22</v>
      </c>
      <c r="AP26" s="13">
        <v>6.1909416748126425E-3</v>
      </c>
      <c r="BB26" s="11">
        <v>43</v>
      </c>
      <c r="BC26">
        <v>12</v>
      </c>
    </row>
    <row r="27" spans="2:77" x14ac:dyDescent="0.25">
      <c r="Y27" s="11">
        <v>23</v>
      </c>
      <c r="Z27">
        <v>11</v>
      </c>
      <c r="AA27" s="13">
        <v>3.5842293906810036E-3</v>
      </c>
      <c r="AO27" s="11">
        <v>23</v>
      </c>
      <c r="AP27" s="13">
        <v>3.5842293906810036E-3</v>
      </c>
      <c r="BB27" s="11">
        <v>69</v>
      </c>
      <c r="BC27">
        <v>12</v>
      </c>
    </row>
    <row r="28" spans="2:77" x14ac:dyDescent="0.25">
      <c r="Y28" s="11">
        <v>24</v>
      </c>
      <c r="Z28">
        <v>19</v>
      </c>
      <c r="AA28" s="13">
        <v>6.1909416748126425E-3</v>
      </c>
      <c r="AO28" s="11">
        <v>24</v>
      </c>
      <c r="AP28" s="13">
        <v>6.1909416748126425E-3</v>
      </c>
      <c r="BB28" s="11">
        <v>97</v>
      </c>
      <c r="BC28">
        <v>12</v>
      </c>
    </row>
    <row r="29" spans="2:77" x14ac:dyDescent="0.25">
      <c r="Y29" s="11">
        <v>25</v>
      </c>
      <c r="Z29">
        <v>14</v>
      </c>
      <c r="AA29" s="13">
        <v>4.5617464972303682E-3</v>
      </c>
      <c r="AO29" s="11">
        <v>25</v>
      </c>
      <c r="AP29" s="13">
        <v>4.5617464972303682E-3</v>
      </c>
      <c r="BB29" s="11">
        <v>42</v>
      </c>
      <c r="BC29">
        <v>12</v>
      </c>
    </row>
    <row r="30" spans="2:77" x14ac:dyDescent="0.25">
      <c r="Y30" s="11">
        <v>26</v>
      </c>
      <c r="Z30">
        <v>24</v>
      </c>
      <c r="AA30" s="13">
        <v>7.8201368523949169E-3</v>
      </c>
      <c r="AO30" s="11">
        <v>26</v>
      </c>
      <c r="AP30" s="13">
        <v>7.8201368523949169E-3</v>
      </c>
      <c r="BB30" s="11">
        <v>48</v>
      </c>
      <c r="BC30">
        <v>12</v>
      </c>
    </row>
    <row r="31" spans="2:77" ht="15.75" thickBot="1" x14ac:dyDescent="0.3">
      <c r="Y31" s="11">
        <v>27</v>
      </c>
      <c r="Z31">
        <v>35</v>
      </c>
      <c r="AA31" s="13">
        <v>1.1404366243075921E-2</v>
      </c>
      <c r="AO31" s="11">
        <v>27</v>
      </c>
      <c r="AP31" s="13">
        <v>1.1404366243075921E-2</v>
      </c>
      <c r="BB31" s="11">
        <v>89</v>
      </c>
      <c r="BC31">
        <v>11</v>
      </c>
    </row>
    <row r="32" spans="2:77" ht="15.75" thickBot="1" x14ac:dyDescent="0.3">
      <c r="B32" s="18" t="s">
        <v>47</v>
      </c>
      <c r="C32" s="19"/>
      <c r="D32" s="19"/>
      <c r="E32" s="19"/>
      <c r="F32" s="19"/>
      <c r="G32" s="19"/>
      <c r="H32" s="19"/>
      <c r="I32" s="20" t="s">
        <v>55</v>
      </c>
      <c r="Y32" s="11">
        <v>28</v>
      </c>
      <c r="Z32">
        <v>34</v>
      </c>
      <c r="AA32" s="13">
        <v>1.1078527207559466E-2</v>
      </c>
      <c r="AO32" s="11">
        <v>28</v>
      </c>
      <c r="AP32" s="13">
        <v>1.1078527207559466E-2</v>
      </c>
      <c r="BB32" s="11">
        <v>92</v>
      </c>
      <c r="BC32">
        <v>11</v>
      </c>
    </row>
    <row r="33" spans="2:55" ht="15.75" thickBot="1" x14ac:dyDescent="0.3">
      <c r="B33" s="15" t="s">
        <v>48</v>
      </c>
      <c r="I33" s="23">
        <v>45104</v>
      </c>
      <c r="J33">
        <v>14</v>
      </c>
      <c r="Y33" s="11">
        <v>29</v>
      </c>
      <c r="Z33">
        <v>44</v>
      </c>
      <c r="AA33" s="13">
        <v>1.4336917562724014E-2</v>
      </c>
      <c r="AO33" s="11">
        <v>29</v>
      </c>
      <c r="AP33" s="13">
        <v>1.4336917562724014E-2</v>
      </c>
      <c r="BB33" s="11">
        <v>33</v>
      </c>
      <c r="BC33">
        <v>10</v>
      </c>
    </row>
    <row r="34" spans="2:55" x14ac:dyDescent="0.25">
      <c r="B34" s="15" t="s">
        <v>49</v>
      </c>
      <c r="I34" s="21">
        <v>30</v>
      </c>
      <c r="N34" s="10" t="s">
        <v>21</v>
      </c>
      <c r="O34" t="s">
        <v>31</v>
      </c>
      <c r="Y34" s="11">
        <v>30</v>
      </c>
      <c r="Z34">
        <v>50</v>
      </c>
      <c r="AA34" s="13">
        <v>1.6291951775822745E-2</v>
      </c>
      <c r="AO34" s="11">
        <v>30</v>
      </c>
      <c r="AP34" s="13">
        <v>1.6291951775822745E-2</v>
      </c>
      <c r="BB34" s="11">
        <v>62</v>
      </c>
      <c r="BC34">
        <v>10</v>
      </c>
    </row>
    <row r="35" spans="2:55" x14ac:dyDescent="0.25">
      <c r="B35" s="15" t="s">
        <v>50</v>
      </c>
      <c r="I35" s="24">
        <v>0.14599999999999999</v>
      </c>
      <c r="N35" s="11" t="s">
        <v>8</v>
      </c>
      <c r="O35">
        <v>133</v>
      </c>
      <c r="Y35" s="11">
        <v>31</v>
      </c>
      <c r="Z35">
        <v>58</v>
      </c>
      <c r="AA35" s="13">
        <v>1.8898664059954384E-2</v>
      </c>
      <c r="AO35" s="11">
        <v>31</v>
      </c>
      <c r="AP35" s="13">
        <v>1.8898664059954384E-2</v>
      </c>
      <c r="BB35" s="11">
        <v>119</v>
      </c>
      <c r="BC35">
        <v>10</v>
      </c>
    </row>
    <row r="36" spans="2:55" x14ac:dyDescent="0.25">
      <c r="B36" s="15" t="s">
        <v>51</v>
      </c>
      <c r="I36" s="21">
        <v>2332</v>
      </c>
      <c r="N36" s="11" t="s">
        <v>7</v>
      </c>
      <c r="O36">
        <v>2936</v>
      </c>
      <c r="Y36" s="11">
        <v>32</v>
      </c>
      <c r="Z36">
        <v>25</v>
      </c>
      <c r="AA36" s="13">
        <v>8.1459758879113726E-3</v>
      </c>
      <c r="AO36" s="11">
        <v>32</v>
      </c>
      <c r="AP36" s="13">
        <v>8.1459758879113726E-3</v>
      </c>
      <c r="BB36" s="11">
        <v>124</v>
      </c>
      <c r="BC36">
        <v>10</v>
      </c>
    </row>
    <row r="37" spans="2:55" x14ac:dyDescent="0.25">
      <c r="B37" s="15" t="s">
        <v>52</v>
      </c>
      <c r="I37" s="21">
        <v>1</v>
      </c>
      <c r="N37" s="11" t="s">
        <v>22</v>
      </c>
      <c r="O37">
        <v>3069</v>
      </c>
      <c r="Y37" s="11">
        <v>33</v>
      </c>
      <c r="Z37">
        <v>10</v>
      </c>
      <c r="AA37" s="13">
        <v>3.2583903551645487E-3</v>
      </c>
      <c r="AO37" s="11">
        <v>33</v>
      </c>
      <c r="AP37" s="13">
        <v>3.2583903551645487E-3</v>
      </c>
      <c r="BB37" s="11">
        <v>127</v>
      </c>
      <c r="BC37">
        <v>10</v>
      </c>
    </row>
    <row r="38" spans="2:55" x14ac:dyDescent="0.25">
      <c r="B38" s="15" t="s">
        <v>53</v>
      </c>
      <c r="I38" s="21"/>
      <c r="Y38" s="11">
        <v>34</v>
      </c>
      <c r="Z38">
        <v>24</v>
      </c>
      <c r="AA38" s="13">
        <v>7.8201368523949169E-3</v>
      </c>
      <c r="AO38" s="11">
        <v>34</v>
      </c>
      <c r="AP38" s="13">
        <v>7.8201368523949169E-3</v>
      </c>
      <c r="BB38" s="11">
        <v>52</v>
      </c>
      <c r="BC38">
        <v>10</v>
      </c>
    </row>
    <row r="39" spans="2:55" ht="15.75" thickBot="1" x14ac:dyDescent="0.3">
      <c r="B39" s="16" t="s">
        <v>54</v>
      </c>
      <c r="C39" s="17"/>
      <c r="D39" s="17"/>
      <c r="E39" s="17"/>
      <c r="F39" s="17"/>
      <c r="G39" s="17"/>
      <c r="H39" s="17"/>
      <c r="I39" s="22" t="s">
        <v>8</v>
      </c>
      <c r="Y39" s="11">
        <v>35</v>
      </c>
      <c r="Z39">
        <v>20</v>
      </c>
      <c r="AA39" s="13">
        <v>6.5167807103290974E-3</v>
      </c>
      <c r="AO39" s="11">
        <v>35</v>
      </c>
      <c r="AP39" s="13">
        <v>6.5167807103290974E-3</v>
      </c>
      <c r="BB39" s="11">
        <v>98</v>
      </c>
      <c r="BC39">
        <v>10</v>
      </c>
    </row>
    <row r="40" spans="2:55" x14ac:dyDescent="0.25">
      <c r="Y40" s="11">
        <v>36</v>
      </c>
      <c r="Z40">
        <v>6</v>
      </c>
      <c r="AA40" s="13">
        <v>1.9550342130987292E-3</v>
      </c>
      <c r="AO40" s="11">
        <v>36</v>
      </c>
      <c r="AP40" s="13">
        <v>1.9550342130987292E-3</v>
      </c>
      <c r="BB40" s="11">
        <v>107</v>
      </c>
      <c r="BC40">
        <v>10</v>
      </c>
    </row>
    <row r="41" spans="2:55" x14ac:dyDescent="0.25">
      <c r="Y41" s="11">
        <v>37</v>
      </c>
      <c r="Z41">
        <v>64</v>
      </c>
      <c r="AA41" s="13">
        <v>2.0853698273053112E-2</v>
      </c>
      <c r="AO41" s="11">
        <v>37</v>
      </c>
      <c r="AP41" s="13">
        <v>2.0853698273053112E-2</v>
      </c>
      <c r="BB41" s="11">
        <v>87</v>
      </c>
      <c r="BC41">
        <v>9</v>
      </c>
    </row>
    <row r="42" spans="2:55" x14ac:dyDescent="0.25">
      <c r="Y42" s="11">
        <v>38</v>
      </c>
      <c r="Z42">
        <v>92</v>
      </c>
      <c r="AA42" s="13">
        <v>2.9977191267513848E-2</v>
      </c>
      <c r="AO42" s="11">
        <v>38</v>
      </c>
      <c r="AP42" s="13">
        <v>2.9977191267513848E-2</v>
      </c>
      <c r="BB42" s="11">
        <v>113</v>
      </c>
      <c r="BC42">
        <v>9</v>
      </c>
    </row>
    <row r="43" spans="2:55" x14ac:dyDescent="0.25">
      <c r="Y43" s="11">
        <v>39</v>
      </c>
      <c r="Z43">
        <v>9</v>
      </c>
      <c r="AA43" s="13">
        <v>2.9325513196480938E-3</v>
      </c>
      <c r="AO43" s="11">
        <v>39</v>
      </c>
      <c r="AP43" s="13">
        <v>2.9325513196480938E-3</v>
      </c>
      <c r="BB43" s="11">
        <v>39</v>
      </c>
      <c r="BC43">
        <v>9</v>
      </c>
    </row>
    <row r="44" spans="2:55" x14ac:dyDescent="0.25">
      <c r="Y44" s="11">
        <v>40</v>
      </c>
      <c r="Z44">
        <v>8</v>
      </c>
      <c r="AA44" s="13">
        <v>2.606712284131639E-3</v>
      </c>
      <c r="AO44" s="11">
        <v>40</v>
      </c>
      <c r="AP44" s="13">
        <v>2.606712284131639E-3</v>
      </c>
      <c r="BB44" s="11">
        <v>81</v>
      </c>
      <c r="BC44">
        <v>9</v>
      </c>
    </row>
    <row r="45" spans="2:55" x14ac:dyDescent="0.25">
      <c r="Y45" s="11">
        <v>41</v>
      </c>
      <c r="Z45">
        <v>7</v>
      </c>
      <c r="AA45" s="13">
        <v>2.2808732486151841E-3</v>
      </c>
      <c r="AO45" s="11">
        <v>41</v>
      </c>
      <c r="AP45" s="13">
        <v>2.2808732486151841E-3</v>
      </c>
      <c r="BB45" s="11">
        <v>83</v>
      </c>
      <c r="BC45">
        <v>9</v>
      </c>
    </row>
    <row r="46" spans="2:55" x14ac:dyDescent="0.25">
      <c r="Y46" s="11">
        <v>42</v>
      </c>
      <c r="Z46">
        <v>12</v>
      </c>
      <c r="AA46" s="13">
        <v>3.9100684261974585E-3</v>
      </c>
      <c r="AO46" s="11">
        <v>42</v>
      </c>
      <c r="AP46" s="13">
        <v>3.9100684261974585E-3</v>
      </c>
      <c r="BB46" s="11">
        <v>90</v>
      </c>
      <c r="BC46">
        <v>8</v>
      </c>
    </row>
    <row r="47" spans="2:55" x14ac:dyDescent="0.25">
      <c r="Y47" s="11">
        <v>43</v>
      </c>
      <c r="Z47">
        <v>12</v>
      </c>
      <c r="AA47" s="13">
        <v>3.9100684261974585E-3</v>
      </c>
      <c r="AO47" s="11">
        <v>43</v>
      </c>
      <c r="AP47" s="13">
        <v>3.9100684261974585E-3</v>
      </c>
      <c r="BB47" s="11">
        <v>77</v>
      </c>
      <c r="BC47">
        <v>8</v>
      </c>
    </row>
    <row r="48" spans="2:55" x14ac:dyDescent="0.25">
      <c r="Y48" s="11">
        <v>44</v>
      </c>
      <c r="Z48">
        <v>6</v>
      </c>
      <c r="AA48" s="13">
        <v>1.9550342130987292E-3</v>
      </c>
      <c r="AO48" s="11">
        <v>44</v>
      </c>
      <c r="AP48" s="13">
        <v>1.9550342130987292E-3</v>
      </c>
      <c r="BB48" s="11">
        <v>63</v>
      </c>
      <c r="BC48">
        <v>8</v>
      </c>
    </row>
    <row r="49" spans="25:55" x14ac:dyDescent="0.25">
      <c r="Y49" s="11">
        <v>45</v>
      </c>
      <c r="Z49">
        <v>13</v>
      </c>
      <c r="AA49" s="13">
        <v>4.2359074617139133E-3</v>
      </c>
      <c r="AO49" s="11">
        <v>45</v>
      </c>
      <c r="AP49" s="13">
        <v>4.2359074617139133E-3</v>
      </c>
      <c r="BB49" s="11">
        <v>76</v>
      </c>
      <c r="BC49">
        <v>8</v>
      </c>
    </row>
    <row r="50" spans="25:55" x14ac:dyDescent="0.25">
      <c r="Y50" s="11">
        <v>46</v>
      </c>
      <c r="Z50">
        <v>16</v>
      </c>
      <c r="AA50" s="13">
        <v>5.2134245682632779E-3</v>
      </c>
      <c r="AO50" s="11">
        <v>46</v>
      </c>
      <c r="AP50" s="13">
        <v>5.2134245682632779E-3</v>
      </c>
      <c r="BB50" s="11">
        <v>112</v>
      </c>
      <c r="BC50">
        <v>8</v>
      </c>
    </row>
    <row r="51" spans="25:55" x14ac:dyDescent="0.25">
      <c r="Y51" s="11">
        <v>47</v>
      </c>
      <c r="Z51">
        <v>6</v>
      </c>
      <c r="AA51" s="13">
        <v>1.9550342130987292E-3</v>
      </c>
      <c r="AO51" s="11">
        <v>47</v>
      </c>
      <c r="AP51" s="13">
        <v>1.9550342130987292E-3</v>
      </c>
      <c r="BB51" s="11">
        <v>84</v>
      </c>
      <c r="BC51">
        <v>8</v>
      </c>
    </row>
    <row r="52" spans="25:55" x14ac:dyDescent="0.25">
      <c r="Y52" s="11">
        <v>48</v>
      </c>
      <c r="Z52">
        <v>12</v>
      </c>
      <c r="AA52" s="13">
        <v>3.9100684261974585E-3</v>
      </c>
      <c r="AO52" s="11">
        <v>48</v>
      </c>
      <c r="AP52" s="13">
        <v>3.9100684261974585E-3</v>
      </c>
      <c r="BB52" s="11">
        <v>40</v>
      </c>
      <c r="BC52">
        <v>8</v>
      </c>
    </row>
    <row r="53" spans="25:55" x14ac:dyDescent="0.25">
      <c r="Y53" s="11">
        <v>49</v>
      </c>
      <c r="Z53">
        <v>14</v>
      </c>
      <c r="AA53" s="13">
        <v>4.5617464972303682E-3</v>
      </c>
      <c r="AO53" s="11">
        <v>49</v>
      </c>
      <c r="AP53" s="13">
        <v>4.5617464972303682E-3</v>
      </c>
      <c r="BB53" s="11">
        <v>120</v>
      </c>
      <c r="BC53">
        <v>7</v>
      </c>
    </row>
    <row r="54" spans="25:55" x14ac:dyDescent="0.25">
      <c r="Y54" s="11">
        <v>50</v>
      </c>
      <c r="Z54">
        <v>16</v>
      </c>
      <c r="AA54" s="13">
        <v>5.2134245682632779E-3</v>
      </c>
      <c r="AO54" s="11">
        <v>50</v>
      </c>
      <c r="AP54" s="13">
        <v>5.2134245682632779E-3</v>
      </c>
      <c r="BB54" s="11">
        <v>54</v>
      </c>
      <c r="BC54">
        <v>7</v>
      </c>
    </row>
    <row r="55" spans="25:55" x14ac:dyDescent="0.25">
      <c r="Y55" s="11">
        <v>51</v>
      </c>
      <c r="Z55">
        <v>6</v>
      </c>
      <c r="AA55" s="13">
        <v>1.9550342130987292E-3</v>
      </c>
      <c r="AO55" s="11">
        <v>51</v>
      </c>
      <c r="AP55" s="13">
        <v>1.9550342130987292E-3</v>
      </c>
      <c r="BB55" s="11">
        <v>122</v>
      </c>
      <c r="BC55">
        <v>7</v>
      </c>
    </row>
    <row r="56" spans="25:55" x14ac:dyDescent="0.25">
      <c r="Y56" s="11">
        <v>52</v>
      </c>
      <c r="Z56">
        <v>10</v>
      </c>
      <c r="AA56" s="13">
        <v>3.2583903551645487E-3</v>
      </c>
      <c r="AO56" s="11">
        <v>52</v>
      </c>
      <c r="AP56" s="13">
        <v>3.2583903551645487E-3</v>
      </c>
      <c r="BB56" s="11">
        <v>86</v>
      </c>
      <c r="BC56">
        <v>7</v>
      </c>
    </row>
    <row r="57" spans="25:55" x14ac:dyDescent="0.25">
      <c r="Y57" s="11">
        <v>53</v>
      </c>
      <c r="Z57">
        <v>5</v>
      </c>
      <c r="AA57" s="13">
        <v>1.6291951775822744E-3</v>
      </c>
      <c r="AO57" s="11">
        <v>53</v>
      </c>
      <c r="AP57" s="13">
        <v>1.6291951775822744E-3</v>
      </c>
      <c r="BB57" s="11">
        <v>41</v>
      </c>
      <c r="BC57">
        <v>7</v>
      </c>
    </row>
    <row r="58" spans="25:55" x14ac:dyDescent="0.25">
      <c r="Y58" s="11">
        <v>54</v>
      </c>
      <c r="Z58">
        <v>7</v>
      </c>
      <c r="AA58" s="13">
        <v>2.2808732486151841E-3</v>
      </c>
      <c r="AO58" s="11">
        <v>54</v>
      </c>
      <c r="AP58" s="13">
        <v>2.2808732486151841E-3</v>
      </c>
      <c r="BB58" s="11">
        <v>70</v>
      </c>
      <c r="BC58">
        <v>7</v>
      </c>
    </row>
    <row r="59" spans="25:55" x14ac:dyDescent="0.25">
      <c r="Y59" s="11">
        <v>55</v>
      </c>
      <c r="Z59">
        <v>14</v>
      </c>
      <c r="AA59" s="13">
        <v>4.5617464972303682E-3</v>
      </c>
      <c r="AO59" s="11">
        <v>55</v>
      </c>
      <c r="AP59" s="13">
        <v>4.5617464972303682E-3</v>
      </c>
      <c r="BB59" s="11">
        <v>158</v>
      </c>
      <c r="BC59">
        <v>7</v>
      </c>
    </row>
    <row r="60" spans="25:55" x14ac:dyDescent="0.25">
      <c r="Y60" s="11">
        <v>56</v>
      </c>
      <c r="Z60">
        <v>14</v>
      </c>
      <c r="AA60" s="13">
        <v>4.5617464972303682E-3</v>
      </c>
      <c r="AO60" s="11">
        <v>56</v>
      </c>
      <c r="AP60" s="13">
        <v>4.5617464972303682E-3</v>
      </c>
      <c r="BB60" s="11">
        <v>79</v>
      </c>
      <c r="BC60">
        <v>6</v>
      </c>
    </row>
    <row r="61" spans="25:55" x14ac:dyDescent="0.25">
      <c r="Y61" s="11">
        <v>57</v>
      </c>
      <c r="Z61">
        <v>15</v>
      </c>
      <c r="AA61" s="13">
        <v>4.8875855327468231E-3</v>
      </c>
      <c r="AO61" s="11">
        <v>57</v>
      </c>
      <c r="AP61" s="13">
        <v>4.8875855327468231E-3</v>
      </c>
      <c r="BB61" s="11">
        <v>67</v>
      </c>
      <c r="BC61">
        <v>6</v>
      </c>
    </row>
    <row r="62" spans="25:55" x14ac:dyDescent="0.25">
      <c r="Y62" s="11">
        <v>58</v>
      </c>
      <c r="Z62">
        <v>18</v>
      </c>
      <c r="AA62" s="13">
        <v>5.8651026392961877E-3</v>
      </c>
      <c r="AO62" s="11">
        <v>58</v>
      </c>
      <c r="AP62" s="13">
        <v>5.8651026392961877E-3</v>
      </c>
      <c r="BB62" s="11">
        <v>44</v>
      </c>
      <c r="BC62">
        <v>6</v>
      </c>
    </row>
    <row r="63" spans="25:55" x14ac:dyDescent="0.25">
      <c r="Y63" s="11">
        <v>59</v>
      </c>
      <c r="Z63">
        <v>16</v>
      </c>
      <c r="AA63" s="13">
        <v>5.2134245682632779E-3</v>
      </c>
      <c r="AO63" s="11">
        <v>59</v>
      </c>
      <c r="AP63" s="13">
        <v>5.2134245682632779E-3</v>
      </c>
      <c r="BB63" s="11">
        <v>116</v>
      </c>
      <c r="BC63">
        <v>6</v>
      </c>
    </row>
    <row r="64" spans="25:55" x14ac:dyDescent="0.25">
      <c r="Y64" s="11">
        <v>60</v>
      </c>
      <c r="Z64">
        <v>22</v>
      </c>
      <c r="AA64" s="13">
        <v>7.1684587813620072E-3</v>
      </c>
      <c r="AO64" s="11">
        <v>60</v>
      </c>
      <c r="AP64" s="13">
        <v>7.1684587813620072E-3</v>
      </c>
      <c r="BB64" s="11">
        <v>188</v>
      </c>
      <c r="BC64">
        <v>6</v>
      </c>
    </row>
    <row r="65" spans="25:55" x14ac:dyDescent="0.25">
      <c r="Y65" s="11">
        <v>61</v>
      </c>
      <c r="Z65">
        <v>33</v>
      </c>
      <c r="AA65" s="13">
        <v>1.0752688172043012E-2</v>
      </c>
      <c r="AO65" s="11">
        <v>61</v>
      </c>
      <c r="AP65" s="13">
        <v>1.0752688172043012E-2</v>
      </c>
      <c r="BB65" s="11">
        <v>88</v>
      </c>
      <c r="BC65">
        <v>6</v>
      </c>
    </row>
    <row r="66" spans="25:55" x14ac:dyDescent="0.25">
      <c r="Y66" s="11">
        <v>62</v>
      </c>
      <c r="Z66">
        <v>10</v>
      </c>
      <c r="AA66" s="13">
        <v>3.2583903551645487E-3</v>
      </c>
      <c r="AO66" s="11">
        <v>62</v>
      </c>
      <c r="AP66" s="13">
        <v>3.2583903551645487E-3</v>
      </c>
      <c r="BB66" s="11">
        <v>51</v>
      </c>
      <c r="BC66">
        <v>6</v>
      </c>
    </row>
    <row r="67" spans="25:55" x14ac:dyDescent="0.25">
      <c r="Y67" s="11">
        <v>63</v>
      </c>
      <c r="Z67">
        <v>8</v>
      </c>
      <c r="AA67" s="13">
        <v>2.606712284131639E-3</v>
      </c>
      <c r="AO67" s="11">
        <v>63</v>
      </c>
      <c r="AP67" s="13">
        <v>2.606712284131639E-3</v>
      </c>
      <c r="BB67" s="11">
        <v>189</v>
      </c>
      <c r="BC67">
        <v>6</v>
      </c>
    </row>
    <row r="68" spans="25:55" x14ac:dyDescent="0.25">
      <c r="Y68" s="11">
        <v>64</v>
      </c>
      <c r="Z68">
        <v>5</v>
      </c>
      <c r="AA68" s="13">
        <v>1.6291951775822744E-3</v>
      </c>
      <c r="AO68" s="11">
        <v>64</v>
      </c>
      <c r="AP68" s="13">
        <v>1.6291951775822744E-3</v>
      </c>
      <c r="BB68" s="11">
        <v>36</v>
      </c>
      <c r="BC68">
        <v>6</v>
      </c>
    </row>
    <row r="69" spans="25:55" x14ac:dyDescent="0.25">
      <c r="Y69" s="11">
        <v>65</v>
      </c>
      <c r="Z69">
        <v>4</v>
      </c>
      <c r="AA69" s="13">
        <v>1.3033561420658195E-3</v>
      </c>
      <c r="AO69" s="11">
        <v>65</v>
      </c>
      <c r="AP69" s="13">
        <v>1.3033561420658195E-3</v>
      </c>
      <c r="BB69" s="11">
        <v>47</v>
      </c>
      <c r="BC69">
        <v>6</v>
      </c>
    </row>
    <row r="70" spans="25:55" x14ac:dyDescent="0.25">
      <c r="Y70" s="11">
        <v>66</v>
      </c>
      <c r="Z70">
        <v>19</v>
      </c>
      <c r="AA70" s="13">
        <v>6.1909416748126425E-3</v>
      </c>
      <c r="AO70" s="11">
        <v>66</v>
      </c>
      <c r="AP70" s="13">
        <v>6.1909416748126425E-3</v>
      </c>
      <c r="BB70" s="11">
        <v>53</v>
      </c>
      <c r="BC70">
        <v>5</v>
      </c>
    </row>
    <row r="71" spans="25:55" x14ac:dyDescent="0.25">
      <c r="Y71" s="11">
        <v>67</v>
      </c>
      <c r="Z71">
        <v>6</v>
      </c>
      <c r="AA71" s="13">
        <v>1.9550342130987292E-3</v>
      </c>
      <c r="AO71" s="11">
        <v>67</v>
      </c>
      <c r="AP71" s="13">
        <v>1.9550342130987292E-3</v>
      </c>
      <c r="BB71" s="11">
        <v>94</v>
      </c>
      <c r="BC71">
        <v>5</v>
      </c>
    </row>
    <row r="72" spans="25:55" x14ac:dyDescent="0.25">
      <c r="Y72" s="11">
        <v>68</v>
      </c>
      <c r="Z72">
        <v>42</v>
      </c>
      <c r="AA72" s="13">
        <v>1.3685239491691105E-2</v>
      </c>
      <c r="AO72" s="11">
        <v>68</v>
      </c>
      <c r="AP72" s="13">
        <v>1.3685239491691105E-2</v>
      </c>
      <c r="BB72" s="11">
        <v>149</v>
      </c>
      <c r="BC72">
        <v>5</v>
      </c>
    </row>
    <row r="73" spans="25:55" x14ac:dyDescent="0.25">
      <c r="Y73" s="11">
        <v>69</v>
      </c>
      <c r="Z73">
        <v>12</v>
      </c>
      <c r="AA73" s="13">
        <v>3.9100684261974585E-3</v>
      </c>
      <c r="AO73" s="11">
        <v>69</v>
      </c>
      <c r="AP73" s="13">
        <v>3.9100684261974585E-3</v>
      </c>
      <c r="BB73" s="11">
        <v>71</v>
      </c>
      <c r="BC73">
        <v>5</v>
      </c>
    </row>
    <row r="74" spans="25:55" x14ac:dyDescent="0.25">
      <c r="Y74" s="11">
        <v>70</v>
      </c>
      <c r="Z74">
        <v>7</v>
      </c>
      <c r="AA74" s="13">
        <v>2.2808732486151841E-3</v>
      </c>
      <c r="AO74" s="11">
        <v>70</v>
      </c>
      <c r="AP74" s="13">
        <v>2.2808732486151841E-3</v>
      </c>
      <c r="BB74" s="11">
        <v>100</v>
      </c>
      <c r="BC74">
        <v>5</v>
      </c>
    </row>
    <row r="75" spans="25:55" x14ac:dyDescent="0.25">
      <c r="Y75" s="11">
        <v>71</v>
      </c>
      <c r="Z75">
        <v>5</v>
      </c>
      <c r="AA75" s="13">
        <v>1.6291951775822744E-3</v>
      </c>
      <c r="AO75" s="11">
        <v>71</v>
      </c>
      <c r="AP75" s="13">
        <v>1.6291951775822744E-3</v>
      </c>
      <c r="BB75" s="11">
        <v>93</v>
      </c>
      <c r="BC75">
        <v>5</v>
      </c>
    </row>
    <row r="76" spans="25:55" x14ac:dyDescent="0.25">
      <c r="Y76" s="11">
        <v>72</v>
      </c>
      <c r="Z76">
        <v>3</v>
      </c>
      <c r="AA76" s="13">
        <v>9.7751710654936461E-4</v>
      </c>
      <c r="AO76" s="11">
        <v>72</v>
      </c>
      <c r="AP76" s="13">
        <v>9.7751710654936461E-4</v>
      </c>
      <c r="BB76" s="11">
        <v>148</v>
      </c>
      <c r="BC76">
        <v>5</v>
      </c>
    </row>
    <row r="77" spans="25:55" x14ac:dyDescent="0.25">
      <c r="Y77" s="11">
        <v>73</v>
      </c>
      <c r="Z77">
        <v>3</v>
      </c>
      <c r="AA77" s="13">
        <v>9.7751710654936461E-4</v>
      </c>
      <c r="AO77" s="11">
        <v>73</v>
      </c>
      <c r="AP77" s="13">
        <v>9.7751710654936461E-4</v>
      </c>
      <c r="BB77" s="11">
        <v>118</v>
      </c>
      <c r="BC77">
        <v>5</v>
      </c>
    </row>
    <row r="78" spans="25:55" x14ac:dyDescent="0.25">
      <c r="Y78" s="11">
        <v>74</v>
      </c>
      <c r="Z78">
        <v>4</v>
      </c>
      <c r="AA78" s="13">
        <v>1.3033561420658195E-3</v>
      </c>
      <c r="AO78" s="11">
        <v>74</v>
      </c>
      <c r="AP78" s="13">
        <v>1.3033561420658195E-3</v>
      </c>
      <c r="BB78" s="11">
        <v>82</v>
      </c>
      <c r="BC78">
        <v>5</v>
      </c>
    </row>
    <row r="79" spans="25:55" x14ac:dyDescent="0.25">
      <c r="Y79" s="11">
        <v>75</v>
      </c>
      <c r="Z79">
        <v>3</v>
      </c>
      <c r="AA79" s="13">
        <v>9.7751710654936461E-4</v>
      </c>
      <c r="AO79" s="11">
        <v>75</v>
      </c>
      <c r="AP79" s="13">
        <v>9.7751710654936461E-4</v>
      </c>
      <c r="BB79" s="11">
        <v>64</v>
      </c>
      <c r="BC79">
        <v>5</v>
      </c>
    </row>
    <row r="80" spans="25:55" x14ac:dyDescent="0.25">
      <c r="Y80" s="11">
        <v>76</v>
      </c>
      <c r="Z80">
        <v>8</v>
      </c>
      <c r="AA80" s="13">
        <v>2.606712284131639E-3</v>
      </c>
      <c r="AO80" s="11">
        <v>76</v>
      </c>
      <c r="AP80" s="13">
        <v>2.606712284131639E-3</v>
      </c>
      <c r="BB80" s="11">
        <v>95</v>
      </c>
      <c r="BC80">
        <v>5</v>
      </c>
    </row>
    <row r="81" spans="25:55" x14ac:dyDescent="0.25">
      <c r="Y81" s="11">
        <v>77</v>
      </c>
      <c r="Z81">
        <v>8</v>
      </c>
      <c r="AA81" s="13">
        <v>2.606712284131639E-3</v>
      </c>
      <c r="AO81" s="11">
        <v>77</v>
      </c>
      <c r="AP81" s="13">
        <v>2.606712284131639E-3</v>
      </c>
      <c r="BB81" s="11">
        <v>219</v>
      </c>
      <c r="BC81">
        <v>4</v>
      </c>
    </row>
    <row r="82" spans="25:55" x14ac:dyDescent="0.25">
      <c r="Y82" s="11">
        <v>78</v>
      </c>
      <c r="Z82">
        <v>3</v>
      </c>
      <c r="AA82" s="13">
        <v>9.7751710654936461E-4</v>
      </c>
      <c r="AO82" s="11">
        <v>78</v>
      </c>
      <c r="AP82" s="13">
        <v>9.7751710654936461E-4</v>
      </c>
      <c r="BB82" s="11">
        <v>151</v>
      </c>
      <c r="BC82">
        <v>4</v>
      </c>
    </row>
    <row r="83" spans="25:55" x14ac:dyDescent="0.25">
      <c r="Y83" s="11">
        <v>79</v>
      </c>
      <c r="Z83">
        <v>6</v>
      </c>
      <c r="AA83" s="13">
        <v>1.9550342130987292E-3</v>
      </c>
      <c r="AO83" s="11">
        <v>79</v>
      </c>
      <c r="AP83" s="13">
        <v>1.9550342130987292E-3</v>
      </c>
      <c r="BB83" s="11">
        <v>117</v>
      </c>
      <c r="BC83">
        <v>4</v>
      </c>
    </row>
    <row r="84" spans="25:55" x14ac:dyDescent="0.25">
      <c r="Y84" s="11">
        <v>80</v>
      </c>
      <c r="Z84">
        <v>2</v>
      </c>
      <c r="AA84" s="13">
        <v>6.5167807103290974E-4</v>
      </c>
      <c r="AO84" s="11">
        <v>80</v>
      </c>
      <c r="AP84" s="13">
        <v>6.5167807103290974E-4</v>
      </c>
      <c r="BB84" s="11">
        <v>129</v>
      </c>
      <c r="BC84">
        <v>4</v>
      </c>
    </row>
    <row r="85" spans="25:55" x14ac:dyDescent="0.25">
      <c r="Y85" s="11">
        <v>81</v>
      </c>
      <c r="Z85">
        <v>9</v>
      </c>
      <c r="AA85" s="13">
        <v>2.9325513196480938E-3</v>
      </c>
      <c r="AO85" s="11">
        <v>81</v>
      </c>
      <c r="AP85" s="13">
        <v>2.9325513196480938E-3</v>
      </c>
      <c r="BB85" s="11">
        <v>74</v>
      </c>
      <c r="BC85">
        <v>4</v>
      </c>
    </row>
    <row r="86" spans="25:55" x14ac:dyDescent="0.25">
      <c r="Y86" s="11">
        <v>82</v>
      </c>
      <c r="Z86">
        <v>5</v>
      </c>
      <c r="AA86" s="13">
        <v>1.6291951775822744E-3</v>
      </c>
      <c r="AO86" s="11">
        <v>82</v>
      </c>
      <c r="AP86" s="13">
        <v>1.6291951775822744E-3</v>
      </c>
      <c r="BB86" s="11">
        <v>121</v>
      </c>
      <c r="BC86">
        <v>4</v>
      </c>
    </row>
    <row r="87" spans="25:55" x14ac:dyDescent="0.25">
      <c r="Y87" s="11">
        <v>83</v>
      </c>
      <c r="Z87">
        <v>9</v>
      </c>
      <c r="AA87" s="13">
        <v>2.9325513196480938E-3</v>
      </c>
      <c r="AO87" s="11">
        <v>83</v>
      </c>
      <c r="AP87" s="13">
        <v>2.9325513196480938E-3</v>
      </c>
      <c r="BB87" s="11">
        <v>166</v>
      </c>
      <c r="BC87">
        <v>4</v>
      </c>
    </row>
    <row r="88" spans="25:55" x14ac:dyDescent="0.25">
      <c r="Y88" s="11">
        <v>84</v>
      </c>
      <c r="Z88">
        <v>8</v>
      </c>
      <c r="AA88" s="13">
        <v>2.606712284131639E-3</v>
      </c>
      <c r="AO88" s="11">
        <v>84</v>
      </c>
      <c r="AP88" s="13">
        <v>2.606712284131639E-3</v>
      </c>
      <c r="BB88" s="11">
        <v>111</v>
      </c>
      <c r="BC88">
        <v>4</v>
      </c>
    </row>
    <row r="89" spans="25:55" x14ac:dyDescent="0.25">
      <c r="Y89" s="11">
        <v>85</v>
      </c>
      <c r="Z89">
        <v>13</v>
      </c>
      <c r="AA89" s="13">
        <v>4.2359074617139133E-3</v>
      </c>
      <c r="AO89" s="11">
        <v>85</v>
      </c>
      <c r="AP89" s="13">
        <v>4.2359074617139133E-3</v>
      </c>
      <c r="BB89" s="11">
        <v>65</v>
      </c>
      <c r="BC89">
        <v>4</v>
      </c>
    </row>
    <row r="90" spans="25:55" x14ac:dyDescent="0.25">
      <c r="Y90" s="11">
        <v>86</v>
      </c>
      <c r="Z90">
        <v>7</v>
      </c>
      <c r="AA90" s="13">
        <v>2.2808732486151841E-3</v>
      </c>
      <c r="AO90" s="11">
        <v>86</v>
      </c>
      <c r="AP90" s="13">
        <v>2.2808732486151841E-3</v>
      </c>
      <c r="BB90" s="11">
        <v>96</v>
      </c>
      <c r="BC90">
        <v>4</v>
      </c>
    </row>
    <row r="91" spans="25:55" x14ac:dyDescent="0.25">
      <c r="Y91" s="11">
        <v>87</v>
      </c>
      <c r="Z91">
        <v>9</v>
      </c>
      <c r="AA91" s="13">
        <v>2.9325513196480938E-3</v>
      </c>
      <c r="AO91" s="11">
        <v>87</v>
      </c>
      <c r="AP91" s="13">
        <v>2.9325513196480938E-3</v>
      </c>
      <c r="BB91" s="11">
        <v>128</v>
      </c>
      <c r="BC91">
        <v>4</v>
      </c>
    </row>
    <row r="92" spans="25:55" x14ac:dyDescent="0.25">
      <c r="Y92" s="11">
        <v>88</v>
      </c>
      <c r="Z92">
        <v>6</v>
      </c>
      <c r="AA92" s="13">
        <v>1.9550342130987292E-3</v>
      </c>
      <c r="AO92" s="11">
        <v>88</v>
      </c>
      <c r="AP92" s="13">
        <v>1.9550342130987292E-3</v>
      </c>
      <c r="BB92" s="11">
        <v>165</v>
      </c>
      <c r="BC92">
        <v>3</v>
      </c>
    </row>
    <row r="93" spans="25:55" x14ac:dyDescent="0.25">
      <c r="Y93" s="11">
        <v>89</v>
      </c>
      <c r="Z93">
        <v>11</v>
      </c>
      <c r="AA93" s="13">
        <v>3.5842293906810036E-3</v>
      </c>
      <c r="AO93" s="11">
        <v>89</v>
      </c>
      <c r="AP93" s="13">
        <v>3.5842293906810036E-3</v>
      </c>
      <c r="BB93" s="11">
        <v>249</v>
      </c>
      <c r="BC93">
        <v>3</v>
      </c>
    </row>
    <row r="94" spans="25:55" x14ac:dyDescent="0.25">
      <c r="Y94" s="11">
        <v>90</v>
      </c>
      <c r="Z94">
        <v>8</v>
      </c>
      <c r="AA94" s="13">
        <v>2.606712284131639E-3</v>
      </c>
      <c r="AO94" s="11">
        <v>90</v>
      </c>
      <c r="AP94" s="13">
        <v>2.606712284131639E-3</v>
      </c>
      <c r="BB94" s="11">
        <v>280</v>
      </c>
      <c r="BC94">
        <v>3</v>
      </c>
    </row>
    <row r="95" spans="25:55" x14ac:dyDescent="0.25">
      <c r="Y95" s="11">
        <v>91</v>
      </c>
      <c r="Z95">
        <v>23</v>
      </c>
      <c r="AA95" s="13">
        <v>7.494297816878462E-3</v>
      </c>
      <c r="AO95" s="11">
        <v>91</v>
      </c>
      <c r="AP95" s="13">
        <v>7.494297816878462E-3</v>
      </c>
      <c r="BB95" s="11">
        <v>126</v>
      </c>
      <c r="BC95">
        <v>3</v>
      </c>
    </row>
    <row r="96" spans="25:55" x14ac:dyDescent="0.25">
      <c r="Y96" s="11">
        <v>92</v>
      </c>
      <c r="Z96">
        <v>11</v>
      </c>
      <c r="AA96" s="13">
        <v>3.5842293906810036E-3</v>
      </c>
      <c r="AO96" s="11">
        <v>92</v>
      </c>
      <c r="AP96" s="13">
        <v>3.5842293906810036E-3</v>
      </c>
      <c r="BB96" s="11">
        <v>104</v>
      </c>
      <c r="BC96">
        <v>3</v>
      </c>
    </row>
    <row r="97" spans="25:55" x14ac:dyDescent="0.25">
      <c r="Y97" s="11">
        <v>93</v>
      </c>
      <c r="Z97">
        <v>5</v>
      </c>
      <c r="AA97" s="13">
        <v>1.6291951775822744E-3</v>
      </c>
      <c r="AO97" s="11">
        <v>93</v>
      </c>
      <c r="AP97" s="13">
        <v>1.6291951775822744E-3</v>
      </c>
      <c r="BB97" s="11">
        <v>72</v>
      </c>
      <c r="BC97">
        <v>3</v>
      </c>
    </row>
    <row r="98" spans="25:55" x14ac:dyDescent="0.25">
      <c r="Y98" s="11">
        <v>94</v>
      </c>
      <c r="Z98">
        <v>5</v>
      </c>
      <c r="AA98" s="13">
        <v>1.6291951775822744E-3</v>
      </c>
      <c r="AO98" s="11">
        <v>94</v>
      </c>
      <c r="AP98" s="13">
        <v>1.6291951775822744E-3</v>
      </c>
      <c r="BB98" s="11">
        <v>174</v>
      </c>
      <c r="BC98">
        <v>3</v>
      </c>
    </row>
    <row r="99" spans="25:55" x14ac:dyDescent="0.25">
      <c r="Y99" s="11">
        <v>95</v>
      </c>
      <c r="Z99">
        <v>5</v>
      </c>
      <c r="AA99" s="13">
        <v>1.6291951775822744E-3</v>
      </c>
      <c r="AO99" s="11">
        <v>95</v>
      </c>
      <c r="AP99" s="13">
        <v>1.6291951775822744E-3</v>
      </c>
      <c r="BB99" s="11">
        <v>78</v>
      </c>
      <c r="BC99">
        <v>3</v>
      </c>
    </row>
    <row r="100" spans="25:55" x14ac:dyDescent="0.25">
      <c r="Y100" s="11">
        <v>96</v>
      </c>
      <c r="Z100">
        <v>4</v>
      </c>
      <c r="AA100" s="13">
        <v>1.3033561420658195E-3</v>
      </c>
      <c r="AO100" s="11">
        <v>96</v>
      </c>
      <c r="AP100" s="13">
        <v>1.3033561420658195E-3</v>
      </c>
      <c r="BB100" s="11">
        <v>199</v>
      </c>
      <c r="BC100">
        <v>3</v>
      </c>
    </row>
    <row r="101" spans="25:55" x14ac:dyDescent="0.25">
      <c r="Y101" s="11">
        <v>97</v>
      </c>
      <c r="Z101">
        <v>12</v>
      </c>
      <c r="AA101" s="13">
        <v>3.9100684261974585E-3</v>
      </c>
      <c r="AO101" s="11">
        <v>97</v>
      </c>
      <c r="AP101" s="13">
        <v>3.9100684261974585E-3</v>
      </c>
      <c r="BB101" s="11">
        <v>134</v>
      </c>
      <c r="BC101">
        <v>3</v>
      </c>
    </row>
    <row r="102" spans="25:55" x14ac:dyDescent="0.25">
      <c r="Y102" s="11">
        <v>98</v>
      </c>
      <c r="Z102">
        <v>10</v>
      </c>
      <c r="AA102" s="13">
        <v>3.2583903551645487E-3</v>
      </c>
      <c r="AO102" s="11">
        <v>98</v>
      </c>
      <c r="AP102" s="13">
        <v>3.2583903551645487E-3</v>
      </c>
      <c r="BB102" s="11">
        <v>156</v>
      </c>
      <c r="BC102">
        <v>3</v>
      </c>
    </row>
    <row r="103" spans="25:55" x14ac:dyDescent="0.25">
      <c r="Y103" s="11">
        <v>99</v>
      </c>
      <c r="Z103">
        <v>22</v>
      </c>
      <c r="AA103" s="13">
        <v>7.1684587813620072E-3</v>
      </c>
      <c r="AO103" s="11">
        <v>99</v>
      </c>
      <c r="AP103" s="13">
        <v>7.1684587813620072E-3</v>
      </c>
      <c r="BB103" s="11">
        <v>115</v>
      </c>
      <c r="BC103">
        <v>3</v>
      </c>
    </row>
    <row r="104" spans="25:55" x14ac:dyDescent="0.25">
      <c r="Y104" s="11">
        <v>100</v>
      </c>
      <c r="Z104">
        <v>5</v>
      </c>
      <c r="AA104" s="13">
        <v>1.6291951775822744E-3</v>
      </c>
      <c r="AO104" s="11">
        <v>100</v>
      </c>
      <c r="AP104" s="13">
        <v>1.6291951775822744E-3</v>
      </c>
      <c r="BB104" s="11">
        <v>125</v>
      </c>
      <c r="BC104">
        <v>3</v>
      </c>
    </row>
    <row r="105" spans="25:55" x14ac:dyDescent="0.25">
      <c r="Y105" s="11">
        <v>101</v>
      </c>
      <c r="Z105">
        <v>2</v>
      </c>
      <c r="AA105" s="13">
        <v>6.5167807103290974E-4</v>
      </c>
      <c r="AO105" s="11">
        <v>101</v>
      </c>
      <c r="AP105" s="13">
        <v>6.5167807103290974E-4</v>
      </c>
      <c r="BB105" s="11">
        <v>139</v>
      </c>
      <c r="BC105">
        <v>3</v>
      </c>
    </row>
    <row r="106" spans="25:55" x14ac:dyDescent="0.25">
      <c r="Y106" s="11">
        <v>103</v>
      </c>
      <c r="Z106">
        <v>1</v>
      </c>
      <c r="AA106" s="13">
        <v>3.2583903551645487E-4</v>
      </c>
      <c r="AO106" s="11">
        <v>103</v>
      </c>
      <c r="AP106" s="13">
        <v>3.2583903551645487E-4</v>
      </c>
      <c r="BB106" s="11">
        <v>173</v>
      </c>
      <c r="BC106">
        <v>3</v>
      </c>
    </row>
    <row r="107" spans="25:55" x14ac:dyDescent="0.25">
      <c r="Y107" s="11">
        <v>104</v>
      </c>
      <c r="Z107">
        <v>3</v>
      </c>
      <c r="AA107" s="13">
        <v>9.7751710654936461E-4</v>
      </c>
      <c r="AO107" s="11">
        <v>104</v>
      </c>
      <c r="AP107" s="13">
        <v>9.7751710654936461E-4</v>
      </c>
      <c r="BB107" s="11">
        <v>142</v>
      </c>
      <c r="BC107">
        <v>3</v>
      </c>
    </row>
    <row r="108" spans="25:55" x14ac:dyDescent="0.25">
      <c r="Y108" s="11">
        <v>106</v>
      </c>
      <c r="Z108">
        <v>1</v>
      </c>
      <c r="AA108" s="13">
        <v>3.2583903551645487E-4</v>
      </c>
      <c r="AO108" s="11">
        <v>106</v>
      </c>
      <c r="AP108" s="13">
        <v>3.2583903551645487E-4</v>
      </c>
      <c r="BB108" s="11">
        <v>180</v>
      </c>
      <c r="BC108">
        <v>3</v>
      </c>
    </row>
    <row r="109" spans="25:55" x14ac:dyDescent="0.25">
      <c r="Y109" s="11">
        <v>107</v>
      </c>
      <c r="Z109">
        <v>10</v>
      </c>
      <c r="AA109" s="13">
        <v>3.2583903551645487E-3</v>
      </c>
      <c r="AO109" s="11">
        <v>107</v>
      </c>
      <c r="AP109" s="13">
        <v>3.2583903551645487E-3</v>
      </c>
      <c r="BB109" s="11">
        <v>144</v>
      </c>
      <c r="BC109">
        <v>3</v>
      </c>
    </row>
    <row r="110" spans="25:55" x14ac:dyDescent="0.25">
      <c r="Y110" s="11">
        <v>108</v>
      </c>
      <c r="Z110">
        <v>1</v>
      </c>
      <c r="AA110" s="13">
        <v>3.2583903551645487E-4</v>
      </c>
      <c r="AO110" s="11">
        <v>108</v>
      </c>
      <c r="AP110" s="13">
        <v>3.2583903551645487E-4</v>
      </c>
      <c r="BB110" s="11">
        <v>110</v>
      </c>
      <c r="BC110">
        <v>3</v>
      </c>
    </row>
    <row r="111" spans="25:55" x14ac:dyDescent="0.25">
      <c r="Y111" s="11">
        <v>109</v>
      </c>
      <c r="Z111">
        <v>2</v>
      </c>
      <c r="AA111" s="13">
        <v>6.5167807103290974E-4</v>
      </c>
      <c r="AO111" s="11">
        <v>109</v>
      </c>
      <c r="AP111" s="13">
        <v>6.5167807103290974E-4</v>
      </c>
      <c r="BB111" s="11">
        <v>145</v>
      </c>
      <c r="BC111">
        <v>3</v>
      </c>
    </row>
    <row r="112" spans="25:55" x14ac:dyDescent="0.25">
      <c r="Y112" s="11">
        <v>110</v>
      </c>
      <c r="Z112">
        <v>3</v>
      </c>
      <c r="AA112" s="13">
        <v>9.7751710654936461E-4</v>
      </c>
      <c r="AO112" s="11">
        <v>110</v>
      </c>
      <c r="AP112" s="13">
        <v>9.7751710654936461E-4</v>
      </c>
      <c r="BB112" s="11">
        <v>73</v>
      </c>
      <c r="BC112">
        <v>3</v>
      </c>
    </row>
    <row r="113" spans="25:55" x14ac:dyDescent="0.25">
      <c r="Y113" s="11">
        <v>111</v>
      </c>
      <c r="Z113">
        <v>4</v>
      </c>
      <c r="AA113" s="13">
        <v>1.3033561420658195E-3</v>
      </c>
      <c r="AO113" s="11">
        <v>111</v>
      </c>
      <c r="AP113" s="13">
        <v>1.3033561420658195E-3</v>
      </c>
      <c r="BB113" s="11">
        <v>146</v>
      </c>
      <c r="BC113">
        <v>3</v>
      </c>
    </row>
    <row r="114" spans="25:55" x14ac:dyDescent="0.25">
      <c r="Y114" s="11">
        <v>112</v>
      </c>
      <c r="Z114">
        <v>8</v>
      </c>
      <c r="AA114" s="13">
        <v>2.606712284131639E-3</v>
      </c>
      <c r="AO114" s="11">
        <v>112</v>
      </c>
      <c r="AP114" s="13">
        <v>2.606712284131639E-3</v>
      </c>
      <c r="BB114" s="11">
        <v>260</v>
      </c>
      <c r="BC114">
        <v>3</v>
      </c>
    </row>
    <row r="115" spans="25:55" x14ac:dyDescent="0.25">
      <c r="Y115" s="11">
        <v>113</v>
      </c>
      <c r="Z115">
        <v>9</v>
      </c>
      <c r="AA115" s="13">
        <v>2.9325513196480938E-3</v>
      </c>
      <c r="AO115" s="11">
        <v>113</v>
      </c>
      <c r="AP115" s="13">
        <v>2.9325513196480938E-3</v>
      </c>
      <c r="BB115" s="11">
        <v>75</v>
      </c>
      <c r="BC115">
        <v>3</v>
      </c>
    </row>
    <row r="116" spans="25:55" x14ac:dyDescent="0.25">
      <c r="Y116" s="11">
        <v>114</v>
      </c>
      <c r="Z116">
        <v>2</v>
      </c>
      <c r="AA116" s="13">
        <v>6.5167807103290974E-4</v>
      </c>
      <c r="AO116" s="11">
        <v>114</v>
      </c>
      <c r="AP116" s="13">
        <v>6.5167807103290974E-4</v>
      </c>
      <c r="BB116" s="11">
        <v>162</v>
      </c>
      <c r="BC116">
        <v>3</v>
      </c>
    </row>
    <row r="117" spans="25:55" x14ac:dyDescent="0.25">
      <c r="Y117" s="11">
        <v>115</v>
      </c>
      <c r="Z117">
        <v>3</v>
      </c>
      <c r="AA117" s="13">
        <v>9.7751710654936461E-4</v>
      </c>
      <c r="AO117" s="11">
        <v>115</v>
      </c>
      <c r="AP117" s="13">
        <v>9.7751710654936461E-4</v>
      </c>
      <c r="BB117" s="11">
        <v>154</v>
      </c>
      <c r="BC117">
        <v>2</v>
      </c>
    </row>
    <row r="118" spans="25:55" x14ac:dyDescent="0.25">
      <c r="Y118" s="11">
        <v>116</v>
      </c>
      <c r="Z118">
        <v>6</v>
      </c>
      <c r="AA118" s="13">
        <v>1.9550342130987292E-3</v>
      </c>
      <c r="AO118" s="11">
        <v>116</v>
      </c>
      <c r="AP118" s="13">
        <v>1.9550342130987292E-3</v>
      </c>
      <c r="BB118" s="11">
        <v>205</v>
      </c>
      <c r="BC118">
        <v>2</v>
      </c>
    </row>
    <row r="119" spans="25:55" x14ac:dyDescent="0.25">
      <c r="Y119" s="11">
        <v>117</v>
      </c>
      <c r="Z119">
        <v>4</v>
      </c>
      <c r="AA119" s="13">
        <v>1.3033561420658195E-3</v>
      </c>
      <c r="AO119" s="11">
        <v>117</v>
      </c>
      <c r="AP119" s="13">
        <v>1.3033561420658195E-3</v>
      </c>
      <c r="BB119" s="11">
        <v>191</v>
      </c>
      <c r="BC119">
        <v>2</v>
      </c>
    </row>
    <row r="120" spans="25:55" x14ac:dyDescent="0.25">
      <c r="Y120" s="11">
        <v>118</v>
      </c>
      <c r="Z120">
        <v>5</v>
      </c>
      <c r="AA120" s="13">
        <v>1.6291951775822744E-3</v>
      </c>
      <c r="AO120" s="11">
        <v>118</v>
      </c>
      <c r="AP120" s="13">
        <v>1.6291951775822744E-3</v>
      </c>
      <c r="BB120" s="11">
        <v>130</v>
      </c>
      <c r="BC120">
        <v>2</v>
      </c>
    </row>
    <row r="121" spans="25:55" x14ac:dyDescent="0.25">
      <c r="Y121" s="11">
        <v>119</v>
      </c>
      <c r="Z121">
        <v>10</v>
      </c>
      <c r="AA121" s="13">
        <v>3.2583903551645487E-3</v>
      </c>
      <c r="AO121" s="11">
        <v>119</v>
      </c>
      <c r="AP121" s="13">
        <v>3.2583903551645487E-3</v>
      </c>
      <c r="BB121" s="11">
        <v>231</v>
      </c>
      <c r="BC121">
        <v>2</v>
      </c>
    </row>
    <row r="122" spans="25:55" x14ac:dyDescent="0.25">
      <c r="Y122" s="11">
        <v>120</v>
      </c>
      <c r="Z122">
        <v>7</v>
      </c>
      <c r="AA122" s="13">
        <v>2.2808732486151841E-3</v>
      </c>
      <c r="AO122" s="11">
        <v>120</v>
      </c>
      <c r="AP122" s="13">
        <v>2.2808732486151841E-3</v>
      </c>
      <c r="BB122" s="11">
        <v>161</v>
      </c>
      <c r="BC122">
        <v>2</v>
      </c>
    </row>
    <row r="123" spans="25:55" x14ac:dyDescent="0.25">
      <c r="Y123" s="11">
        <v>121</v>
      </c>
      <c r="Z123">
        <v>4</v>
      </c>
      <c r="AA123" s="13">
        <v>1.3033561420658195E-3</v>
      </c>
      <c r="AO123" s="11">
        <v>121</v>
      </c>
      <c r="AP123" s="13">
        <v>1.3033561420658195E-3</v>
      </c>
      <c r="BB123" s="11">
        <v>150</v>
      </c>
      <c r="BC123">
        <v>2</v>
      </c>
    </row>
    <row r="124" spans="25:55" x14ac:dyDescent="0.25">
      <c r="Y124" s="11">
        <v>122</v>
      </c>
      <c r="Z124">
        <v>7</v>
      </c>
      <c r="AA124" s="13">
        <v>2.2808732486151841E-3</v>
      </c>
      <c r="AO124" s="11">
        <v>122</v>
      </c>
      <c r="AP124" s="13">
        <v>2.2808732486151841E-3</v>
      </c>
      <c r="BB124" s="11">
        <v>137</v>
      </c>
      <c r="BC124">
        <v>2</v>
      </c>
    </row>
    <row r="125" spans="25:55" x14ac:dyDescent="0.25">
      <c r="Y125" s="11">
        <v>124</v>
      </c>
      <c r="Z125">
        <v>10</v>
      </c>
      <c r="AA125" s="13">
        <v>3.2583903551645487E-3</v>
      </c>
      <c r="AO125" s="11">
        <v>124</v>
      </c>
      <c r="AP125" s="13">
        <v>3.2583903551645487E-3</v>
      </c>
      <c r="BB125" s="11">
        <v>152</v>
      </c>
      <c r="BC125">
        <v>2</v>
      </c>
    </row>
    <row r="126" spans="25:55" x14ac:dyDescent="0.25">
      <c r="Y126" s="11">
        <v>125</v>
      </c>
      <c r="Z126">
        <v>3</v>
      </c>
      <c r="AA126" s="13">
        <v>9.7751710654936461E-4</v>
      </c>
      <c r="AO126" s="11">
        <v>125</v>
      </c>
      <c r="AP126" s="13">
        <v>9.7751710654936461E-4</v>
      </c>
      <c r="BB126" s="11">
        <v>164</v>
      </c>
      <c r="BC126">
        <v>2</v>
      </c>
    </row>
    <row r="127" spans="25:55" x14ac:dyDescent="0.25">
      <c r="Y127" s="11">
        <v>126</v>
      </c>
      <c r="Z127">
        <v>3</v>
      </c>
      <c r="AA127" s="13">
        <v>9.7751710654936461E-4</v>
      </c>
      <c r="AO127" s="11">
        <v>126</v>
      </c>
      <c r="AP127" s="13">
        <v>9.7751710654936461E-4</v>
      </c>
      <c r="BB127" s="11">
        <v>212</v>
      </c>
      <c r="BC127">
        <v>2</v>
      </c>
    </row>
    <row r="128" spans="25:55" x14ac:dyDescent="0.25">
      <c r="Y128" s="11">
        <v>127</v>
      </c>
      <c r="Z128">
        <v>10</v>
      </c>
      <c r="AA128" s="13">
        <v>3.2583903551645487E-3</v>
      </c>
      <c r="AO128" s="11">
        <v>127</v>
      </c>
      <c r="AP128" s="13">
        <v>3.2583903551645487E-3</v>
      </c>
      <c r="BB128" s="11">
        <v>133</v>
      </c>
      <c r="BC128">
        <v>2</v>
      </c>
    </row>
    <row r="129" spans="25:55" x14ac:dyDescent="0.25">
      <c r="Y129" s="11">
        <v>128</v>
      </c>
      <c r="Z129">
        <v>4</v>
      </c>
      <c r="AA129" s="13">
        <v>1.3033561420658195E-3</v>
      </c>
      <c r="AO129" s="11">
        <v>128</v>
      </c>
      <c r="AP129" s="13">
        <v>1.3033561420658195E-3</v>
      </c>
      <c r="BB129" s="11">
        <v>240</v>
      </c>
      <c r="BC129">
        <v>2</v>
      </c>
    </row>
    <row r="130" spans="25:55" x14ac:dyDescent="0.25">
      <c r="Y130" s="11">
        <v>129</v>
      </c>
      <c r="Z130">
        <v>4</v>
      </c>
      <c r="AA130" s="13">
        <v>1.3033561420658195E-3</v>
      </c>
      <c r="AO130" s="11">
        <v>129</v>
      </c>
      <c r="AP130" s="13">
        <v>1.3033561420658195E-3</v>
      </c>
      <c r="BB130" s="11">
        <v>274</v>
      </c>
      <c r="BC130">
        <v>2</v>
      </c>
    </row>
    <row r="131" spans="25:55" x14ac:dyDescent="0.25">
      <c r="Y131" s="11">
        <v>130</v>
      </c>
      <c r="Z131">
        <v>2</v>
      </c>
      <c r="AA131" s="13">
        <v>6.5167807103290974E-4</v>
      </c>
      <c r="AO131" s="11">
        <v>130</v>
      </c>
      <c r="AP131" s="13">
        <v>6.5167807103290974E-4</v>
      </c>
      <c r="BB131" s="11">
        <v>157</v>
      </c>
      <c r="BC131">
        <v>2</v>
      </c>
    </row>
    <row r="132" spans="25:55" x14ac:dyDescent="0.25">
      <c r="Y132" s="11">
        <v>131</v>
      </c>
      <c r="Z132">
        <v>1</v>
      </c>
      <c r="AA132" s="13">
        <v>3.2583903551645487E-4</v>
      </c>
      <c r="AO132" s="11">
        <v>131</v>
      </c>
      <c r="AP132" s="13">
        <v>3.2583903551645487E-4</v>
      </c>
      <c r="BB132" s="11">
        <v>167</v>
      </c>
      <c r="BC132">
        <v>2</v>
      </c>
    </row>
    <row r="133" spans="25:55" x14ac:dyDescent="0.25">
      <c r="Y133" s="11">
        <v>132</v>
      </c>
      <c r="Z133">
        <v>1</v>
      </c>
      <c r="AA133" s="13">
        <v>3.2583903551645487E-4</v>
      </c>
      <c r="AO133" s="11">
        <v>132</v>
      </c>
      <c r="AP133" s="13">
        <v>3.2583903551645487E-4</v>
      </c>
      <c r="BB133" s="11">
        <v>101</v>
      </c>
      <c r="BC133">
        <v>2</v>
      </c>
    </row>
    <row r="134" spans="25:55" x14ac:dyDescent="0.25">
      <c r="Y134" s="11">
        <v>133</v>
      </c>
      <c r="Z134">
        <v>2</v>
      </c>
      <c r="AA134" s="13">
        <v>6.5167807103290974E-4</v>
      </c>
      <c r="AO134" s="11">
        <v>133</v>
      </c>
      <c r="AP134" s="13">
        <v>6.5167807103290974E-4</v>
      </c>
      <c r="BB134" s="11">
        <v>168</v>
      </c>
      <c r="BC134">
        <v>2</v>
      </c>
    </row>
    <row r="135" spans="25:55" x14ac:dyDescent="0.25">
      <c r="Y135" s="11">
        <v>134</v>
      </c>
      <c r="Z135">
        <v>3</v>
      </c>
      <c r="AA135" s="13">
        <v>9.7751710654936461E-4</v>
      </c>
      <c r="AO135" s="11">
        <v>134</v>
      </c>
      <c r="AP135" s="13">
        <v>9.7751710654936461E-4</v>
      </c>
      <c r="BB135" s="11">
        <v>196</v>
      </c>
      <c r="BC135">
        <v>2</v>
      </c>
    </row>
    <row r="136" spans="25:55" x14ac:dyDescent="0.25">
      <c r="Y136" s="11">
        <v>135</v>
      </c>
      <c r="Z136">
        <v>2</v>
      </c>
      <c r="AA136" s="13">
        <v>6.5167807103290974E-4</v>
      </c>
      <c r="AO136" s="11">
        <v>135</v>
      </c>
      <c r="AP136" s="13">
        <v>6.5167807103290974E-4</v>
      </c>
      <c r="BB136" s="11">
        <v>171</v>
      </c>
      <c r="BC136">
        <v>2</v>
      </c>
    </row>
    <row r="137" spans="25:55" x14ac:dyDescent="0.25">
      <c r="Y137" s="11">
        <v>136</v>
      </c>
      <c r="Z137">
        <v>1</v>
      </c>
      <c r="AA137" s="13">
        <v>3.2583903551645487E-4</v>
      </c>
      <c r="AO137" s="11">
        <v>136</v>
      </c>
      <c r="AP137" s="13">
        <v>3.2583903551645487E-4</v>
      </c>
      <c r="BB137" s="11">
        <v>204</v>
      </c>
      <c r="BC137">
        <v>2</v>
      </c>
    </row>
    <row r="138" spans="25:55" x14ac:dyDescent="0.25">
      <c r="Y138" s="11">
        <v>137</v>
      </c>
      <c r="Z138">
        <v>2</v>
      </c>
      <c r="AA138" s="13">
        <v>6.5167807103290974E-4</v>
      </c>
      <c r="AO138" s="11">
        <v>137</v>
      </c>
      <c r="AP138" s="13">
        <v>6.5167807103290974E-4</v>
      </c>
      <c r="BB138" s="11">
        <v>147</v>
      </c>
      <c r="BC138">
        <v>2</v>
      </c>
    </row>
    <row r="139" spans="25:55" x14ac:dyDescent="0.25">
      <c r="Y139" s="11">
        <v>139</v>
      </c>
      <c r="Z139">
        <v>3</v>
      </c>
      <c r="AA139" s="13">
        <v>9.7751710654936461E-4</v>
      </c>
      <c r="AO139" s="11">
        <v>139</v>
      </c>
      <c r="AP139" s="13">
        <v>9.7751710654936461E-4</v>
      </c>
      <c r="BB139" s="11">
        <v>210</v>
      </c>
      <c r="BC139">
        <v>2</v>
      </c>
    </row>
    <row r="140" spans="25:55" x14ac:dyDescent="0.25">
      <c r="Y140" s="11">
        <v>140</v>
      </c>
      <c r="Z140">
        <v>1</v>
      </c>
      <c r="AA140" s="13">
        <v>3.2583903551645487E-4</v>
      </c>
      <c r="AO140" s="11">
        <v>140</v>
      </c>
      <c r="AP140" s="13">
        <v>3.2583903551645487E-4</v>
      </c>
      <c r="BB140" s="11">
        <v>141</v>
      </c>
      <c r="BC140">
        <v>2</v>
      </c>
    </row>
    <row r="141" spans="25:55" x14ac:dyDescent="0.25">
      <c r="Y141" s="11">
        <v>141</v>
      </c>
      <c r="Z141">
        <v>2</v>
      </c>
      <c r="AA141" s="13">
        <v>6.5167807103290974E-4</v>
      </c>
      <c r="AO141" s="11">
        <v>141</v>
      </c>
      <c r="AP141" s="13">
        <v>6.5167807103290974E-4</v>
      </c>
      <c r="BB141" s="11">
        <v>153</v>
      </c>
      <c r="BC141">
        <v>2</v>
      </c>
    </row>
    <row r="142" spans="25:55" x14ac:dyDescent="0.25">
      <c r="Y142" s="11">
        <v>142</v>
      </c>
      <c r="Z142">
        <v>3</v>
      </c>
      <c r="AA142" s="13">
        <v>9.7751710654936461E-4</v>
      </c>
      <c r="AO142" s="11">
        <v>142</v>
      </c>
      <c r="AP142" s="13">
        <v>9.7751710654936461E-4</v>
      </c>
      <c r="BB142" s="11">
        <v>178</v>
      </c>
      <c r="BC142">
        <v>2</v>
      </c>
    </row>
    <row r="143" spans="25:55" x14ac:dyDescent="0.25">
      <c r="Y143" s="11">
        <v>143</v>
      </c>
      <c r="Z143">
        <v>1</v>
      </c>
      <c r="AA143" s="13">
        <v>3.2583903551645487E-4</v>
      </c>
      <c r="AO143" s="11">
        <v>143</v>
      </c>
      <c r="AP143" s="13">
        <v>3.2583903551645487E-4</v>
      </c>
      <c r="BB143" s="11">
        <v>232</v>
      </c>
      <c r="BC143">
        <v>2</v>
      </c>
    </row>
    <row r="144" spans="25:55" x14ac:dyDescent="0.25">
      <c r="Y144" s="11">
        <v>144</v>
      </c>
      <c r="Z144">
        <v>3</v>
      </c>
      <c r="AA144" s="13">
        <v>9.7751710654936461E-4</v>
      </c>
      <c r="AO144" s="11">
        <v>144</v>
      </c>
      <c r="AP144" s="13">
        <v>9.7751710654936461E-4</v>
      </c>
      <c r="BB144" s="11">
        <v>179</v>
      </c>
      <c r="BC144">
        <v>2</v>
      </c>
    </row>
    <row r="145" spans="25:55" x14ac:dyDescent="0.25">
      <c r="Y145" s="11">
        <v>145</v>
      </c>
      <c r="Z145">
        <v>3</v>
      </c>
      <c r="AA145" s="13">
        <v>9.7751710654936461E-4</v>
      </c>
      <c r="AO145" s="11">
        <v>145</v>
      </c>
      <c r="AP145" s="13">
        <v>9.7751710654936461E-4</v>
      </c>
      <c r="BB145" s="11">
        <v>246</v>
      </c>
      <c r="BC145">
        <v>2</v>
      </c>
    </row>
    <row r="146" spans="25:55" x14ac:dyDescent="0.25">
      <c r="Y146" s="11">
        <v>146</v>
      </c>
      <c r="Z146">
        <v>3</v>
      </c>
      <c r="AA146" s="13">
        <v>9.7751710654936461E-4</v>
      </c>
      <c r="AO146" s="11">
        <v>146</v>
      </c>
      <c r="AP146" s="13">
        <v>9.7751710654936461E-4</v>
      </c>
      <c r="BB146" s="11">
        <v>80</v>
      </c>
      <c r="BC146">
        <v>2</v>
      </c>
    </row>
    <row r="147" spans="25:55" x14ac:dyDescent="0.25">
      <c r="Y147" s="11">
        <v>147</v>
      </c>
      <c r="Z147">
        <v>2</v>
      </c>
      <c r="AA147" s="13">
        <v>6.5167807103290974E-4</v>
      </c>
      <c r="AO147" s="11">
        <v>147</v>
      </c>
      <c r="AP147" s="13">
        <v>6.5167807103290974E-4</v>
      </c>
      <c r="BB147" s="11">
        <v>114</v>
      </c>
      <c r="BC147">
        <v>2</v>
      </c>
    </row>
    <row r="148" spans="25:55" x14ac:dyDescent="0.25">
      <c r="Y148" s="11">
        <v>148</v>
      </c>
      <c r="Z148">
        <v>5</v>
      </c>
      <c r="AA148" s="13">
        <v>1.6291951775822744E-3</v>
      </c>
      <c r="AO148" s="11">
        <v>148</v>
      </c>
      <c r="AP148" s="13">
        <v>1.6291951775822744E-3</v>
      </c>
      <c r="BB148" s="11">
        <v>182</v>
      </c>
      <c r="BC148">
        <v>2</v>
      </c>
    </row>
    <row r="149" spans="25:55" x14ac:dyDescent="0.25">
      <c r="Y149" s="11">
        <v>149</v>
      </c>
      <c r="Z149">
        <v>5</v>
      </c>
      <c r="AA149" s="13">
        <v>1.6291951775822744E-3</v>
      </c>
      <c r="AO149" s="11">
        <v>149</v>
      </c>
      <c r="AP149" s="13">
        <v>1.6291951775822744E-3</v>
      </c>
      <c r="BB149" s="11">
        <v>184</v>
      </c>
      <c r="BC149">
        <v>2</v>
      </c>
    </row>
    <row r="150" spans="25:55" x14ac:dyDescent="0.25">
      <c r="Y150" s="11">
        <v>150</v>
      </c>
      <c r="Z150">
        <v>2</v>
      </c>
      <c r="AA150" s="13">
        <v>6.5167807103290974E-4</v>
      </c>
      <c r="AO150" s="11">
        <v>150</v>
      </c>
      <c r="AP150" s="13">
        <v>6.5167807103290974E-4</v>
      </c>
      <c r="BB150" s="11">
        <v>341</v>
      </c>
      <c r="BC150">
        <v>2</v>
      </c>
    </row>
    <row r="151" spans="25:55" x14ac:dyDescent="0.25">
      <c r="Y151" s="11">
        <v>151</v>
      </c>
      <c r="Z151">
        <v>4</v>
      </c>
      <c r="AA151" s="13">
        <v>1.3033561420658195E-3</v>
      </c>
      <c r="AO151" s="11">
        <v>151</v>
      </c>
      <c r="AP151" s="13">
        <v>1.3033561420658195E-3</v>
      </c>
      <c r="BB151" s="11">
        <v>109</v>
      </c>
      <c r="BC151">
        <v>2</v>
      </c>
    </row>
    <row r="152" spans="25:55" x14ac:dyDescent="0.25">
      <c r="Y152" s="11">
        <v>152</v>
      </c>
      <c r="Z152">
        <v>2</v>
      </c>
      <c r="AA152" s="13">
        <v>6.5167807103290974E-4</v>
      </c>
      <c r="AO152" s="11">
        <v>152</v>
      </c>
      <c r="AP152" s="13">
        <v>6.5167807103290974E-4</v>
      </c>
      <c r="BB152" s="11">
        <v>135</v>
      </c>
      <c r="BC152">
        <v>2</v>
      </c>
    </row>
    <row r="153" spans="25:55" x14ac:dyDescent="0.25">
      <c r="Y153" s="11">
        <v>153</v>
      </c>
      <c r="Z153">
        <v>2</v>
      </c>
      <c r="AA153" s="13">
        <v>6.5167807103290974E-4</v>
      </c>
      <c r="AO153" s="11">
        <v>153</v>
      </c>
      <c r="AP153" s="13">
        <v>6.5167807103290974E-4</v>
      </c>
      <c r="BB153" s="11">
        <v>181</v>
      </c>
      <c r="BC153">
        <v>1</v>
      </c>
    </row>
    <row r="154" spans="25:55" x14ac:dyDescent="0.25">
      <c r="Y154" s="11">
        <v>154</v>
      </c>
      <c r="Z154">
        <v>2</v>
      </c>
      <c r="AA154" s="13">
        <v>6.5167807103290974E-4</v>
      </c>
      <c r="AO154" s="11">
        <v>154</v>
      </c>
      <c r="AP154" s="13">
        <v>6.5167807103290974E-4</v>
      </c>
      <c r="BB154" s="11">
        <v>132</v>
      </c>
      <c r="BC154">
        <v>1</v>
      </c>
    </row>
    <row r="155" spans="25:55" x14ac:dyDescent="0.25">
      <c r="Y155" s="11">
        <v>155</v>
      </c>
      <c r="Z155">
        <v>1</v>
      </c>
      <c r="AA155" s="13">
        <v>3.2583903551645487E-4</v>
      </c>
      <c r="AO155" s="11">
        <v>155</v>
      </c>
      <c r="AP155" s="13">
        <v>3.2583903551645487E-4</v>
      </c>
      <c r="BB155" s="11">
        <v>259</v>
      </c>
      <c r="BC155">
        <v>1</v>
      </c>
    </row>
    <row r="156" spans="25:55" x14ac:dyDescent="0.25">
      <c r="Y156" s="11">
        <v>156</v>
      </c>
      <c r="Z156">
        <v>3</v>
      </c>
      <c r="AA156" s="13">
        <v>9.7751710654936461E-4</v>
      </c>
      <c r="AO156" s="11">
        <v>156</v>
      </c>
      <c r="AP156" s="13">
        <v>9.7751710654936461E-4</v>
      </c>
      <c r="BB156" s="11">
        <v>193</v>
      </c>
      <c r="BC156">
        <v>1</v>
      </c>
    </row>
    <row r="157" spans="25:55" x14ac:dyDescent="0.25">
      <c r="Y157" s="11">
        <v>157</v>
      </c>
      <c r="Z157">
        <v>2</v>
      </c>
      <c r="AA157" s="13">
        <v>6.5167807103290974E-4</v>
      </c>
      <c r="AO157" s="11">
        <v>157</v>
      </c>
      <c r="AP157" s="13">
        <v>6.5167807103290974E-4</v>
      </c>
      <c r="BB157" s="11">
        <v>192</v>
      </c>
      <c r="BC157">
        <v>1</v>
      </c>
    </row>
    <row r="158" spans="25:55" x14ac:dyDescent="0.25">
      <c r="Y158" s="11">
        <v>158</v>
      </c>
      <c r="Z158">
        <v>7</v>
      </c>
      <c r="AA158" s="13">
        <v>2.2808732486151841E-3</v>
      </c>
      <c r="AO158" s="11">
        <v>158</v>
      </c>
      <c r="AP158" s="13">
        <v>2.2808732486151841E-3</v>
      </c>
      <c r="BB158" s="11">
        <v>194</v>
      </c>
      <c r="BC158">
        <v>1</v>
      </c>
    </row>
    <row r="159" spans="25:55" x14ac:dyDescent="0.25">
      <c r="Y159" s="11">
        <v>159</v>
      </c>
      <c r="Z159">
        <v>1</v>
      </c>
      <c r="AA159" s="13">
        <v>3.2583903551645487E-4</v>
      </c>
      <c r="AO159" s="11">
        <v>159</v>
      </c>
      <c r="AP159" s="13">
        <v>3.2583903551645487E-4</v>
      </c>
      <c r="BB159" s="11">
        <v>108</v>
      </c>
      <c r="BC159">
        <v>1</v>
      </c>
    </row>
    <row r="160" spans="25:55" x14ac:dyDescent="0.25">
      <c r="Y160" s="11">
        <v>161</v>
      </c>
      <c r="Z160">
        <v>2</v>
      </c>
      <c r="AA160" s="13">
        <v>6.5167807103290974E-4</v>
      </c>
      <c r="AO160" s="11">
        <v>161</v>
      </c>
      <c r="AP160" s="13">
        <v>6.5167807103290974E-4</v>
      </c>
      <c r="BB160" s="11">
        <v>140</v>
      </c>
      <c r="BC160">
        <v>1</v>
      </c>
    </row>
    <row r="161" spans="25:55" x14ac:dyDescent="0.25">
      <c r="Y161" s="11">
        <v>162</v>
      </c>
      <c r="Z161">
        <v>3</v>
      </c>
      <c r="AA161" s="13">
        <v>9.7751710654936461E-4</v>
      </c>
      <c r="AO161" s="11">
        <v>162</v>
      </c>
      <c r="AP161" s="13">
        <v>9.7751710654936461E-4</v>
      </c>
      <c r="BB161" s="11">
        <v>266</v>
      </c>
      <c r="BC161">
        <v>1</v>
      </c>
    </row>
    <row r="162" spans="25:55" x14ac:dyDescent="0.25">
      <c r="Y162" s="11">
        <v>164</v>
      </c>
      <c r="Z162">
        <v>2</v>
      </c>
      <c r="AA162" s="13">
        <v>6.5167807103290974E-4</v>
      </c>
      <c r="AO162" s="11">
        <v>164</v>
      </c>
      <c r="AP162" s="13">
        <v>6.5167807103290974E-4</v>
      </c>
      <c r="BB162" s="11">
        <v>197</v>
      </c>
      <c r="BC162">
        <v>1</v>
      </c>
    </row>
    <row r="163" spans="25:55" x14ac:dyDescent="0.25">
      <c r="Y163" s="11">
        <v>165</v>
      </c>
      <c r="Z163">
        <v>3</v>
      </c>
      <c r="AA163" s="13">
        <v>9.7751710654936461E-4</v>
      </c>
      <c r="AO163" s="11">
        <v>165</v>
      </c>
      <c r="AP163" s="13">
        <v>9.7751710654936461E-4</v>
      </c>
      <c r="BB163" s="11">
        <v>297</v>
      </c>
      <c r="BC163">
        <v>1</v>
      </c>
    </row>
    <row r="164" spans="25:55" x14ac:dyDescent="0.25">
      <c r="Y164" s="11">
        <v>166</v>
      </c>
      <c r="Z164">
        <v>4</v>
      </c>
      <c r="AA164" s="13">
        <v>1.3033561420658195E-3</v>
      </c>
      <c r="AO164" s="11">
        <v>166</v>
      </c>
      <c r="AP164" s="13">
        <v>1.3033561420658195E-3</v>
      </c>
      <c r="BB164" s="11">
        <v>198</v>
      </c>
      <c r="BC164">
        <v>1</v>
      </c>
    </row>
    <row r="165" spans="25:55" x14ac:dyDescent="0.25">
      <c r="Y165" s="11">
        <v>167</v>
      </c>
      <c r="Z165">
        <v>2</v>
      </c>
      <c r="AA165" s="13">
        <v>6.5167807103290974E-4</v>
      </c>
      <c r="AO165" s="11">
        <v>167</v>
      </c>
      <c r="AP165" s="13">
        <v>6.5167807103290974E-4</v>
      </c>
      <c r="BB165" s="11">
        <v>237</v>
      </c>
      <c r="BC165">
        <v>1</v>
      </c>
    </row>
    <row r="166" spans="25:55" x14ac:dyDescent="0.25">
      <c r="Y166" s="11">
        <v>168</v>
      </c>
      <c r="Z166">
        <v>2</v>
      </c>
      <c r="AA166" s="13">
        <v>6.5167807103290974E-4</v>
      </c>
      <c r="AO166" s="11">
        <v>168</v>
      </c>
      <c r="AP166" s="13">
        <v>6.5167807103290974E-4</v>
      </c>
      <c r="BB166" s="11">
        <v>172</v>
      </c>
      <c r="BC166">
        <v>1</v>
      </c>
    </row>
    <row r="167" spans="25:55" x14ac:dyDescent="0.25">
      <c r="Y167" s="11">
        <v>170</v>
      </c>
      <c r="Z167">
        <v>1</v>
      </c>
      <c r="AA167" s="13">
        <v>3.2583903551645487E-4</v>
      </c>
      <c r="AO167" s="11">
        <v>170</v>
      </c>
      <c r="AP167" s="13">
        <v>3.2583903551645487E-4</v>
      </c>
      <c r="BB167" s="11">
        <v>243</v>
      </c>
      <c r="BC167">
        <v>1</v>
      </c>
    </row>
    <row r="168" spans="25:55" x14ac:dyDescent="0.25">
      <c r="Y168" s="11">
        <v>171</v>
      </c>
      <c r="Z168">
        <v>2</v>
      </c>
      <c r="AA168" s="13">
        <v>6.5167807103290974E-4</v>
      </c>
      <c r="AO168" s="11">
        <v>171</v>
      </c>
      <c r="AP168" s="13">
        <v>6.5167807103290974E-4</v>
      </c>
      <c r="BB168" s="11">
        <v>200</v>
      </c>
      <c r="BC168">
        <v>1</v>
      </c>
    </row>
    <row r="169" spans="25:55" x14ac:dyDescent="0.25">
      <c r="Y169" s="11">
        <v>172</v>
      </c>
      <c r="Z169">
        <v>1</v>
      </c>
      <c r="AA169" s="13">
        <v>3.2583903551645487E-4</v>
      </c>
      <c r="AO169" s="11">
        <v>172</v>
      </c>
      <c r="AP169" s="13">
        <v>3.2583903551645487E-4</v>
      </c>
      <c r="BB169" s="11">
        <v>131</v>
      </c>
      <c r="BC169">
        <v>1</v>
      </c>
    </row>
    <row r="170" spans="25:55" x14ac:dyDescent="0.25">
      <c r="Y170" s="11">
        <v>173</v>
      </c>
      <c r="Z170">
        <v>3</v>
      </c>
      <c r="AA170" s="13">
        <v>9.7751710654936461E-4</v>
      </c>
      <c r="AO170" s="11">
        <v>173</v>
      </c>
      <c r="AP170" s="13">
        <v>9.7751710654936461E-4</v>
      </c>
      <c r="BB170" s="11">
        <v>201</v>
      </c>
      <c r="BC170">
        <v>1</v>
      </c>
    </row>
    <row r="171" spans="25:55" x14ac:dyDescent="0.25">
      <c r="Y171" s="11">
        <v>174</v>
      </c>
      <c r="Z171">
        <v>3</v>
      </c>
      <c r="AA171" s="13">
        <v>9.7751710654936461E-4</v>
      </c>
      <c r="AO171" s="11">
        <v>174</v>
      </c>
      <c r="AP171" s="13">
        <v>9.7751710654936461E-4</v>
      </c>
      <c r="BB171" s="11">
        <v>261</v>
      </c>
      <c r="BC171">
        <v>1</v>
      </c>
    </row>
    <row r="172" spans="25:55" x14ac:dyDescent="0.25">
      <c r="Y172" s="11">
        <v>175</v>
      </c>
      <c r="Z172">
        <v>1</v>
      </c>
      <c r="AA172" s="13">
        <v>3.2583903551645487E-4</v>
      </c>
      <c r="AO172" s="11">
        <v>175</v>
      </c>
      <c r="AP172" s="13">
        <v>3.2583903551645487E-4</v>
      </c>
      <c r="BB172" s="11">
        <v>202</v>
      </c>
      <c r="BC172">
        <v>1</v>
      </c>
    </row>
    <row r="173" spans="25:55" x14ac:dyDescent="0.25">
      <c r="Y173" s="11">
        <v>177</v>
      </c>
      <c r="Z173">
        <v>1</v>
      </c>
      <c r="AA173" s="13">
        <v>3.2583903551645487E-4</v>
      </c>
      <c r="AO173" s="11">
        <v>177</v>
      </c>
      <c r="AP173" s="13">
        <v>3.2583903551645487E-4</v>
      </c>
      <c r="BB173" s="11">
        <v>272</v>
      </c>
      <c r="BC173">
        <v>1</v>
      </c>
    </row>
    <row r="174" spans="25:55" x14ac:dyDescent="0.25">
      <c r="Y174" s="11">
        <v>178</v>
      </c>
      <c r="Z174">
        <v>2</v>
      </c>
      <c r="AA174" s="13">
        <v>6.5167807103290974E-4</v>
      </c>
      <c r="AO174" s="11">
        <v>178</v>
      </c>
      <c r="AP174" s="13">
        <v>6.5167807103290974E-4</v>
      </c>
      <c r="BB174" s="11">
        <v>106</v>
      </c>
      <c r="BC174">
        <v>1</v>
      </c>
    </row>
    <row r="175" spans="25:55" x14ac:dyDescent="0.25">
      <c r="Y175" s="11">
        <v>179</v>
      </c>
      <c r="Z175">
        <v>2</v>
      </c>
      <c r="AA175" s="13">
        <v>6.5167807103290974E-4</v>
      </c>
      <c r="AO175" s="11">
        <v>179</v>
      </c>
      <c r="AP175" s="13">
        <v>6.5167807103290974E-4</v>
      </c>
      <c r="BB175" s="11">
        <v>282</v>
      </c>
      <c r="BC175">
        <v>1</v>
      </c>
    </row>
    <row r="176" spans="25:55" x14ac:dyDescent="0.25">
      <c r="Y176" s="11">
        <v>180</v>
      </c>
      <c r="Z176">
        <v>3</v>
      </c>
      <c r="AA176" s="13">
        <v>9.7751710654936461E-4</v>
      </c>
      <c r="AO176" s="11">
        <v>180</v>
      </c>
      <c r="AP176" s="13">
        <v>9.7751710654936461E-4</v>
      </c>
      <c r="BB176" s="11">
        <v>159</v>
      </c>
      <c r="BC176">
        <v>1</v>
      </c>
    </row>
    <row r="177" spans="25:55" x14ac:dyDescent="0.25">
      <c r="Y177" s="11">
        <v>181</v>
      </c>
      <c r="Z177">
        <v>1</v>
      </c>
      <c r="AA177" s="13">
        <v>3.2583903551645487E-4</v>
      </c>
      <c r="AO177" s="11">
        <v>181</v>
      </c>
      <c r="AP177" s="13">
        <v>3.2583903551645487E-4</v>
      </c>
      <c r="BB177" s="11">
        <v>322</v>
      </c>
      <c r="BC177">
        <v>1</v>
      </c>
    </row>
    <row r="178" spans="25:55" x14ac:dyDescent="0.25">
      <c r="Y178" s="11">
        <v>182</v>
      </c>
      <c r="Z178">
        <v>2</v>
      </c>
      <c r="AA178" s="13">
        <v>6.5167807103290974E-4</v>
      </c>
      <c r="AO178" s="11">
        <v>182</v>
      </c>
      <c r="AP178" s="13">
        <v>6.5167807103290974E-4</v>
      </c>
      <c r="BB178" s="11">
        <v>206</v>
      </c>
      <c r="BC178">
        <v>1</v>
      </c>
    </row>
    <row r="179" spans="25:55" x14ac:dyDescent="0.25">
      <c r="Y179" s="11">
        <v>184</v>
      </c>
      <c r="Z179">
        <v>2</v>
      </c>
      <c r="AA179" s="13">
        <v>6.5167807103290974E-4</v>
      </c>
      <c r="AO179" s="11">
        <v>184</v>
      </c>
      <c r="AP179" s="13">
        <v>6.5167807103290974E-4</v>
      </c>
      <c r="BB179" s="11">
        <v>233</v>
      </c>
      <c r="BC179">
        <v>1</v>
      </c>
    </row>
    <row r="180" spans="25:55" x14ac:dyDescent="0.25">
      <c r="Y180" s="11">
        <v>185</v>
      </c>
      <c r="Z180">
        <v>1</v>
      </c>
      <c r="AA180" s="13">
        <v>3.2583903551645487E-4</v>
      </c>
      <c r="AO180" s="11">
        <v>185</v>
      </c>
      <c r="AP180" s="13">
        <v>3.2583903551645487E-4</v>
      </c>
      <c r="BB180" s="11">
        <v>208</v>
      </c>
      <c r="BC180">
        <v>1</v>
      </c>
    </row>
    <row r="181" spans="25:55" x14ac:dyDescent="0.25">
      <c r="Y181" s="11">
        <v>188</v>
      </c>
      <c r="Z181">
        <v>6</v>
      </c>
      <c r="AA181" s="13">
        <v>1.9550342130987292E-3</v>
      </c>
      <c r="AO181" s="11">
        <v>188</v>
      </c>
      <c r="AP181" s="13">
        <v>1.9550342130987292E-3</v>
      </c>
      <c r="BB181" s="11">
        <v>238</v>
      </c>
      <c r="BC181">
        <v>1</v>
      </c>
    </row>
    <row r="182" spans="25:55" x14ac:dyDescent="0.25">
      <c r="Y182" s="11">
        <v>189</v>
      </c>
      <c r="Z182">
        <v>6</v>
      </c>
      <c r="AA182" s="13">
        <v>1.9550342130987292E-3</v>
      </c>
      <c r="AO182" s="11">
        <v>189</v>
      </c>
      <c r="AP182" s="13">
        <v>1.9550342130987292E-3</v>
      </c>
      <c r="BB182" s="11">
        <v>175</v>
      </c>
      <c r="BC182">
        <v>1</v>
      </c>
    </row>
    <row r="183" spans="25:55" x14ac:dyDescent="0.25">
      <c r="Y183" s="11">
        <v>191</v>
      </c>
      <c r="Z183">
        <v>2</v>
      </c>
      <c r="AA183" s="13">
        <v>6.5167807103290974E-4</v>
      </c>
      <c r="AO183" s="11">
        <v>191</v>
      </c>
      <c r="AP183" s="13">
        <v>6.5167807103290974E-4</v>
      </c>
      <c r="BB183" s="11">
        <v>241</v>
      </c>
      <c r="BC183">
        <v>1</v>
      </c>
    </row>
    <row r="184" spans="25:55" x14ac:dyDescent="0.25">
      <c r="Y184" s="11">
        <v>192</v>
      </c>
      <c r="Z184">
        <v>1</v>
      </c>
      <c r="AA184" s="13">
        <v>3.2583903551645487E-4</v>
      </c>
      <c r="AO184" s="11">
        <v>192</v>
      </c>
      <c r="AP184" s="13">
        <v>3.2583903551645487E-4</v>
      </c>
      <c r="BB184" s="11">
        <v>211</v>
      </c>
      <c r="BC184">
        <v>1</v>
      </c>
    </row>
    <row r="185" spans="25:55" x14ac:dyDescent="0.25">
      <c r="Y185" s="11">
        <v>193</v>
      </c>
      <c r="Z185">
        <v>1</v>
      </c>
      <c r="AA185" s="13">
        <v>3.2583903551645487E-4</v>
      </c>
      <c r="AO185" s="11">
        <v>193</v>
      </c>
      <c r="AP185" s="13">
        <v>3.2583903551645487E-4</v>
      </c>
      <c r="BB185" s="11">
        <v>245</v>
      </c>
      <c r="BC185">
        <v>1</v>
      </c>
    </row>
    <row r="186" spans="25:55" x14ac:dyDescent="0.25">
      <c r="Y186" s="11">
        <v>194</v>
      </c>
      <c r="Z186">
        <v>1</v>
      </c>
      <c r="AA186" s="13">
        <v>3.2583903551645487E-4</v>
      </c>
      <c r="AO186" s="11">
        <v>194</v>
      </c>
      <c r="AP186" s="13">
        <v>3.2583903551645487E-4</v>
      </c>
      <c r="BB186" s="11">
        <v>177</v>
      </c>
      <c r="BC186">
        <v>1</v>
      </c>
    </row>
    <row r="187" spans="25:55" x14ac:dyDescent="0.25">
      <c r="Y187" s="11">
        <v>196</v>
      </c>
      <c r="Z187">
        <v>2</v>
      </c>
      <c r="AA187" s="13">
        <v>6.5167807103290974E-4</v>
      </c>
      <c r="AO187" s="11">
        <v>196</v>
      </c>
      <c r="AP187" s="13">
        <v>6.5167807103290974E-4</v>
      </c>
      <c r="BB187" s="11">
        <v>247</v>
      </c>
      <c r="BC187">
        <v>1</v>
      </c>
    </row>
    <row r="188" spans="25:55" x14ac:dyDescent="0.25">
      <c r="Y188" s="11">
        <v>197</v>
      </c>
      <c r="Z188">
        <v>1</v>
      </c>
      <c r="AA188" s="13">
        <v>3.2583903551645487E-4</v>
      </c>
      <c r="AO188" s="11">
        <v>197</v>
      </c>
      <c r="AP188" s="13">
        <v>3.2583903551645487E-4</v>
      </c>
      <c r="BB188" s="11">
        <v>213</v>
      </c>
      <c r="BC188">
        <v>1</v>
      </c>
    </row>
    <row r="189" spans="25:55" x14ac:dyDescent="0.25">
      <c r="Y189" s="11">
        <v>198</v>
      </c>
      <c r="Z189">
        <v>1</v>
      </c>
      <c r="AA189" s="13">
        <v>3.2583903551645487E-4</v>
      </c>
      <c r="AO189" s="11">
        <v>198</v>
      </c>
      <c r="AP189" s="13">
        <v>3.2583903551645487E-4</v>
      </c>
      <c r="BB189" s="11">
        <v>250</v>
      </c>
      <c r="BC189">
        <v>1</v>
      </c>
    </row>
    <row r="190" spans="25:55" x14ac:dyDescent="0.25">
      <c r="Y190" s="11">
        <v>199</v>
      </c>
      <c r="Z190">
        <v>3</v>
      </c>
      <c r="AA190" s="13">
        <v>9.7751710654936461E-4</v>
      </c>
      <c r="AO190" s="11">
        <v>199</v>
      </c>
      <c r="AP190" s="13">
        <v>9.7751710654936461E-4</v>
      </c>
      <c r="BB190" s="11">
        <v>216</v>
      </c>
      <c r="BC190">
        <v>1</v>
      </c>
    </row>
    <row r="191" spans="25:55" x14ac:dyDescent="0.25">
      <c r="Y191" s="11">
        <v>200</v>
      </c>
      <c r="Z191">
        <v>1</v>
      </c>
      <c r="AA191" s="13">
        <v>3.2583903551645487E-4</v>
      </c>
      <c r="AO191" s="11">
        <v>200</v>
      </c>
      <c r="AP191" s="13">
        <v>3.2583903551645487E-4</v>
      </c>
      <c r="BB191" s="11">
        <v>185</v>
      </c>
      <c r="BC191">
        <v>1</v>
      </c>
    </row>
    <row r="192" spans="25:55" x14ac:dyDescent="0.25">
      <c r="Y192" s="11">
        <v>201</v>
      </c>
      <c r="Z192">
        <v>1</v>
      </c>
      <c r="AA192" s="13">
        <v>3.2583903551645487E-4</v>
      </c>
      <c r="AO192" s="11">
        <v>201</v>
      </c>
      <c r="AP192" s="13">
        <v>3.2583903551645487E-4</v>
      </c>
      <c r="BB192" s="11">
        <v>103</v>
      </c>
      <c r="BC192">
        <v>1</v>
      </c>
    </row>
    <row r="193" spans="25:55" x14ac:dyDescent="0.25">
      <c r="Y193" s="11">
        <v>202</v>
      </c>
      <c r="Z193">
        <v>1</v>
      </c>
      <c r="AA193" s="13">
        <v>3.2583903551645487E-4</v>
      </c>
      <c r="AO193" s="11">
        <v>202</v>
      </c>
      <c r="AP193" s="13">
        <v>3.2583903551645487E-4</v>
      </c>
      <c r="BB193" s="11">
        <v>265</v>
      </c>
      <c r="BC193">
        <v>1</v>
      </c>
    </row>
    <row r="194" spans="25:55" x14ac:dyDescent="0.25">
      <c r="Y194" s="11">
        <v>204</v>
      </c>
      <c r="Z194">
        <v>2</v>
      </c>
      <c r="AA194" s="13">
        <v>6.5167807103290974E-4</v>
      </c>
      <c r="AO194" s="11">
        <v>204</v>
      </c>
      <c r="AP194" s="13">
        <v>6.5167807103290974E-4</v>
      </c>
      <c r="BB194" s="11">
        <v>221</v>
      </c>
      <c r="BC194">
        <v>1</v>
      </c>
    </row>
    <row r="195" spans="25:55" x14ac:dyDescent="0.25">
      <c r="Y195" s="11">
        <v>205</v>
      </c>
      <c r="Z195">
        <v>2</v>
      </c>
      <c r="AA195" s="13">
        <v>6.5167807103290974E-4</v>
      </c>
      <c r="AO195" s="11">
        <v>205</v>
      </c>
      <c r="AP195" s="13">
        <v>6.5167807103290974E-4</v>
      </c>
      <c r="BB195" s="11">
        <v>271</v>
      </c>
      <c r="BC195">
        <v>1</v>
      </c>
    </row>
    <row r="196" spans="25:55" x14ac:dyDescent="0.25">
      <c r="Y196" s="11">
        <v>206</v>
      </c>
      <c r="Z196">
        <v>1</v>
      </c>
      <c r="AA196" s="13">
        <v>3.2583903551645487E-4</v>
      </c>
      <c r="AO196" s="11">
        <v>206</v>
      </c>
      <c r="AP196" s="13">
        <v>3.2583903551645487E-4</v>
      </c>
      <c r="BB196" s="11">
        <v>222</v>
      </c>
      <c r="BC196">
        <v>1</v>
      </c>
    </row>
    <row r="197" spans="25:55" x14ac:dyDescent="0.25">
      <c r="Y197" s="11">
        <v>208</v>
      </c>
      <c r="Z197">
        <v>1</v>
      </c>
      <c r="AA197" s="13">
        <v>3.2583903551645487E-4</v>
      </c>
      <c r="AO197" s="11">
        <v>208</v>
      </c>
      <c r="AP197" s="13">
        <v>3.2583903551645487E-4</v>
      </c>
      <c r="BB197" s="11">
        <v>155</v>
      </c>
      <c r="BC197">
        <v>1</v>
      </c>
    </row>
    <row r="198" spans="25:55" x14ac:dyDescent="0.25">
      <c r="Y198" s="11">
        <v>210</v>
      </c>
      <c r="Z198">
        <v>2</v>
      </c>
      <c r="AA198" s="13">
        <v>6.5167807103290974E-4</v>
      </c>
      <c r="AO198" s="11">
        <v>210</v>
      </c>
      <c r="AP198" s="13">
        <v>6.5167807103290974E-4</v>
      </c>
      <c r="BB198" s="11">
        <v>224</v>
      </c>
      <c r="BC198">
        <v>1</v>
      </c>
    </row>
    <row r="199" spans="25:55" x14ac:dyDescent="0.25">
      <c r="Y199" s="11">
        <v>211</v>
      </c>
      <c r="Z199">
        <v>1</v>
      </c>
      <c r="AA199" s="13">
        <v>3.2583903551645487E-4</v>
      </c>
      <c r="AO199" s="11">
        <v>211</v>
      </c>
      <c r="AP199" s="13">
        <v>3.2583903551645487E-4</v>
      </c>
      <c r="BB199" s="11">
        <v>281</v>
      </c>
      <c r="BC199">
        <v>1</v>
      </c>
    </row>
    <row r="200" spans="25:55" x14ac:dyDescent="0.25">
      <c r="Y200" s="11">
        <v>212</v>
      </c>
      <c r="Z200">
        <v>2</v>
      </c>
      <c r="AA200" s="13">
        <v>6.5167807103290974E-4</v>
      </c>
      <c r="AO200" s="11">
        <v>212</v>
      </c>
      <c r="AP200" s="13">
        <v>6.5167807103290974E-4</v>
      </c>
      <c r="BB200" s="11">
        <v>226</v>
      </c>
      <c r="BC200">
        <v>1</v>
      </c>
    </row>
    <row r="201" spans="25:55" x14ac:dyDescent="0.25">
      <c r="Y201" s="11">
        <v>213</v>
      </c>
      <c r="Z201">
        <v>1</v>
      </c>
      <c r="AA201" s="13">
        <v>3.2583903551645487E-4</v>
      </c>
      <c r="AO201" s="11">
        <v>213</v>
      </c>
      <c r="AP201" s="13">
        <v>3.2583903551645487E-4</v>
      </c>
      <c r="BB201" s="11">
        <v>294</v>
      </c>
      <c r="BC201">
        <v>1</v>
      </c>
    </row>
    <row r="202" spans="25:55" x14ac:dyDescent="0.25">
      <c r="Y202" s="11">
        <v>216</v>
      </c>
      <c r="Z202">
        <v>1</v>
      </c>
      <c r="AA202" s="13">
        <v>3.2583903551645487E-4</v>
      </c>
      <c r="AO202" s="11">
        <v>216</v>
      </c>
      <c r="AP202" s="13">
        <v>3.2583903551645487E-4</v>
      </c>
      <c r="BB202" s="11">
        <v>227</v>
      </c>
      <c r="BC202">
        <v>1</v>
      </c>
    </row>
    <row r="203" spans="25:55" x14ac:dyDescent="0.25">
      <c r="Y203" s="11">
        <v>219</v>
      </c>
      <c r="Z203">
        <v>4</v>
      </c>
      <c r="AA203" s="13">
        <v>1.3033561420658195E-3</v>
      </c>
      <c r="AO203" s="11">
        <v>219</v>
      </c>
      <c r="AP203" s="13">
        <v>1.3033561420658195E-3</v>
      </c>
      <c r="BB203" s="11">
        <v>301</v>
      </c>
      <c r="BC203">
        <v>1</v>
      </c>
    </row>
    <row r="204" spans="25:55" x14ac:dyDescent="0.25">
      <c r="Y204" s="11">
        <v>221</v>
      </c>
      <c r="Z204">
        <v>1</v>
      </c>
      <c r="AA204" s="13">
        <v>3.2583903551645487E-4</v>
      </c>
      <c r="AO204" s="11">
        <v>221</v>
      </c>
      <c r="AP204" s="13">
        <v>3.2583903551645487E-4</v>
      </c>
      <c r="BB204" s="11">
        <v>229</v>
      </c>
      <c r="BC204">
        <v>1</v>
      </c>
    </row>
    <row r="205" spans="25:55" x14ac:dyDescent="0.25">
      <c r="Y205" s="11">
        <v>222</v>
      </c>
      <c r="Z205">
        <v>1</v>
      </c>
      <c r="AA205" s="13">
        <v>3.2583903551645487E-4</v>
      </c>
      <c r="AO205" s="11">
        <v>222</v>
      </c>
      <c r="AP205" s="13">
        <v>3.2583903551645487E-4</v>
      </c>
      <c r="BB205" s="11">
        <v>170</v>
      </c>
      <c r="BC205">
        <v>1</v>
      </c>
    </row>
    <row r="206" spans="25:55" x14ac:dyDescent="0.25">
      <c r="Y206" s="11">
        <v>224</v>
      </c>
      <c r="Z206">
        <v>1</v>
      </c>
      <c r="AA206" s="13">
        <v>3.2583903551645487E-4</v>
      </c>
      <c r="AO206" s="11">
        <v>224</v>
      </c>
      <c r="AP206" s="13">
        <v>3.2583903551645487E-4</v>
      </c>
      <c r="BB206" s="11">
        <v>143</v>
      </c>
      <c r="BC206">
        <v>1</v>
      </c>
    </row>
    <row r="207" spans="25:55" x14ac:dyDescent="0.25">
      <c r="Y207" s="11">
        <v>226</v>
      </c>
      <c r="Z207">
        <v>1</v>
      </c>
      <c r="AA207" s="13">
        <v>3.2583903551645487E-4</v>
      </c>
      <c r="AO207" s="11">
        <v>226</v>
      </c>
      <c r="AP207" s="13">
        <v>3.2583903551645487E-4</v>
      </c>
      <c r="BB207" s="11">
        <v>348</v>
      </c>
      <c r="BC207">
        <v>1</v>
      </c>
    </row>
    <row r="208" spans="25:55" x14ac:dyDescent="0.25">
      <c r="Y208" s="11">
        <v>227</v>
      </c>
      <c r="Z208">
        <v>1</v>
      </c>
      <c r="AA208" s="13">
        <v>3.2583903551645487E-4</v>
      </c>
      <c r="AO208" s="11">
        <v>227</v>
      </c>
      <c r="AP208" s="13">
        <v>3.2583903551645487E-4</v>
      </c>
      <c r="BB208" s="11">
        <v>136</v>
      </c>
      <c r="BC208">
        <v>1</v>
      </c>
    </row>
    <row r="209" spans="25:55" x14ac:dyDescent="0.25">
      <c r="Y209" s="11">
        <v>229</v>
      </c>
      <c r="Z209">
        <v>1</v>
      </c>
      <c r="AA209" s="13">
        <v>3.2583903551645487E-4</v>
      </c>
      <c r="AO209" s="11">
        <v>229</v>
      </c>
      <c r="AP209" s="13">
        <v>3.2583903551645487E-4</v>
      </c>
      <c r="BB209" s="11" t="s">
        <v>22</v>
      </c>
      <c r="BC209">
        <v>1267</v>
      </c>
    </row>
    <row r="210" spans="25:55" x14ac:dyDescent="0.25">
      <c r="Y210" s="11">
        <v>231</v>
      </c>
      <c r="Z210">
        <v>2</v>
      </c>
      <c r="AA210" s="13">
        <v>6.5167807103290974E-4</v>
      </c>
      <c r="AO210" s="11">
        <v>231</v>
      </c>
      <c r="AP210" s="13">
        <v>6.5167807103290974E-4</v>
      </c>
    </row>
    <row r="211" spans="25:55" x14ac:dyDescent="0.25">
      <c r="Y211" s="11">
        <v>232</v>
      </c>
      <c r="Z211">
        <v>2</v>
      </c>
      <c r="AA211" s="13">
        <v>6.5167807103290974E-4</v>
      </c>
      <c r="AO211" s="11">
        <v>232</v>
      </c>
      <c r="AP211" s="13">
        <v>6.5167807103290974E-4</v>
      </c>
    </row>
    <row r="212" spans="25:55" x14ac:dyDescent="0.25">
      <c r="Y212" s="11">
        <v>233</v>
      </c>
      <c r="Z212">
        <v>1</v>
      </c>
      <c r="AA212" s="13">
        <v>3.2583903551645487E-4</v>
      </c>
      <c r="AO212" s="11">
        <v>233</v>
      </c>
      <c r="AP212" s="13">
        <v>3.2583903551645487E-4</v>
      </c>
    </row>
    <row r="213" spans="25:55" x14ac:dyDescent="0.25">
      <c r="Y213" s="11">
        <v>237</v>
      </c>
      <c r="Z213">
        <v>1</v>
      </c>
      <c r="AA213" s="13">
        <v>3.2583903551645487E-4</v>
      </c>
      <c r="AO213" s="11">
        <v>237</v>
      </c>
      <c r="AP213" s="13">
        <v>3.2583903551645487E-4</v>
      </c>
    </row>
    <row r="214" spans="25:55" x14ac:dyDescent="0.25">
      <c r="Y214" s="11">
        <v>238</v>
      </c>
      <c r="Z214">
        <v>1</v>
      </c>
      <c r="AA214" s="13">
        <v>3.2583903551645487E-4</v>
      </c>
      <c r="AO214" s="11">
        <v>238</v>
      </c>
      <c r="AP214" s="13">
        <v>3.2583903551645487E-4</v>
      </c>
    </row>
    <row r="215" spans="25:55" x14ac:dyDescent="0.25">
      <c r="Y215" s="11">
        <v>240</v>
      </c>
      <c r="Z215">
        <v>2</v>
      </c>
      <c r="AA215" s="13">
        <v>6.5167807103290974E-4</v>
      </c>
      <c r="AO215" s="11">
        <v>240</v>
      </c>
      <c r="AP215" s="13">
        <v>6.5167807103290974E-4</v>
      </c>
    </row>
    <row r="216" spans="25:55" x14ac:dyDescent="0.25">
      <c r="Y216" s="11">
        <v>241</v>
      </c>
      <c r="Z216">
        <v>1</v>
      </c>
      <c r="AA216" s="13">
        <v>3.2583903551645487E-4</v>
      </c>
      <c r="AO216" s="11">
        <v>241</v>
      </c>
      <c r="AP216" s="13">
        <v>3.2583903551645487E-4</v>
      </c>
    </row>
    <row r="217" spans="25:55" x14ac:dyDescent="0.25">
      <c r="Y217" s="11">
        <v>243</v>
      </c>
      <c r="Z217">
        <v>1</v>
      </c>
      <c r="AA217" s="13">
        <v>3.2583903551645487E-4</v>
      </c>
      <c r="AO217" s="11">
        <v>243</v>
      </c>
      <c r="AP217" s="13">
        <v>3.2583903551645487E-4</v>
      </c>
    </row>
    <row r="218" spans="25:55" x14ac:dyDescent="0.25">
      <c r="Y218" s="11">
        <v>245</v>
      </c>
      <c r="Z218">
        <v>1</v>
      </c>
      <c r="AA218" s="13">
        <v>3.2583903551645487E-4</v>
      </c>
      <c r="AO218" s="11">
        <v>245</v>
      </c>
      <c r="AP218" s="13">
        <v>3.2583903551645487E-4</v>
      </c>
    </row>
    <row r="219" spans="25:55" x14ac:dyDescent="0.25">
      <c r="Y219" s="11">
        <v>246</v>
      </c>
      <c r="Z219">
        <v>2</v>
      </c>
      <c r="AA219" s="13">
        <v>6.5167807103290974E-4</v>
      </c>
      <c r="AO219" s="11">
        <v>246</v>
      </c>
      <c r="AP219" s="13">
        <v>6.5167807103290974E-4</v>
      </c>
    </row>
    <row r="220" spans="25:55" x14ac:dyDescent="0.25">
      <c r="Y220" s="11">
        <v>247</v>
      </c>
      <c r="Z220">
        <v>1</v>
      </c>
      <c r="AA220" s="13">
        <v>3.2583903551645487E-4</v>
      </c>
      <c r="AO220" s="11">
        <v>247</v>
      </c>
      <c r="AP220" s="13">
        <v>3.2583903551645487E-4</v>
      </c>
    </row>
    <row r="221" spans="25:55" x14ac:dyDescent="0.25">
      <c r="Y221" s="11">
        <v>249</v>
      </c>
      <c r="Z221">
        <v>3</v>
      </c>
      <c r="AA221" s="13">
        <v>9.7751710654936461E-4</v>
      </c>
      <c r="AO221" s="11">
        <v>249</v>
      </c>
      <c r="AP221" s="13">
        <v>9.7751710654936461E-4</v>
      </c>
    </row>
    <row r="222" spans="25:55" x14ac:dyDescent="0.25">
      <c r="Y222" s="11">
        <v>250</v>
      </c>
      <c r="Z222">
        <v>1</v>
      </c>
      <c r="AA222" s="13">
        <v>3.2583903551645487E-4</v>
      </c>
      <c r="AO222" s="11">
        <v>250</v>
      </c>
      <c r="AP222" s="13">
        <v>3.2583903551645487E-4</v>
      </c>
    </row>
    <row r="223" spans="25:55" x14ac:dyDescent="0.25">
      <c r="Y223" s="11">
        <v>259</v>
      </c>
      <c r="Z223">
        <v>1</v>
      </c>
      <c r="AA223" s="13">
        <v>3.2583903551645487E-4</v>
      </c>
      <c r="AO223" s="11">
        <v>259</v>
      </c>
      <c r="AP223" s="13">
        <v>3.2583903551645487E-4</v>
      </c>
    </row>
    <row r="224" spans="25:55" x14ac:dyDescent="0.25">
      <c r="Y224" s="11">
        <v>260</v>
      </c>
      <c r="Z224">
        <v>3</v>
      </c>
      <c r="AA224" s="13">
        <v>9.7751710654936461E-4</v>
      </c>
      <c r="AO224" s="11">
        <v>260</v>
      </c>
      <c r="AP224" s="13">
        <v>9.7751710654936461E-4</v>
      </c>
    </row>
    <row r="225" spans="25:42" x14ac:dyDescent="0.25">
      <c r="Y225" s="11">
        <v>261</v>
      </c>
      <c r="Z225">
        <v>1</v>
      </c>
      <c r="AA225" s="13">
        <v>3.2583903551645487E-4</v>
      </c>
      <c r="AO225" s="11">
        <v>261</v>
      </c>
      <c r="AP225" s="13">
        <v>3.2583903551645487E-4</v>
      </c>
    </row>
    <row r="226" spans="25:42" x14ac:dyDescent="0.25">
      <c r="Y226" s="11">
        <v>265</v>
      </c>
      <c r="Z226">
        <v>1</v>
      </c>
      <c r="AA226" s="13">
        <v>3.2583903551645487E-4</v>
      </c>
      <c r="AO226" s="11">
        <v>265</v>
      </c>
      <c r="AP226" s="13">
        <v>3.2583903551645487E-4</v>
      </c>
    </row>
    <row r="227" spans="25:42" x14ac:dyDescent="0.25">
      <c r="Y227" s="11">
        <v>266</v>
      </c>
      <c r="Z227">
        <v>1</v>
      </c>
      <c r="AA227" s="13">
        <v>3.2583903551645487E-4</v>
      </c>
      <c r="AO227" s="11">
        <v>266</v>
      </c>
      <c r="AP227" s="13">
        <v>3.2583903551645487E-4</v>
      </c>
    </row>
    <row r="228" spans="25:42" x14ac:dyDescent="0.25">
      <c r="Y228" s="11">
        <v>271</v>
      </c>
      <c r="Z228">
        <v>1</v>
      </c>
      <c r="AA228" s="13">
        <v>3.2583903551645487E-4</v>
      </c>
      <c r="AO228" s="11">
        <v>271</v>
      </c>
      <c r="AP228" s="13">
        <v>3.2583903551645487E-4</v>
      </c>
    </row>
    <row r="229" spans="25:42" x14ac:dyDescent="0.25">
      <c r="Y229" s="11">
        <v>272</v>
      </c>
      <c r="Z229">
        <v>1</v>
      </c>
      <c r="AA229" s="13">
        <v>3.2583903551645487E-4</v>
      </c>
      <c r="AO229" s="11">
        <v>272</v>
      </c>
      <c r="AP229" s="13">
        <v>3.2583903551645487E-4</v>
      </c>
    </row>
    <row r="230" spans="25:42" x14ac:dyDescent="0.25">
      <c r="Y230" s="11">
        <v>274</v>
      </c>
      <c r="Z230">
        <v>2</v>
      </c>
      <c r="AA230" s="13">
        <v>6.5167807103290974E-4</v>
      </c>
      <c r="AO230" s="11">
        <v>274</v>
      </c>
      <c r="AP230" s="13">
        <v>6.5167807103290974E-4</v>
      </c>
    </row>
    <row r="231" spans="25:42" x14ac:dyDescent="0.25">
      <c r="Y231" s="11">
        <v>280</v>
      </c>
      <c r="Z231">
        <v>3</v>
      </c>
      <c r="AA231" s="13">
        <v>9.7751710654936461E-4</v>
      </c>
      <c r="AO231" s="11">
        <v>280</v>
      </c>
      <c r="AP231" s="13">
        <v>9.7751710654936461E-4</v>
      </c>
    </row>
    <row r="232" spans="25:42" x14ac:dyDescent="0.25">
      <c r="Y232" s="11">
        <v>281</v>
      </c>
      <c r="Z232">
        <v>1</v>
      </c>
      <c r="AA232" s="13">
        <v>3.2583903551645487E-4</v>
      </c>
      <c r="AO232" s="11">
        <v>281</v>
      </c>
      <c r="AP232" s="13">
        <v>3.2583903551645487E-4</v>
      </c>
    </row>
    <row r="233" spans="25:42" x14ac:dyDescent="0.25">
      <c r="Y233" s="11">
        <v>282</v>
      </c>
      <c r="Z233">
        <v>1</v>
      </c>
      <c r="AA233" s="13">
        <v>3.2583903551645487E-4</v>
      </c>
      <c r="AO233" s="11">
        <v>282</v>
      </c>
      <c r="AP233" s="13">
        <v>3.2583903551645487E-4</v>
      </c>
    </row>
    <row r="234" spans="25:42" x14ac:dyDescent="0.25">
      <c r="Y234" s="11">
        <v>294</v>
      </c>
      <c r="Z234">
        <v>1</v>
      </c>
      <c r="AA234" s="13">
        <v>3.2583903551645487E-4</v>
      </c>
      <c r="AO234" s="11">
        <v>294</v>
      </c>
      <c r="AP234" s="13">
        <v>3.2583903551645487E-4</v>
      </c>
    </row>
    <row r="235" spans="25:42" x14ac:dyDescent="0.25">
      <c r="Y235" s="11">
        <v>297</v>
      </c>
      <c r="Z235">
        <v>1</v>
      </c>
      <c r="AA235" s="13">
        <v>3.2583903551645487E-4</v>
      </c>
      <c r="AO235" s="11">
        <v>297</v>
      </c>
      <c r="AP235" s="13">
        <v>3.2583903551645487E-4</v>
      </c>
    </row>
    <row r="236" spans="25:42" x14ac:dyDescent="0.25">
      <c r="Y236" s="11">
        <v>301</v>
      </c>
      <c r="Z236">
        <v>1</v>
      </c>
      <c r="AA236" s="13">
        <v>3.2583903551645487E-4</v>
      </c>
      <c r="AO236" s="11">
        <v>301</v>
      </c>
      <c r="AP236" s="13">
        <v>3.2583903551645487E-4</v>
      </c>
    </row>
    <row r="237" spans="25:42" x14ac:dyDescent="0.25">
      <c r="Y237" s="11">
        <v>322</v>
      </c>
      <c r="Z237">
        <v>1</v>
      </c>
      <c r="AA237" s="13">
        <v>3.2583903551645487E-4</v>
      </c>
      <c r="AO237" s="11">
        <v>322</v>
      </c>
      <c r="AP237" s="13">
        <v>3.2583903551645487E-4</v>
      </c>
    </row>
    <row r="238" spans="25:42" x14ac:dyDescent="0.25">
      <c r="Y238" s="11">
        <v>341</v>
      </c>
      <c r="Z238">
        <v>2</v>
      </c>
      <c r="AA238" s="13">
        <v>6.5167807103290974E-4</v>
      </c>
      <c r="AO238" s="11">
        <v>341</v>
      </c>
      <c r="AP238" s="13">
        <v>6.5167807103290974E-4</v>
      </c>
    </row>
    <row r="239" spans="25:42" x14ac:dyDescent="0.25">
      <c r="Y239" s="11">
        <v>348</v>
      </c>
      <c r="Z239">
        <v>1</v>
      </c>
      <c r="AA239" s="13">
        <v>3.2583903551645487E-4</v>
      </c>
      <c r="AO239" s="11">
        <v>348</v>
      </c>
      <c r="AP239" s="13">
        <v>3.2583903551645487E-4</v>
      </c>
    </row>
    <row r="240" spans="25:42" x14ac:dyDescent="0.25">
      <c r="Y240" s="11" t="s">
        <v>69</v>
      </c>
      <c r="Z240">
        <v>1065</v>
      </c>
      <c r="AA240" s="13">
        <v>0.34701857282502446</v>
      </c>
      <c r="AO240" s="11" t="s">
        <v>69</v>
      </c>
      <c r="AP240" s="13">
        <v>0.34701857282502446</v>
      </c>
    </row>
    <row r="241" spans="25:42" x14ac:dyDescent="0.25">
      <c r="Y241" s="11" t="s">
        <v>22</v>
      </c>
      <c r="Z241">
        <v>3069</v>
      </c>
      <c r="AA241" s="13">
        <v>1</v>
      </c>
      <c r="AO241" s="11" t="s">
        <v>22</v>
      </c>
      <c r="AP241" s="13">
        <v>1</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A6C05-BDE1-4850-94D5-388AB18FC3D9}">
  <dimension ref="B2:C8"/>
  <sheetViews>
    <sheetView showGridLines="0" workbookViewId="0">
      <selection activeCell="C22" sqref="C22"/>
    </sheetView>
  </sheetViews>
  <sheetFormatPr defaultRowHeight="15" x14ac:dyDescent="0.25"/>
  <cols>
    <col min="2" max="2" width="21" bestFit="1" customWidth="1"/>
    <col min="3" max="3" width="108.7109375" bestFit="1" customWidth="1"/>
  </cols>
  <sheetData>
    <row r="2" spans="2:3" x14ac:dyDescent="0.25">
      <c r="B2" s="3" t="s">
        <v>14</v>
      </c>
      <c r="C2" s="3" t="s">
        <v>13</v>
      </c>
    </row>
    <row r="3" spans="2:3" x14ac:dyDescent="0.25">
      <c r="B3" s="2" t="s">
        <v>0</v>
      </c>
      <c r="C3" s="2" t="s">
        <v>12</v>
      </c>
    </row>
    <row r="4" spans="2:3" x14ac:dyDescent="0.25">
      <c r="B4" s="2" t="s">
        <v>1</v>
      </c>
      <c r="C4" s="2" t="s">
        <v>16</v>
      </c>
    </row>
    <row r="5" spans="2:3" x14ac:dyDescent="0.25">
      <c r="B5" s="2" t="s">
        <v>2</v>
      </c>
      <c r="C5" s="2" t="s">
        <v>17</v>
      </c>
    </row>
    <row r="6" spans="2:3" x14ac:dyDescent="0.25">
      <c r="B6" s="2" t="s">
        <v>3</v>
      </c>
      <c r="C6" s="2" t="s">
        <v>11</v>
      </c>
    </row>
    <row r="7" spans="2:3" x14ac:dyDescent="0.25">
      <c r="B7" s="2" t="s">
        <v>4</v>
      </c>
      <c r="C7" s="2" t="s">
        <v>10</v>
      </c>
    </row>
    <row r="8" spans="2:3" x14ac:dyDescent="0.25">
      <c r="B8" s="2" t="s">
        <v>5</v>
      </c>
      <c r="C8" s="2"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6200E-5002-43A9-BF0E-62544F686903}">
  <dimension ref="A12:T32"/>
  <sheetViews>
    <sheetView showGridLines="0" zoomScale="112" zoomScaleNormal="112" workbookViewId="0">
      <selection activeCell="M35" sqref="M35"/>
    </sheetView>
  </sheetViews>
  <sheetFormatPr defaultRowHeight="15" x14ac:dyDescent="0.25"/>
  <sheetData>
    <row r="12" spans="20:20" x14ac:dyDescent="0.25">
      <c r="T12" s="5"/>
    </row>
    <row r="13" spans="20:20" x14ac:dyDescent="0.25">
      <c r="T13" s="6"/>
    </row>
    <row r="14" spans="20:20" x14ac:dyDescent="0.25">
      <c r="T14" s="6"/>
    </row>
    <row r="15" spans="20:20" x14ac:dyDescent="0.25">
      <c r="T15" s="6"/>
    </row>
    <row r="16" spans="20:20" x14ac:dyDescent="0.25">
      <c r="T16" s="6"/>
    </row>
    <row r="17" spans="1:20" x14ac:dyDescent="0.25">
      <c r="T17" s="6"/>
    </row>
    <row r="18" spans="1:20" x14ac:dyDescent="0.25">
      <c r="T18" s="6"/>
    </row>
    <row r="19" spans="1:20" x14ac:dyDescent="0.25">
      <c r="T19" s="6"/>
    </row>
    <row r="32" spans="1:20" x14ac:dyDescent="0.25">
      <c r="A32" s="4" t="s">
        <v>15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2274-30AB-45A2-B8FC-0106C774BE0B}">
  <dimension ref="A1"/>
  <sheetViews>
    <sheetView topLeftCell="A13" zoomScale="73" zoomScaleNormal="73" workbookViewId="0">
      <selection activeCell="Z24" sqref="Z2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Subscription Cohort Data</vt:lpstr>
      <vt:lpstr>Pivot </vt:lpstr>
      <vt:lpstr>Data Description</vt:lpstr>
      <vt:lpstr>Requirements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jmaha</dc:creator>
  <cp:lastModifiedBy>Jayshree Kaushai</cp:lastModifiedBy>
  <dcterms:created xsi:type="dcterms:W3CDTF">2025-03-29T06:01:13Z</dcterms:created>
  <dcterms:modified xsi:type="dcterms:W3CDTF">2025-10-08T09:29:01Z</dcterms:modified>
</cp:coreProperties>
</file>